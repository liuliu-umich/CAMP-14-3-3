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pgolds_uic_edu/Documents/Desktop/"/>
    </mc:Choice>
  </mc:AlternateContent>
  <xr:revisionPtr revIDLastSave="4" documentId="8_{9F8DCFE3-C3E5-47FB-8647-947DD2020568}" xr6:coauthVersionLast="47" xr6:coauthVersionMax="47" xr10:uidLastSave="{6B7BF504-7C5F-42E3-A281-F38C239D0A16}"/>
  <bookViews>
    <workbookView xWindow="-28920" yWindow="-120" windowWidth="29040" windowHeight="15720" xr2:uid="{354B9870-7D07-4F27-8143-23DF60BC5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63" i="1" l="1"/>
  <c r="M2863" i="1" s="1"/>
  <c r="N2863" i="1"/>
  <c r="L2863" i="1"/>
  <c r="O2862" i="1"/>
  <c r="M2862" i="1" s="1"/>
  <c r="N2862" i="1"/>
  <c r="L2862" i="1"/>
  <c r="O2861" i="1"/>
  <c r="M2861" i="1" s="1"/>
  <c r="N2861" i="1"/>
  <c r="L2861" i="1"/>
  <c r="O2860" i="1"/>
  <c r="N2860" i="1"/>
  <c r="M2860" i="1"/>
  <c r="L2860" i="1"/>
  <c r="O2859" i="1"/>
  <c r="M2859" i="1" s="1"/>
  <c r="N2859" i="1"/>
  <c r="L2859" i="1"/>
  <c r="O2858" i="1"/>
  <c r="N2858" i="1"/>
  <c r="M2858" i="1"/>
  <c r="L2858" i="1"/>
  <c r="O2857" i="1"/>
  <c r="M2857" i="1" s="1"/>
  <c r="N2857" i="1"/>
  <c r="L2857" i="1"/>
  <c r="O2856" i="1"/>
  <c r="N2856" i="1"/>
  <c r="M2856" i="1"/>
  <c r="L2856" i="1"/>
  <c r="O2855" i="1"/>
  <c r="M2855" i="1" s="1"/>
  <c r="N2855" i="1"/>
  <c r="L2855" i="1"/>
  <c r="O2854" i="1"/>
  <c r="N2854" i="1"/>
  <c r="M2854" i="1"/>
  <c r="L2854" i="1"/>
  <c r="O2853" i="1"/>
  <c r="M2853" i="1" s="1"/>
  <c r="N2853" i="1"/>
  <c r="L2853" i="1"/>
  <c r="O2852" i="1"/>
  <c r="N2852" i="1"/>
  <c r="M2852" i="1"/>
  <c r="L2852" i="1"/>
  <c r="O2851" i="1"/>
  <c r="M2851" i="1" s="1"/>
  <c r="N2851" i="1"/>
  <c r="L2851" i="1"/>
  <c r="O2850" i="1"/>
  <c r="N2850" i="1"/>
  <c r="M2850" i="1"/>
  <c r="L2850" i="1"/>
  <c r="O2849" i="1"/>
  <c r="M2849" i="1" s="1"/>
  <c r="N2849" i="1"/>
  <c r="L2849" i="1"/>
  <c r="O2848" i="1"/>
  <c r="N2848" i="1"/>
  <c r="M2848" i="1"/>
  <c r="L2848" i="1"/>
  <c r="O2847" i="1"/>
  <c r="M2847" i="1" s="1"/>
  <c r="N2847" i="1"/>
  <c r="L2847" i="1"/>
  <c r="O2846" i="1"/>
  <c r="N2846" i="1"/>
  <c r="M2846" i="1"/>
  <c r="L2846" i="1"/>
  <c r="O2845" i="1"/>
  <c r="M2845" i="1" s="1"/>
  <c r="N2845" i="1"/>
  <c r="L2845" i="1"/>
  <c r="O2844" i="1"/>
  <c r="N2844" i="1"/>
  <c r="M2844" i="1"/>
  <c r="L2844" i="1"/>
  <c r="O2843" i="1"/>
  <c r="M2843" i="1" s="1"/>
  <c r="N2843" i="1"/>
  <c r="L2843" i="1"/>
  <c r="O2842" i="1"/>
  <c r="N2842" i="1"/>
  <c r="M2842" i="1"/>
  <c r="L2842" i="1"/>
  <c r="O2841" i="1"/>
  <c r="M2841" i="1" s="1"/>
  <c r="N2841" i="1"/>
  <c r="L2841" i="1"/>
  <c r="O2840" i="1"/>
  <c r="N2840" i="1"/>
  <c r="M2840" i="1"/>
  <c r="L2840" i="1"/>
  <c r="O2839" i="1"/>
  <c r="M2839" i="1" s="1"/>
  <c r="N2839" i="1"/>
  <c r="L2839" i="1"/>
  <c r="O2838" i="1"/>
  <c r="N2838" i="1"/>
  <c r="M2838" i="1"/>
  <c r="L2838" i="1"/>
  <c r="O2837" i="1"/>
  <c r="M2837" i="1" s="1"/>
  <c r="N2837" i="1"/>
  <c r="L2837" i="1"/>
  <c r="O2836" i="1"/>
  <c r="N2836" i="1"/>
  <c r="M2836" i="1"/>
  <c r="L2836" i="1"/>
  <c r="O2835" i="1"/>
  <c r="M2835" i="1" s="1"/>
  <c r="N2835" i="1"/>
  <c r="L2835" i="1"/>
  <c r="O2834" i="1"/>
  <c r="N2834" i="1"/>
  <c r="M2834" i="1"/>
  <c r="L2834" i="1"/>
  <c r="O2833" i="1"/>
  <c r="M2833" i="1" s="1"/>
  <c r="N2833" i="1"/>
  <c r="L2833" i="1"/>
  <c r="O2832" i="1"/>
  <c r="N2832" i="1"/>
  <c r="M2832" i="1"/>
  <c r="L2832" i="1"/>
  <c r="O2831" i="1"/>
  <c r="M2831" i="1" s="1"/>
  <c r="N2831" i="1"/>
  <c r="L2831" i="1"/>
  <c r="O2830" i="1"/>
  <c r="N2830" i="1"/>
  <c r="M2830" i="1"/>
  <c r="L2830" i="1"/>
  <c r="O2829" i="1"/>
  <c r="M2829" i="1" s="1"/>
  <c r="N2829" i="1"/>
  <c r="L2829" i="1"/>
  <c r="O2828" i="1"/>
  <c r="N2828" i="1"/>
  <c r="M2828" i="1"/>
  <c r="L2828" i="1"/>
  <c r="O2827" i="1"/>
  <c r="M2827" i="1" s="1"/>
  <c r="N2827" i="1"/>
  <c r="L2827" i="1"/>
  <c r="O2826" i="1"/>
  <c r="N2826" i="1"/>
  <c r="M2826" i="1"/>
  <c r="L2826" i="1"/>
  <c r="O2825" i="1"/>
  <c r="M2825" i="1" s="1"/>
  <c r="N2825" i="1"/>
  <c r="L2825" i="1"/>
  <c r="O2824" i="1"/>
  <c r="N2824" i="1"/>
  <c r="M2824" i="1"/>
  <c r="L2824" i="1"/>
  <c r="O2823" i="1"/>
  <c r="M2823" i="1" s="1"/>
  <c r="N2823" i="1"/>
  <c r="L2823" i="1"/>
  <c r="O2822" i="1"/>
  <c r="N2822" i="1"/>
  <c r="M2822" i="1"/>
  <c r="L2822" i="1"/>
  <c r="O2821" i="1"/>
  <c r="M2821" i="1" s="1"/>
  <c r="N2821" i="1"/>
  <c r="L2821" i="1"/>
  <c r="O2820" i="1"/>
  <c r="N2820" i="1"/>
  <c r="M2820" i="1"/>
  <c r="L2820" i="1"/>
  <c r="O2819" i="1"/>
  <c r="M2819" i="1" s="1"/>
  <c r="N2819" i="1"/>
  <c r="L2819" i="1"/>
  <c r="O2818" i="1"/>
  <c r="N2818" i="1"/>
  <c r="M2818" i="1"/>
  <c r="L2818" i="1"/>
  <c r="O2817" i="1"/>
  <c r="M2817" i="1" s="1"/>
  <c r="N2817" i="1"/>
  <c r="L2817" i="1"/>
  <c r="O2816" i="1"/>
  <c r="N2816" i="1"/>
  <c r="M2816" i="1"/>
  <c r="L2816" i="1"/>
  <c r="O2815" i="1"/>
  <c r="M2815" i="1" s="1"/>
  <c r="N2815" i="1"/>
  <c r="L2815" i="1"/>
  <c r="O2814" i="1"/>
  <c r="N2814" i="1"/>
  <c r="M2814" i="1"/>
  <c r="L2814" i="1"/>
  <c r="O2813" i="1"/>
  <c r="M2813" i="1" s="1"/>
  <c r="N2813" i="1"/>
  <c r="L2813" i="1"/>
  <c r="O2812" i="1"/>
  <c r="N2812" i="1"/>
  <c r="M2812" i="1"/>
  <c r="L2812" i="1"/>
  <c r="O2811" i="1"/>
  <c r="M2811" i="1" s="1"/>
  <c r="N2811" i="1"/>
  <c r="L2811" i="1"/>
  <c r="O2810" i="1"/>
  <c r="N2810" i="1"/>
  <c r="M2810" i="1"/>
  <c r="L2810" i="1"/>
  <c r="O2809" i="1"/>
  <c r="M2809" i="1" s="1"/>
  <c r="N2809" i="1"/>
  <c r="L2809" i="1"/>
  <c r="O2808" i="1"/>
  <c r="N2808" i="1"/>
  <c r="M2808" i="1"/>
  <c r="L2808" i="1"/>
  <c r="O2807" i="1"/>
  <c r="M2807" i="1" s="1"/>
  <c r="N2807" i="1"/>
  <c r="L2807" i="1"/>
  <c r="O2806" i="1"/>
  <c r="N2806" i="1"/>
  <c r="M2806" i="1"/>
  <c r="L2806" i="1"/>
  <c r="O2805" i="1"/>
  <c r="M2805" i="1" s="1"/>
  <c r="N2805" i="1"/>
  <c r="L2805" i="1"/>
  <c r="O2804" i="1"/>
  <c r="N2804" i="1"/>
  <c r="M2804" i="1"/>
  <c r="L2804" i="1"/>
  <c r="O2803" i="1"/>
  <c r="M2803" i="1" s="1"/>
  <c r="N2803" i="1"/>
  <c r="L2803" i="1"/>
  <c r="O2802" i="1"/>
  <c r="N2802" i="1"/>
  <c r="M2802" i="1"/>
  <c r="L2802" i="1"/>
  <c r="O2801" i="1"/>
  <c r="M2801" i="1" s="1"/>
  <c r="N2801" i="1"/>
  <c r="L2801" i="1"/>
  <c r="O2800" i="1"/>
  <c r="N2800" i="1"/>
  <c r="M2800" i="1"/>
  <c r="L2800" i="1"/>
  <c r="O2799" i="1"/>
  <c r="M2799" i="1" s="1"/>
  <c r="N2799" i="1"/>
  <c r="L2799" i="1"/>
  <c r="O2798" i="1"/>
  <c r="N2798" i="1"/>
  <c r="M2798" i="1"/>
  <c r="L2798" i="1"/>
  <c r="O2797" i="1"/>
  <c r="M2797" i="1" s="1"/>
  <c r="N2797" i="1"/>
  <c r="L2797" i="1"/>
  <c r="O2796" i="1"/>
  <c r="N2796" i="1"/>
  <c r="M2796" i="1"/>
  <c r="L2796" i="1"/>
  <c r="O2795" i="1"/>
  <c r="M2795" i="1" s="1"/>
  <c r="N2795" i="1"/>
  <c r="L2795" i="1"/>
  <c r="O2794" i="1"/>
  <c r="N2794" i="1"/>
  <c r="M2794" i="1"/>
  <c r="L2794" i="1"/>
  <c r="O2793" i="1"/>
  <c r="M2793" i="1" s="1"/>
  <c r="N2793" i="1"/>
  <c r="L2793" i="1"/>
  <c r="O2792" i="1"/>
  <c r="N2792" i="1"/>
  <c r="M2792" i="1"/>
  <c r="L2792" i="1"/>
  <c r="O2791" i="1"/>
  <c r="M2791" i="1" s="1"/>
  <c r="N2791" i="1"/>
  <c r="L2791" i="1"/>
  <c r="O2790" i="1"/>
  <c r="N2790" i="1"/>
  <c r="M2790" i="1"/>
  <c r="L2790" i="1"/>
  <c r="O2789" i="1"/>
  <c r="M2789" i="1" s="1"/>
  <c r="N2789" i="1"/>
  <c r="L2789" i="1"/>
  <c r="O2788" i="1"/>
  <c r="N2788" i="1"/>
  <c r="M2788" i="1"/>
  <c r="L2788" i="1"/>
  <c r="O2787" i="1"/>
  <c r="M2787" i="1" s="1"/>
  <c r="N2787" i="1"/>
  <c r="L2787" i="1"/>
  <c r="O2786" i="1"/>
  <c r="N2786" i="1"/>
  <c r="M2786" i="1"/>
  <c r="L2786" i="1"/>
  <c r="O2785" i="1"/>
  <c r="M2785" i="1" s="1"/>
  <c r="N2785" i="1"/>
  <c r="L2785" i="1"/>
  <c r="O2784" i="1"/>
  <c r="N2784" i="1"/>
  <c r="M2784" i="1"/>
  <c r="L2784" i="1"/>
  <c r="O2783" i="1"/>
  <c r="M2783" i="1" s="1"/>
  <c r="N2783" i="1"/>
  <c r="L2783" i="1"/>
  <c r="O2782" i="1"/>
  <c r="N2782" i="1"/>
  <c r="M2782" i="1"/>
  <c r="L2782" i="1"/>
  <c r="O2781" i="1"/>
  <c r="M2781" i="1" s="1"/>
  <c r="N2781" i="1"/>
  <c r="L2781" i="1"/>
  <c r="O2780" i="1"/>
  <c r="M2780" i="1" s="1"/>
  <c r="N2780" i="1"/>
  <c r="L2780" i="1"/>
  <c r="O2779" i="1"/>
  <c r="N2779" i="1"/>
  <c r="M2779" i="1"/>
  <c r="L2779" i="1"/>
  <c r="O2778" i="1"/>
  <c r="M2778" i="1" s="1"/>
  <c r="N2778" i="1"/>
  <c r="L2778" i="1"/>
  <c r="O2777" i="1"/>
  <c r="N2777" i="1"/>
  <c r="M2777" i="1"/>
  <c r="L2777" i="1"/>
  <c r="O2776" i="1"/>
  <c r="M2776" i="1" s="1"/>
  <c r="N2776" i="1"/>
  <c r="L2776" i="1"/>
  <c r="O2775" i="1"/>
  <c r="M2775" i="1" s="1"/>
  <c r="N2775" i="1"/>
  <c r="L2775" i="1"/>
  <c r="O2774" i="1"/>
  <c r="M2774" i="1" s="1"/>
  <c r="N2774" i="1"/>
  <c r="L2774" i="1"/>
  <c r="O2773" i="1"/>
  <c r="N2773" i="1"/>
  <c r="M2773" i="1"/>
  <c r="L2773" i="1"/>
  <c r="O2772" i="1"/>
  <c r="M2772" i="1" s="1"/>
  <c r="N2772" i="1"/>
  <c r="L2772" i="1"/>
  <c r="O2771" i="1"/>
  <c r="N2771" i="1"/>
  <c r="M2771" i="1"/>
  <c r="L2771" i="1"/>
  <c r="O2770" i="1"/>
  <c r="M2770" i="1" s="1"/>
  <c r="N2770" i="1"/>
  <c r="L2770" i="1"/>
  <c r="O2769" i="1"/>
  <c r="N2769" i="1"/>
  <c r="M2769" i="1"/>
  <c r="L2769" i="1"/>
  <c r="O2768" i="1"/>
  <c r="M2768" i="1" s="1"/>
  <c r="N2768" i="1"/>
  <c r="L2768" i="1"/>
  <c r="O2767" i="1"/>
  <c r="M2767" i="1" s="1"/>
  <c r="N2767" i="1"/>
  <c r="L2767" i="1"/>
  <c r="O2766" i="1"/>
  <c r="M2766" i="1" s="1"/>
  <c r="N2766" i="1"/>
  <c r="L2766" i="1"/>
  <c r="O2765" i="1"/>
  <c r="M2765" i="1" s="1"/>
  <c r="N2765" i="1"/>
  <c r="L2765" i="1"/>
  <c r="O2764" i="1"/>
  <c r="M2764" i="1" s="1"/>
  <c r="N2764" i="1"/>
  <c r="L2764" i="1"/>
  <c r="O2763" i="1"/>
  <c r="N2763" i="1"/>
  <c r="M2763" i="1"/>
  <c r="L2763" i="1"/>
  <c r="O2762" i="1"/>
  <c r="M2762" i="1" s="1"/>
  <c r="N2762" i="1"/>
  <c r="L2762" i="1"/>
  <c r="O2761" i="1"/>
  <c r="M2761" i="1" s="1"/>
  <c r="N2761" i="1"/>
  <c r="L2761" i="1"/>
  <c r="O2760" i="1"/>
  <c r="M2760" i="1" s="1"/>
  <c r="N2760" i="1"/>
  <c r="L2760" i="1"/>
  <c r="O2759" i="1"/>
  <c r="M2759" i="1" s="1"/>
  <c r="N2759" i="1"/>
  <c r="L2759" i="1"/>
  <c r="O2758" i="1"/>
  <c r="M2758" i="1" s="1"/>
  <c r="N2758" i="1"/>
  <c r="L2758" i="1"/>
  <c r="O2757" i="1"/>
  <c r="N2757" i="1"/>
  <c r="M2757" i="1"/>
  <c r="L2757" i="1"/>
  <c r="O2756" i="1"/>
  <c r="M2756" i="1" s="1"/>
  <c r="N2756" i="1"/>
  <c r="L2756" i="1"/>
  <c r="O2755" i="1"/>
  <c r="N2755" i="1"/>
  <c r="M2755" i="1"/>
  <c r="L2755" i="1"/>
  <c r="O2754" i="1"/>
  <c r="M2754" i="1" s="1"/>
  <c r="N2754" i="1"/>
  <c r="L2754" i="1"/>
  <c r="O2753" i="1"/>
  <c r="N2753" i="1"/>
  <c r="M2753" i="1"/>
  <c r="L2753" i="1"/>
  <c r="O2752" i="1"/>
  <c r="M2752" i="1" s="1"/>
  <c r="N2752" i="1"/>
  <c r="L2752" i="1"/>
  <c r="O2751" i="1"/>
  <c r="M2751" i="1" s="1"/>
  <c r="N2751" i="1"/>
  <c r="L2751" i="1"/>
  <c r="O2750" i="1"/>
  <c r="M2750" i="1" s="1"/>
  <c r="N2750" i="1"/>
  <c r="L2750" i="1"/>
  <c r="O2749" i="1"/>
  <c r="M2749" i="1" s="1"/>
  <c r="N2749" i="1"/>
  <c r="L2749" i="1"/>
  <c r="O2748" i="1"/>
  <c r="M2748" i="1" s="1"/>
  <c r="N2748" i="1"/>
  <c r="L2748" i="1"/>
  <c r="O2747" i="1"/>
  <c r="N2747" i="1"/>
  <c r="M2747" i="1"/>
  <c r="L2747" i="1"/>
  <c r="O2746" i="1"/>
  <c r="M2746" i="1" s="1"/>
  <c r="N2746" i="1"/>
  <c r="L2746" i="1"/>
  <c r="O2745" i="1"/>
  <c r="M2745" i="1" s="1"/>
  <c r="N2745" i="1"/>
  <c r="L2745" i="1"/>
  <c r="O2744" i="1"/>
  <c r="M2744" i="1" s="1"/>
  <c r="N2744" i="1"/>
  <c r="L2744" i="1"/>
  <c r="O2743" i="1"/>
  <c r="M2743" i="1" s="1"/>
  <c r="N2743" i="1"/>
  <c r="L2743" i="1"/>
  <c r="O2742" i="1"/>
  <c r="M2742" i="1" s="1"/>
  <c r="N2742" i="1"/>
  <c r="L2742" i="1"/>
  <c r="O2741" i="1"/>
  <c r="N2741" i="1"/>
  <c r="M2741" i="1"/>
  <c r="L2741" i="1"/>
  <c r="O2740" i="1"/>
  <c r="M2740" i="1" s="1"/>
  <c r="N2740" i="1"/>
  <c r="L2740" i="1"/>
  <c r="O2739" i="1"/>
  <c r="N2739" i="1"/>
  <c r="M2739" i="1"/>
  <c r="L2739" i="1"/>
  <c r="O2738" i="1"/>
  <c r="M2738" i="1" s="1"/>
  <c r="N2738" i="1"/>
  <c r="L2738" i="1"/>
  <c r="O2737" i="1"/>
  <c r="N2737" i="1"/>
  <c r="M2737" i="1"/>
  <c r="L2737" i="1"/>
  <c r="O2736" i="1"/>
  <c r="M2736" i="1" s="1"/>
  <c r="N2736" i="1"/>
  <c r="L2736" i="1"/>
  <c r="O2735" i="1"/>
  <c r="M2735" i="1" s="1"/>
  <c r="N2735" i="1"/>
  <c r="L2735" i="1"/>
  <c r="O2734" i="1"/>
  <c r="M2734" i="1" s="1"/>
  <c r="N2734" i="1"/>
  <c r="L2734" i="1"/>
  <c r="O2733" i="1"/>
  <c r="M2733" i="1" s="1"/>
  <c r="N2733" i="1"/>
  <c r="L2733" i="1"/>
  <c r="O2732" i="1"/>
  <c r="M2732" i="1" s="1"/>
  <c r="N2732" i="1"/>
  <c r="L2732" i="1"/>
  <c r="O2731" i="1"/>
  <c r="N2731" i="1"/>
  <c r="M2731" i="1"/>
  <c r="L2731" i="1"/>
  <c r="O2730" i="1"/>
  <c r="M2730" i="1" s="1"/>
  <c r="N2730" i="1"/>
  <c r="L2730" i="1"/>
  <c r="O2729" i="1"/>
  <c r="M2729" i="1" s="1"/>
  <c r="N2729" i="1"/>
  <c r="L2729" i="1"/>
  <c r="O2728" i="1"/>
  <c r="M2728" i="1" s="1"/>
  <c r="N2728" i="1"/>
  <c r="L2728" i="1"/>
  <c r="O2727" i="1"/>
  <c r="M2727" i="1" s="1"/>
  <c r="N2727" i="1"/>
  <c r="L2727" i="1"/>
  <c r="O2726" i="1"/>
  <c r="M2726" i="1" s="1"/>
  <c r="N2726" i="1"/>
  <c r="L2726" i="1"/>
  <c r="O2725" i="1"/>
  <c r="N2725" i="1"/>
  <c r="M2725" i="1"/>
  <c r="L2725" i="1"/>
  <c r="O2724" i="1"/>
  <c r="M2724" i="1" s="1"/>
  <c r="N2724" i="1"/>
  <c r="L2724" i="1"/>
  <c r="O2723" i="1"/>
  <c r="N2723" i="1"/>
  <c r="M2723" i="1"/>
  <c r="L2723" i="1"/>
  <c r="O2722" i="1"/>
  <c r="M2722" i="1" s="1"/>
  <c r="N2722" i="1"/>
  <c r="L2722" i="1"/>
  <c r="O2721" i="1"/>
  <c r="N2721" i="1"/>
  <c r="M2721" i="1"/>
  <c r="L2721" i="1"/>
  <c r="O2720" i="1"/>
  <c r="M2720" i="1" s="1"/>
  <c r="N2720" i="1"/>
  <c r="L2720" i="1"/>
  <c r="O2719" i="1"/>
  <c r="M2719" i="1" s="1"/>
  <c r="N2719" i="1"/>
  <c r="L2719" i="1"/>
  <c r="O2718" i="1"/>
  <c r="M2718" i="1" s="1"/>
  <c r="N2718" i="1"/>
  <c r="L2718" i="1"/>
  <c r="O2717" i="1"/>
  <c r="M2717" i="1" s="1"/>
  <c r="N2717" i="1"/>
  <c r="L2717" i="1"/>
  <c r="O2716" i="1"/>
  <c r="M2716" i="1" s="1"/>
  <c r="N2716" i="1"/>
  <c r="L2716" i="1"/>
  <c r="O2715" i="1"/>
  <c r="N2715" i="1"/>
  <c r="M2715" i="1"/>
  <c r="L2715" i="1"/>
  <c r="O2714" i="1"/>
  <c r="M2714" i="1" s="1"/>
  <c r="N2714" i="1"/>
  <c r="L2714" i="1"/>
  <c r="O2713" i="1"/>
  <c r="M2713" i="1" s="1"/>
  <c r="N2713" i="1"/>
  <c r="L2713" i="1"/>
  <c r="O2712" i="1"/>
  <c r="M2712" i="1" s="1"/>
  <c r="N2712" i="1"/>
  <c r="L2712" i="1"/>
  <c r="O2711" i="1"/>
  <c r="M2711" i="1" s="1"/>
  <c r="N2711" i="1"/>
  <c r="L2711" i="1"/>
  <c r="O2710" i="1"/>
  <c r="M2710" i="1" s="1"/>
  <c r="N2710" i="1"/>
  <c r="L2710" i="1"/>
  <c r="O2709" i="1"/>
  <c r="N2709" i="1"/>
  <c r="M2709" i="1"/>
  <c r="L2709" i="1"/>
  <c r="O2708" i="1"/>
  <c r="M2708" i="1" s="1"/>
  <c r="N2708" i="1"/>
  <c r="L2708" i="1"/>
  <c r="O2707" i="1"/>
  <c r="N2707" i="1"/>
  <c r="M2707" i="1"/>
  <c r="L2707" i="1"/>
  <c r="O2706" i="1"/>
  <c r="M2706" i="1" s="1"/>
  <c r="N2706" i="1"/>
  <c r="L2706" i="1"/>
  <c r="O2705" i="1"/>
  <c r="N2705" i="1"/>
  <c r="M2705" i="1"/>
  <c r="L2705" i="1"/>
  <c r="O2704" i="1"/>
  <c r="M2704" i="1" s="1"/>
  <c r="N2704" i="1"/>
  <c r="L2704" i="1"/>
  <c r="O2703" i="1"/>
  <c r="M2703" i="1" s="1"/>
  <c r="N2703" i="1"/>
  <c r="L2703" i="1"/>
  <c r="O2702" i="1"/>
  <c r="M2702" i="1" s="1"/>
  <c r="N2702" i="1"/>
  <c r="L2702" i="1"/>
  <c r="O2701" i="1"/>
  <c r="M2701" i="1" s="1"/>
  <c r="N2701" i="1"/>
  <c r="L2701" i="1"/>
  <c r="O2700" i="1"/>
  <c r="M2700" i="1" s="1"/>
  <c r="N2700" i="1"/>
  <c r="L2700" i="1"/>
  <c r="O2699" i="1"/>
  <c r="N2699" i="1"/>
  <c r="M2699" i="1"/>
  <c r="L2699" i="1"/>
  <c r="O2698" i="1"/>
  <c r="M2698" i="1" s="1"/>
  <c r="N2698" i="1"/>
  <c r="L2698" i="1"/>
  <c r="O2697" i="1"/>
  <c r="M2697" i="1" s="1"/>
  <c r="N2697" i="1"/>
  <c r="L2697" i="1"/>
  <c r="O2696" i="1"/>
  <c r="M2696" i="1" s="1"/>
  <c r="N2696" i="1"/>
  <c r="L2696" i="1"/>
  <c r="O2695" i="1"/>
  <c r="M2695" i="1" s="1"/>
  <c r="N2695" i="1"/>
  <c r="L2695" i="1"/>
  <c r="O2694" i="1"/>
  <c r="M2694" i="1" s="1"/>
  <c r="N2694" i="1"/>
  <c r="L2694" i="1"/>
  <c r="O2693" i="1"/>
  <c r="N2693" i="1"/>
  <c r="M2693" i="1"/>
  <c r="L2693" i="1"/>
  <c r="O2692" i="1"/>
  <c r="M2692" i="1" s="1"/>
  <c r="N2692" i="1"/>
  <c r="L2692" i="1"/>
  <c r="O2691" i="1"/>
  <c r="N2691" i="1"/>
  <c r="M2691" i="1"/>
  <c r="L2691" i="1"/>
  <c r="O2690" i="1"/>
  <c r="M2690" i="1" s="1"/>
  <c r="N2690" i="1"/>
  <c r="L2690" i="1"/>
  <c r="O2689" i="1"/>
  <c r="N2689" i="1"/>
  <c r="M2689" i="1"/>
  <c r="L2689" i="1"/>
  <c r="O2688" i="1"/>
  <c r="M2688" i="1" s="1"/>
  <c r="N2688" i="1"/>
  <c r="L2688" i="1"/>
  <c r="O2687" i="1"/>
  <c r="M2687" i="1" s="1"/>
  <c r="N2687" i="1"/>
  <c r="L2687" i="1"/>
  <c r="O2686" i="1"/>
  <c r="M2686" i="1" s="1"/>
  <c r="N2686" i="1"/>
  <c r="L2686" i="1"/>
  <c r="O2685" i="1"/>
  <c r="M2685" i="1" s="1"/>
  <c r="N2685" i="1"/>
  <c r="L2685" i="1"/>
  <c r="O2684" i="1"/>
  <c r="M2684" i="1" s="1"/>
  <c r="N2684" i="1"/>
  <c r="L2684" i="1"/>
  <c r="O2683" i="1"/>
  <c r="N2683" i="1"/>
  <c r="M2683" i="1"/>
  <c r="L2683" i="1"/>
  <c r="O2682" i="1"/>
  <c r="M2682" i="1" s="1"/>
  <c r="N2682" i="1"/>
  <c r="L2682" i="1"/>
  <c r="O2681" i="1"/>
  <c r="N2681" i="1"/>
  <c r="M2681" i="1"/>
  <c r="L2681" i="1"/>
  <c r="O2680" i="1"/>
  <c r="M2680" i="1" s="1"/>
  <c r="N2680" i="1"/>
  <c r="L2680" i="1"/>
  <c r="O2679" i="1"/>
  <c r="M2679" i="1" s="1"/>
  <c r="N2679" i="1"/>
  <c r="L2679" i="1"/>
  <c r="O2678" i="1"/>
  <c r="M2678" i="1" s="1"/>
  <c r="N2678" i="1"/>
  <c r="L2678" i="1"/>
  <c r="O2677" i="1"/>
  <c r="N2677" i="1"/>
  <c r="M2677" i="1"/>
  <c r="L2677" i="1"/>
  <c r="O2676" i="1"/>
  <c r="M2676" i="1" s="1"/>
  <c r="N2676" i="1"/>
  <c r="L2676" i="1"/>
  <c r="O2675" i="1"/>
  <c r="N2675" i="1"/>
  <c r="M2675" i="1"/>
  <c r="L2675" i="1"/>
  <c r="O2674" i="1"/>
  <c r="M2674" i="1" s="1"/>
  <c r="N2674" i="1"/>
  <c r="L2674" i="1"/>
  <c r="O2673" i="1"/>
  <c r="N2673" i="1"/>
  <c r="M2673" i="1"/>
  <c r="L2673" i="1"/>
  <c r="O2672" i="1"/>
  <c r="M2672" i="1" s="1"/>
  <c r="N2672" i="1"/>
  <c r="L2672" i="1"/>
  <c r="O2671" i="1"/>
  <c r="M2671" i="1" s="1"/>
  <c r="N2671" i="1"/>
  <c r="L2671" i="1"/>
  <c r="O2670" i="1"/>
  <c r="M2670" i="1" s="1"/>
  <c r="N2670" i="1"/>
  <c r="L2670" i="1"/>
  <c r="O2669" i="1"/>
  <c r="M2669" i="1" s="1"/>
  <c r="N2669" i="1"/>
  <c r="L2669" i="1"/>
  <c r="O2668" i="1"/>
  <c r="M2668" i="1" s="1"/>
  <c r="N2668" i="1"/>
  <c r="L2668" i="1"/>
  <c r="O2667" i="1"/>
  <c r="N2667" i="1"/>
  <c r="M2667" i="1"/>
  <c r="L2667" i="1"/>
  <c r="O2666" i="1"/>
  <c r="M2666" i="1" s="1"/>
  <c r="N2666" i="1"/>
  <c r="L2666" i="1"/>
  <c r="O2665" i="1"/>
  <c r="N2665" i="1"/>
  <c r="M2665" i="1"/>
  <c r="L2665" i="1"/>
  <c r="O2664" i="1"/>
  <c r="M2664" i="1" s="1"/>
  <c r="N2664" i="1"/>
  <c r="L2664" i="1"/>
  <c r="O2663" i="1"/>
  <c r="M2663" i="1" s="1"/>
  <c r="N2663" i="1"/>
  <c r="L2663" i="1"/>
  <c r="O2662" i="1"/>
  <c r="M2662" i="1" s="1"/>
  <c r="N2662" i="1"/>
  <c r="L2662" i="1"/>
  <c r="O2661" i="1"/>
  <c r="N2661" i="1"/>
  <c r="M2661" i="1"/>
  <c r="L2661" i="1"/>
  <c r="O2660" i="1"/>
  <c r="M2660" i="1" s="1"/>
  <c r="N2660" i="1"/>
  <c r="L2660" i="1"/>
  <c r="O2659" i="1"/>
  <c r="N2659" i="1"/>
  <c r="M2659" i="1"/>
  <c r="L2659" i="1"/>
  <c r="O2658" i="1"/>
  <c r="M2658" i="1" s="1"/>
  <c r="N2658" i="1"/>
  <c r="L2658" i="1"/>
  <c r="O2657" i="1"/>
  <c r="N2657" i="1"/>
  <c r="M2657" i="1"/>
  <c r="L2657" i="1"/>
  <c r="O2656" i="1"/>
  <c r="M2656" i="1" s="1"/>
  <c r="N2656" i="1"/>
  <c r="L2656" i="1"/>
  <c r="O2655" i="1"/>
  <c r="M2655" i="1" s="1"/>
  <c r="N2655" i="1"/>
  <c r="L2655" i="1"/>
  <c r="O2654" i="1"/>
  <c r="M2654" i="1" s="1"/>
  <c r="N2654" i="1"/>
  <c r="L2654" i="1"/>
  <c r="O2653" i="1"/>
  <c r="M2653" i="1" s="1"/>
  <c r="N2653" i="1"/>
  <c r="L2653" i="1"/>
  <c r="O2652" i="1"/>
  <c r="M2652" i="1" s="1"/>
  <c r="N2652" i="1"/>
  <c r="L2652" i="1"/>
  <c r="O2651" i="1"/>
  <c r="N2651" i="1"/>
  <c r="M2651" i="1"/>
  <c r="L2651" i="1"/>
  <c r="O2650" i="1"/>
  <c r="M2650" i="1" s="1"/>
  <c r="N2650" i="1"/>
  <c r="L2650" i="1"/>
  <c r="O2649" i="1"/>
  <c r="N2649" i="1"/>
  <c r="M2649" i="1"/>
  <c r="L2649" i="1"/>
  <c r="O2648" i="1"/>
  <c r="M2648" i="1" s="1"/>
  <c r="N2648" i="1"/>
  <c r="L2648" i="1"/>
  <c r="O2647" i="1"/>
  <c r="M2647" i="1" s="1"/>
  <c r="N2647" i="1"/>
  <c r="L2647" i="1"/>
  <c r="O2646" i="1"/>
  <c r="M2646" i="1" s="1"/>
  <c r="N2646" i="1"/>
  <c r="L2646" i="1"/>
  <c r="O2645" i="1"/>
  <c r="N2645" i="1"/>
  <c r="M2645" i="1"/>
  <c r="L2645" i="1"/>
  <c r="O2644" i="1"/>
  <c r="M2644" i="1" s="1"/>
  <c r="N2644" i="1"/>
  <c r="L2644" i="1"/>
  <c r="O2643" i="1"/>
  <c r="N2643" i="1"/>
  <c r="M2643" i="1"/>
  <c r="L2643" i="1"/>
  <c r="O2642" i="1"/>
  <c r="M2642" i="1" s="1"/>
  <c r="N2642" i="1"/>
  <c r="L2642" i="1"/>
  <c r="O2641" i="1"/>
  <c r="N2641" i="1"/>
  <c r="M2641" i="1"/>
  <c r="L2641" i="1"/>
  <c r="O2640" i="1"/>
  <c r="M2640" i="1" s="1"/>
  <c r="N2640" i="1"/>
  <c r="L2640" i="1"/>
  <c r="O2639" i="1"/>
  <c r="M2639" i="1" s="1"/>
  <c r="N2639" i="1"/>
  <c r="L2639" i="1"/>
  <c r="O2638" i="1"/>
  <c r="M2638" i="1" s="1"/>
  <c r="N2638" i="1"/>
  <c r="L2638" i="1"/>
  <c r="O2637" i="1"/>
  <c r="M2637" i="1" s="1"/>
  <c r="N2637" i="1"/>
  <c r="L2637" i="1"/>
  <c r="O2636" i="1"/>
  <c r="M2636" i="1" s="1"/>
  <c r="N2636" i="1"/>
  <c r="L2636" i="1"/>
  <c r="O2635" i="1"/>
  <c r="N2635" i="1"/>
  <c r="M2635" i="1"/>
  <c r="L2635" i="1"/>
  <c r="O2634" i="1"/>
  <c r="M2634" i="1" s="1"/>
  <c r="N2634" i="1"/>
  <c r="L2634" i="1"/>
  <c r="O2633" i="1"/>
  <c r="M2633" i="1" s="1"/>
  <c r="N2633" i="1"/>
  <c r="L2633" i="1"/>
  <c r="O2632" i="1"/>
  <c r="M2632" i="1" s="1"/>
  <c r="N2632" i="1"/>
  <c r="L2632" i="1"/>
  <c r="O2631" i="1"/>
  <c r="M2631" i="1" s="1"/>
  <c r="N2631" i="1"/>
  <c r="L2631" i="1"/>
  <c r="O2630" i="1"/>
  <c r="M2630" i="1" s="1"/>
  <c r="N2630" i="1"/>
  <c r="L2630" i="1"/>
  <c r="O2629" i="1"/>
  <c r="N2629" i="1"/>
  <c r="M2629" i="1"/>
  <c r="L2629" i="1"/>
  <c r="O2628" i="1"/>
  <c r="M2628" i="1" s="1"/>
  <c r="N2628" i="1"/>
  <c r="L2628" i="1"/>
  <c r="O2627" i="1"/>
  <c r="N2627" i="1"/>
  <c r="M2627" i="1"/>
  <c r="L2627" i="1"/>
  <c r="O2626" i="1"/>
  <c r="M2626" i="1" s="1"/>
  <c r="N2626" i="1"/>
  <c r="L2626" i="1"/>
  <c r="O2625" i="1"/>
  <c r="M2625" i="1" s="1"/>
  <c r="N2625" i="1"/>
  <c r="L2625" i="1"/>
  <c r="O2624" i="1"/>
  <c r="M2624" i="1" s="1"/>
  <c r="N2624" i="1"/>
  <c r="L2624" i="1"/>
  <c r="O2623" i="1"/>
  <c r="M2623" i="1" s="1"/>
  <c r="N2623" i="1"/>
  <c r="L2623" i="1"/>
  <c r="O2622" i="1"/>
  <c r="M2622" i="1" s="1"/>
  <c r="N2622" i="1"/>
  <c r="L2622" i="1"/>
  <c r="O2621" i="1"/>
  <c r="M2621" i="1" s="1"/>
  <c r="N2621" i="1"/>
  <c r="L2621" i="1"/>
  <c r="O2620" i="1"/>
  <c r="M2620" i="1" s="1"/>
  <c r="N2620" i="1"/>
  <c r="L2620" i="1"/>
  <c r="O2619" i="1"/>
  <c r="N2619" i="1"/>
  <c r="M2619" i="1"/>
  <c r="L2619" i="1"/>
  <c r="O2618" i="1"/>
  <c r="M2618" i="1" s="1"/>
  <c r="N2618" i="1"/>
  <c r="L2618" i="1"/>
  <c r="O2617" i="1"/>
  <c r="N2617" i="1"/>
  <c r="M2617" i="1"/>
  <c r="L2617" i="1"/>
  <c r="O2616" i="1"/>
  <c r="M2616" i="1" s="1"/>
  <c r="N2616" i="1"/>
  <c r="L2616" i="1"/>
  <c r="O2615" i="1"/>
  <c r="M2615" i="1" s="1"/>
  <c r="N2615" i="1"/>
  <c r="L2615" i="1"/>
  <c r="O2614" i="1"/>
  <c r="M2614" i="1" s="1"/>
  <c r="N2614" i="1"/>
  <c r="L2614" i="1"/>
  <c r="O2613" i="1"/>
  <c r="M2613" i="1" s="1"/>
  <c r="N2613" i="1"/>
  <c r="L2613" i="1"/>
  <c r="O2612" i="1"/>
  <c r="M2612" i="1" s="1"/>
  <c r="N2612" i="1"/>
  <c r="L2612" i="1"/>
  <c r="O2611" i="1"/>
  <c r="N2611" i="1"/>
  <c r="M2611" i="1"/>
  <c r="L2611" i="1"/>
  <c r="O2610" i="1"/>
  <c r="M2610" i="1" s="1"/>
  <c r="N2610" i="1"/>
  <c r="L2610" i="1"/>
  <c r="O2609" i="1"/>
  <c r="N2609" i="1"/>
  <c r="M2609" i="1"/>
  <c r="L2609" i="1"/>
  <c r="O2608" i="1"/>
  <c r="M2608" i="1" s="1"/>
  <c r="N2608" i="1"/>
  <c r="L2608" i="1"/>
  <c r="O2607" i="1"/>
  <c r="M2607" i="1" s="1"/>
  <c r="N2607" i="1"/>
  <c r="L2607" i="1"/>
  <c r="O2606" i="1"/>
  <c r="M2606" i="1" s="1"/>
  <c r="N2606" i="1"/>
  <c r="L2606" i="1"/>
  <c r="O2605" i="1"/>
  <c r="N2605" i="1"/>
  <c r="M2605" i="1"/>
  <c r="L2605" i="1"/>
  <c r="O2604" i="1"/>
  <c r="M2604" i="1" s="1"/>
  <c r="N2604" i="1"/>
  <c r="L2604" i="1"/>
  <c r="O2603" i="1"/>
  <c r="N2603" i="1"/>
  <c r="M2603" i="1"/>
  <c r="L2603" i="1"/>
  <c r="O2602" i="1"/>
  <c r="M2602" i="1" s="1"/>
  <c r="N2602" i="1"/>
  <c r="L2602" i="1"/>
  <c r="O2601" i="1"/>
  <c r="N2601" i="1"/>
  <c r="M2601" i="1"/>
  <c r="L2601" i="1"/>
  <c r="O2600" i="1"/>
  <c r="M2600" i="1" s="1"/>
  <c r="N2600" i="1"/>
  <c r="L2600" i="1"/>
  <c r="O2599" i="1"/>
  <c r="M2599" i="1" s="1"/>
  <c r="N2599" i="1"/>
  <c r="L2599" i="1"/>
  <c r="O2598" i="1"/>
  <c r="M2598" i="1" s="1"/>
  <c r="N2598" i="1"/>
  <c r="L2598" i="1"/>
  <c r="O2597" i="1"/>
  <c r="M2597" i="1" s="1"/>
  <c r="N2597" i="1"/>
  <c r="L2597" i="1"/>
  <c r="O2596" i="1"/>
  <c r="M2596" i="1" s="1"/>
  <c r="N2596" i="1"/>
  <c r="L2596" i="1"/>
  <c r="O2595" i="1"/>
  <c r="N2595" i="1"/>
  <c r="M2595" i="1"/>
  <c r="L2595" i="1"/>
  <c r="O2594" i="1"/>
  <c r="M2594" i="1" s="1"/>
  <c r="N2594" i="1"/>
  <c r="L2594" i="1"/>
  <c r="O2593" i="1"/>
  <c r="N2593" i="1"/>
  <c r="M2593" i="1"/>
  <c r="L2593" i="1"/>
  <c r="O2592" i="1"/>
  <c r="M2592" i="1" s="1"/>
  <c r="N2592" i="1"/>
  <c r="L2592" i="1"/>
  <c r="O2591" i="1"/>
  <c r="M2591" i="1" s="1"/>
  <c r="N2591" i="1"/>
  <c r="L2591" i="1"/>
  <c r="O2590" i="1"/>
  <c r="M2590" i="1" s="1"/>
  <c r="N2590" i="1"/>
  <c r="L2590" i="1"/>
  <c r="O2589" i="1"/>
  <c r="N2589" i="1"/>
  <c r="M2589" i="1"/>
  <c r="L2589" i="1"/>
  <c r="O2588" i="1"/>
  <c r="M2588" i="1" s="1"/>
  <c r="N2588" i="1"/>
  <c r="L2588" i="1"/>
  <c r="O2587" i="1"/>
  <c r="N2587" i="1"/>
  <c r="M2587" i="1"/>
  <c r="L2587" i="1"/>
  <c r="O2586" i="1"/>
  <c r="M2586" i="1" s="1"/>
  <c r="N2586" i="1"/>
  <c r="L2586" i="1"/>
  <c r="O2585" i="1"/>
  <c r="N2585" i="1"/>
  <c r="M2585" i="1"/>
  <c r="L2585" i="1"/>
  <c r="O2584" i="1"/>
  <c r="M2584" i="1" s="1"/>
  <c r="N2584" i="1"/>
  <c r="L2584" i="1"/>
  <c r="O2583" i="1"/>
  <c r="M2583" i="1" s="1"/>
  <c r="N2583" i="1"/>
  <c r="L2583" i="1"/>
  <c r="O2582" i="1"/>
  <c r="M2582" i="1" s="1"/>
  <c r="N2582" i="1"/>
  <c r="L2582" i="1"/>
  <c r="O2581" i="1"/>
  <c r="M2581" i="1" s="1"/>
  <c r="N2581" i="1"/>
  <c r="L2581" i="1"/>
  <c r="O2580" i="1"/>
  <c r="M2580" i="1" s="1"/>
  <c r="N2580" i="1"/>
  <c r="L2580" i="1"/>
  <c r="O2579" i="1"/>
  <c r="N2579" i="1"/>
  <c r="M2579" i="1"/>
  <c r="L2579" i="1"/>
  <c r="O2578" i="1"/>
  <c r="M2578" i="1" s="1"/>
  <c r="N2578" i="1"/>
  <c r="L2578" i="1"/>
  <c r="O2577" i="1"/>
  <c r="M2577" i="1" s="1"/>
  <c r="N2577" i="1"/>
  <c r="L2577" i="1"/>
  <c r="O2576" i="1"/>
  <c r="M2576" i="1" s="1"/>
  <c r="N2576" i="1"/>
  <c r="L2576" i="1"/>
  <c r="O2575" i="1"/>
  <c r="M2575" i="1" s="1"/>
  <c r="N2575" i="1"/>
  <c r="L2575" i="1"/>
  <c r="O2574" i="1"/>
  <c r="M2574" i="1" s="1"/>
  <c r="N2574" i="1"/>
  <c r="L2574" i="1"/>
  <c r="O2573" i="1"/>
  <c r="N2573" i="1"/>
  <c r="M2573" i="1"/>
  <c r="L2573" i="1"/>
  <c r="O2572" i="1"/>
  <c r="M2572" i="1" s="1"/>
  <c r="N2572" i="1"/>
  <c r="L2572" i="1"/>
  <c r="O2571" i="1"/>
  <c r="N2571" i="1"/>
  <c r="M2571" i="1"/>
  <c r="L2571" i="1"/>
  <c r="O2570" i="1"/>
  <c r="M2570" i="1" s="1"/>
  <c r="N2570" i="1"/>
  <c r="L2570" i="1"/>
  <c r="O2569" i="1"/>
  <c r="N2569" i="1"/>
  <c r="M2569" i="1"/>
  <c r="L2569" i="1"/>
  <c r="O2568" i="1"/>
  <c r="M2568" i="1" s="1"/>
  <c r="N2568" i="1"/>
  <c r="L2568" i="1"/>
  <c r="O2567" i="1"/>
  <c r="M2567" i="1" s="1"/>
  <c r="N2567" i="1"/>
  <c r="L2567" i="1"/>
  <c r="O2566" i="1"/>
  <c r="M2566" i="1" s="1"/>
  <c r="N2566" i="1"/>
  <c r="L2566" i="1"/>
  <c r="O2565" i="1"/>
  <c r="M2565" i="1" s="1"/>
  <c r="N2565" i="1"/>
  <c r="L2565" i="1"/>
  <c r="O2564" i="1"/>
  <c r="M2564" i="1" s="1"/>
  <c r="N2564" i="1"/>
  <c r="L2564" i="1"/>
  <c r="O2563" i="1"/>
  <c r="N2563" i="1"/>
  <c r="M2563" i="1"/>
  <c r="L2563" i="1"/>
  <c r="O2562" i="1"/>
  <c r="M2562" i="1" s="1"/>
  <c r="N2562" i="1"/>
  <c r="L2562" i="1"/>
  <c r="O2561" i="1"/>
  <c r="M2561" i="1" s="1"/>
  <c r="N2561" i="1"/>
  <c r="L2561" i="1"/>
  <c r="O2560" i="1"/>
  <c r="M2560" i="1" s="1"/>
  <c r="N2560" i="1"/>
  <c r="L2560" i="1"/>
  <c r="O2559" i="1"/>
  <c r="M2559" i="1" s="1"/>
  <c r="N2559" i="1"/>
  <c r="L2559" i="1"/>
  <c r="O2558" i="1"/>
  <c r="M2558" i="1" s="1"/>
  <c r="N2558" i="1"/>
  <c r="L2558" i="1"/>
  <c r="O2557" i="1"/>
  <c r="N2557" i="1"/>
  <c r="M2557" i="1"/>
  <c r="L2557" i="1"/>
  <c r="O2556" i="1"/>
  <c r="M2556" i="1" s="1"/>
  <c r="N2556" i="1"/>
  <c r="L2556" i="1"/>
  <c r="O2555" i="1"/>
  <c r="N2555" i="1"/>
  <c r="M2555" i="1"/>
  <c r="L2555" i="1"/>
  <c r="O2554" i="1"/>
  <c r="M2554" i="1" s="1"/>
  <c r="N2554" i="1"/>
  <c r="L2554" i="1"/>
  <c r="O2553" i="1"/>
  <c r="N2553" i="1"/>
  <c r="M2553" i="1"/>
  <c r="L2553" i="1"/>
  <c r="O2552" i="1"/>
  <c r="M2552" i="1" s="1"/>
  <c r="N2552" i="1"/>
  <c r="L2552" i="1"/>
  <c r="O2551" i="1"/>
  <c r="M2551" i="1" s="1"/>
  <c r="N2551" i="1"/>
  <c r="L2551" i="1"/>
  <c r="O2550" i="1"/>
  <c r="M2550" i="1" s="1"/>
  <c r="N2550" i="1"/>
  <c r="L2550" i="1"/>
  <c r="O2549" i="1"/>
  <c r="M2549" i="1" s="1"/>
  <c r="N2549" i="1"/>
  <c r="L2549" i="1"/>
  <c r="O2548" i="1"/>
  <c r="M2548" i="1" s="1"/>
  <c r="N2548" i="1"/>
  <c r="L2548" i="1"/>
  <c r="O2547" i="1"/>
  <c r="N2547" i="1"/>
  <c r="M2547" i="1"/>
  <c r="L2547" i="1"/>
  <c r="O2546" i="1"/>
  <c r="M2546" i="1" s="1"/>
  <c r="N2546" i="1"/>
  <c r="L2546" i="1"/>
  <c r="O2545" i="1"/>
  <c r="M2545" i="1" s="1"/>
  <c r="N2545" i="1"/>
  <c r="L2545" i="1"/>
  <c r="O2544" i="1"/>
  <c r="M2544" i="1" s="1"/>
  <c r="N2544" i="1"/>
  <c r="L2544" i="1"/>
  <c r="O2543" i="1"/>
  <c r="M2543" i="1" s="1"/>
  <c r="N2543" i="1"/>
  <c r="L2543" i="1"/>
  <c r="O2542" i="1"/>
  <c r="M2542" i="1" s="1"/>
  <c r="N2542" i="1"/>
  <c r="L2542" i="1"/>
  <c r="O2541" i="1"/>
  <c r="N2541" i="1"/>
  <c r="M2541" i="1"/>
  <c r="L2541" i="1"/>
  <c r="O2540" i="1"/>
  <c r="M2540" i="1" s="1"/>
  <c r="N2540" i="1"/>
  <c r="L2540" i="1"/>
  <c r="O2539" i="1"/>
  <c r="N2539" i="1"/>
  <c r="M2539" i="1"/>
  <c r="L2539" i="1"/>
  <c r="O2538" i="1"/>
  <c r="M2538" i="1" s="1"/>
  <c r="N2538" i="1"/>
  <c r="L2538" i="1"/>
  <c r="O2537" i="1"/>
  <c r="N2537" i="1"/>
  <c r="M2537" i="1"/>
  <c r="L2537" i="1"/>
  <c r="O2536" i="1"/>
  <c r="M2536" i="1" s="1"/>
  <c r="N2536" i="1"/>
  <c r="L2536" i="1"/>
  <c r="O2535" i="1"/>
  <c r="M2535" i="1" s="1"/>
  <c r="N2535" i="1"/>
  <c r="L2535" i="1"/>
  <c r="O2534" i="1"/>
  <c r="M2534" i="1" s="1"/>
  <c r="N2534" i="1"/>
  <c r="L2534" i="1"/>
  <c r="O2533" i="1"/>
  <c r="M2533" i="1" s="1"/>
  <c r="N2533" i="1"/>
  <c r="L2533" i="1"/>
  <c r="O2532" i="1"/>
  <c r="M2532" i="1" s="1"/>
  <c r="N2532" i="1"/>
  <c r="L2532" i="1"/>
  <c r="O2531" i="1"/>
  <c r="N2531" i="1"/>
  <c r="M2531" i="1"/>
  <c r="L2531" i="1"/>
  <c r="O2530" i="1"/>
  <c r="M2530" i="1" s="1"/>
  <c r="N2530" i="1"/>
  <c r="L2530" i="1"/>
  <c r="O2529" i="1"/>
  <c r="M2529" i="1" s="1"/>
  <c r="N2529" i="1"/>
  <c r="L2529" i="1"/>
  <c r="O2528" i="1"/>
  <c r="M2528" i="1" s="1"/>
  <c r="N2528" i="1"/>
  <c r="L2528" i="1"/>
  <c r="O2527" i="1"/>
  <c r="M2527" i="1" s="1"/>
  <c r="N2527" i="1"/>
  <c r="L2527" i="1"/>
  <c r="O2526" i="1"/>
  <c r="M2526" i="1" s="1"/>
  <c r="N2526" i="1"/>
  <c r="L2526" i="1"/>
  <c r="O2525" i="1"/>
  <c r="N2525" i="1"/>
  <c r="M2525" i="1"/>
  <c r="L2525" i="1"/>
  <c r="O2524" i="1"/>
  <c r="M2524" i="1" s="1"/>
  <c r="N2524" i="1"/>
  <c r="L2524" i="1"/>
  <c r="O2523" i="1"/>
  <c r="N2523" i="1"/>
  <c r="M2523" i="1"/>
  <c r="L2523" i="1"/>
  <c r="O2522" i="1"/>
  <c r="M2522" i="1" s="1"/>
  <c r="N2522" i="1"/>
  <c r="L2522" i="1"/>
  <c r="O2521" i="1"/>
  <c r="N2521" i="1"/>
  <c r="M2521" i="1"/>
  <c r="L2521" i="1"/>
  <c r="O2520" i="1"/>
  <c r="M2520" i="1" s="1"/>
  <c r="N2520" i="1"/>
  <c r="L2520" i="1"/>
  <c r="O2519" i="1"/>
  <c r="M2519" i="1" s="1"/>
  <c r="N2519" i="1"/>
  <c r="L2519" i="1"/>
  <c r="O2518" i="1"/>
  <c r="M2518" i="1" s="1"/>
  <c r="N2518" i="1"/>
  <c r="L2518" i="1"/>
  <c r="O2517" i="1"/>
  <c r="M2517" i="1" s="1"/>
  <c r="N2517" i="1"/>
  <c r="L2517" i="1"/>
  <c r="O2516" i="1"/>
  <c r="M2516" i="1" s="1"/>
  <c r="N2516" i="1"/>
  <c r="L2516" i="1"/>
  <c r="O2515" i="1"/>
  <c r="N2515" i="1"/>
  <c r="M2515" i="1"/>
  <c r="L2515" i="1"/>
  <c r="O2514" i="1"/>
  <c r="M2514" i="1" s="1"/>
  <c r="N2514" i="1"/>
  <c r="L2514" i="1"/>
  <c r="O2513" i="1"/>
  <c r="M2513" i="1" s="1"/>
  <c r="N2513" i="1"/>
  <c r="L2513" i="1"/>
  <c r="O2512" i="1"/>
  <c r="M2512" i="1" s="1"/>
  <c r="N2512" i="1"/>
  <c r="L2512" i="1"/>
  <c r="O2511" i="1"/>
  <c r="M2511" i="1" s="1"/>
  <c r="N2511" i="1"/>
  <c r="L2511" i="1"/>
  <c r="O2510" i="1"/>
  <c r="M2510" i="1" s="1"/>
  <c r="N2510" i="1"/>
  <c r="L2510" i="1"/>
  <c r="O2509" i="1"/>
  <c r="N2509" i="1"/>
  <c r="M2509" i="1"/>
  <c r="L2509" i="1"/>
  <c r="O2508" i="1"/>
  <c r="M2508" i="1" s="1"/>
  <c r="N2508" i="1"/>
  <c r="L2508" i="1"/>
  <c r="O2507" i="1"/>
  <c r="N2507" i="1"/>
  <c r="M2507" i="1"/>
  <c r="L2507" i="1"/>
  <c r="O2506" i="1"/>
  <c r="M2506" i="1" s="1"/>
  <c r="N2506" i="1"/>
  <c r="L2506" i="1"/>
  <c r="O2505" i="1"/>
  <c r="N2505" i="1"/>
  <c r="M2505" i="1"/>
  <c r="L2505" i="1"/>
  <c r="O2504" i="1"/>
  <c r="M2504" i="1" s="1"/>
  <c r="N2504" i="1"/>
  <c r="L2504" i="1"/>
  <c r="O2503" i="1"/>
  <c r="M2503" i="1" s="1"/>
  <c r="N2503" i="1"/>
  <c r="L2503" i="1"/>
  <c r="O2502" i="1"/>
  <c r="M2502" i="1" s="1"/>
  <c r="N2502" i="1"/>
  <c r="L2502" i="1"/>
  <c r="O2501" i="1"/>
  <c r="M2501" i="1" s="1"/>
  <c r="N2501" i="1"/>
  <c r="L2501" i="1"/>
  <c r="O2500" i="1"/>
  <c r="M2500" i="1" s="1"/>
  <c r="N2500" i="1"/>
  <c r="L2500" i="1"/>
  <c r="O2499" i="1"/>
  <c r="N2499" i="1"/>
  <c r="M2499" i="1"/>
  <c r="L2499" i="1"/>
  <c r="O2498" i="1"/>
  <c r="M2498" i="1" s="1"/>
  <c r="N2498" i="1"/>
  <c r="L2498" i="1"/>
  <c r="O2497" i="1"/>
  <c r="N2497" i="1"/>
  <c r="M2497" i="1"/>
  <c r="L2497" i="1"/>
  <c r="O2496" i="1"/>
  <c r="M2496" i="1" s="1"/>
  <c r="N2496" i="1"/>
  <c r="L2496" i="1"/>
  <c r="O2495" i="1"/>
  <c r="M2495" i="1" s="1"/>
  <c r="N2495" i="1"/>
  <c r="L2495" i="1"/>
  <c r="O2494" i="1"/>
  <c r="M2494" i="1" s="1"/>
  <c r="N2494" i="1"/>
  <c r="L2494" i="1"/>
  <c r="O2493" i="1"/>
  <c r="M2493" i="1" s="1"/>
  <c r="N2493" i="1"/>
  <c r="L2493" i="1"/>
  <c r="O2492" i="1"/>
  <c r="M2492" i="1" s="1"/>
  <c r="N2492" i="1"/>
  <c r="L2492" i="1"/>
  <c r="O2491" i="1"/>
  <c r="N2491" i="1"/>
  <c r="M2491" i="1"/>
  <c r="L2491" i="1"/>
  <c r="O2490" i="1"/>
  <c r="M2490" i="1" s="1"/>
  <c r="N2490" i="1"/>
  <c r="L2490" i="1"/>
  <c r="O2489" i="1"/>
  <c r="M2489" i="1" s="1"/>
  <c r="N2489" i="1"/>
  <c r="L2489" i="1"/>
  <c r="O2488" i="1"/>
  <c r="M2488" i="1" s="1"/>
  <c r="N2488" i="1"/>
  <c r="L2488" i="1"/>
  <c r="O2487" i="1"/>
  <c r="M2487" i="1" s="1"/>
  <c r="N2487" i="1"/>
  <c r="L2487" i="1"/>
  <c r="O2486" i="1"/>
  <c r="M2486" i="1" s="1"/>
  <c r="N2486" i="1"/>
  <c r="L2486" i="1"/>
  <c r="O2485" i="1"/>
  <c r="M2485" i="1" s="1"/>
  <c r="N2485" i="1"/>
  <c r="L2485" i="1"/>
  <c r="O2484" i="1"/>
  <c r="M2484" i="1" s="1"/>
  <c r="N2484" i="1"/>
  <c r="L2484" i="1"/>
  <c r="O2483" i="1"/>
  <c r="M2483" i="1" s="1"/>
  <c r="N2483" i="1"/>
  <c r="L2483" i="1"/>
  <c r="O2482" i="1"/>
  <c r="M2482" i="1" s="1"/>
  <c r="N2482" i="1"/>
  <c r="L2482" i="1"/>
  <c r="O2481" i="1"/>
  <c r="N2481" i="1"/>
  <c r="M2481" i="1"/>
  <c r="L2481" i="1"/>
  <c r="O2480" i="1"/>
  <c r="M2480" i="1" s="1"/>
  <c r="N2480" i="1"/>
  <c r="L2480" i="1"/>
  <c r="O2479" i="1"/>
  <c r="M2479" i="1" s="1"/>
  <c r="N2479" i="1"/>
  <c r="L2479" i="1"/>
  <c r="O2478" i="1"/>
  <c r="M2478" i="1" s="1"/>
  <c r="N2478" i="1"/>
  <c r="L2478" i="1"/>
  <c r="O2477" i="1"/>
  <c r="M2477" i="1" s="1"/>
  <c r="N2477" i="1"/>
  <c r="L2477" i="1"/>
  <c r="O2476" i="1"/>
  <c r="M2476" i="1" s="1"/>
  <c r="N2476" i="1"/>
  <c r="L2476" i="1"/>
  <c r="O2475" i="1"/>
  <c r="M2475" i="1" s="1"/>
  <c r="N2475" i="1"/>
  <c r="L2475" i="1"/>
  <c r="O2474" i="1"/>
  <c r="M2474" i="1" s="1"/>
  <c r="N2474" i="1"/>
  <c r="L2474" i="1"/>
  <c r="O2473" i="1"/>
  <c r="N2473" i="1"/>
  <c r="M2473" i="1"/>
  <c r="L2473" i="1"/>
  <c r="O2472" i="1"/>
  <c r="M2472" i="1" s="1"/>
  <c r="N2472" i="1"/>
  <c r="L2472" i="1"/>
  <c r="O2471" i="1"/>
  <c r="N2471" i="1"/>
  <c r="M2471" i="1"/>
  <c r="L2471" i="1"/>
  <c r="O2470" i="1"/>
  <c r="M2470" i="1" s="1"/>
  <c r="N2470" i="1"/>
  <c r="L2470" i="1"/>
  <c r="O2469" i="1"/>
  <c r="M2469" i="1" s="1"/>
  <c r="N2469" i="1"/>
  <c r="L2469" i="1"/>
  <c r="O2468" i="1"/>
  <c r="M2468" i="1" s="1"/>
  <c r="N2468" i="1"/>
  <c r="L2468" i="1"/>
  <c r="O2467" i="1"/>
  <c r="M2467" i="1" s="1"/>
  <c r="N2467" i="1"/>
  <c r="L2467" i="1"/>
  <c r="O2466" i="1"/>
  <c r="M2466" i="1" s="1"/>
  <c r="N2466" i="1"/>
  <c r="L2466" i="1"/>
  <c r="O2465" i="1"/>
  <c r="N2465" i="1"/>
  <c r="M2465" i="1"/>
  <c r="L2465" i="1"/>
  <c r="O2464" i="1"/>
  <c r="M2464" i="1" s="1"/>
  <c r="N2464" i="1"/>
  <c r="L2464" i="1"/>
  <c r="O2463" i="1"/>
  <c r="M2463" i="1" s="1"/>
  <c r="N2463" i="1"/>
  <c r="L2463" i="1"/>
  <c r="O2462" i="1"/>
  <c r="M2462" i="1" s="1"/>
  <c r="N2462" i="1"/>
  <c r="L2462" i="1"/>
  <c r="O2461" i="1"/>
  <c r="M2461" i="1" s="1"/>
  <c r="N2461" i="1"/>
  <c r="L2461" i="1"/>
  <c r="O2460" i="1"/>
  <c r="M2460" i="1" s="1"/>
  <c r="N2460" i="1"/>
  <c r="L2460" i="1"/>
  <c r="O2459" i="1"/>
  <c r="M2459" i="1" s="1"/>
  <c r="N2459" i="1"/>
  <c r="L2459" i="1"/>
  <c r="O2458" i="1"/>
  <c r="M2458" i="1" s="1"/>
  <c r="N2458" i="1"/>
  <c r="L2458" i="1"/>
  <c r="O2457" i="1"/>
  <c r="M2457" i="1" s="1"/>
  <c r="N2457" i="1"/>
  <c r="L2457" i="1"/>
  <c r="O2456" i="1"/>
  <c r="M2456" i="1" s="1"/>
  <c r="N2456" i="1"/>
  <c r="L2456" i="1"/>
  <c r="O2455" i="1"/>
  <c r="N2455" i="1"/>
  <c r="M2455" i="1"/>
  <c r="L2455" i="1"/>
  <c r="O2454" i="1"/>
  <c r="M2454" i="1" s="1"/>
  <c r="N2454" i="1"/>
  <c r="L2454" i="1"/>
  <c r="O2453" i="1"/>
  <c r="M2453" i="1" s="1"/>
  <c r="N2453" i="1"/>
  <c r="L2453" i="1"/>
  <c r="O2452" i="1"/>
  <c r="M2452" i="1" s="1"/>
  <c r="N2452" i="1"/>
  <c r="L2452" i="1"/>
  <c r="O2451" i="1"/>
  <c r="M2451" i="1" s="1"/>
  <c r="N2451" i="1"/>
  <c r="L2451" i="1"/>
  <c r="O2450" i="1"/>
  <c r="M2450" i="1" s="1"/>
  <c r="N2450" i="1"/>
  <c r="L2450" i="1"/>
  <c r="O2449" i="1"/>
  <c r="N2449" i="1"/>
  <c r="M2449" i="1"/>
  <c r="L2449" i="1"/>
  <c r="O2448" i="1"/>
  <c r="M2448" i="1" s="1"/>
  <c r="N2448" i="1"/>
  <c r="L2448" i="1"/>
  <c r="O2447" i="1"/>
  <c r="M2447" i="1" s="1"/>
  <c r="N2447" i="1"/>
  <c r="L2447" i="1"/>
  <c r="O2446" i="1"/>
  <c r="M2446" i="1" s="1"/>
  <c r="N2446" i="1"/>
  <c r="L2446" i="1"/>
  <c r="O2445" i="1"/>
  <c r="M2445" i="1" s="1"/>
  <c r="N2445" i="1"/>
  <c r="L2445" i="1"/>
  <c r="O2444" i="1"/>
  <c r="M2444" i="1" s="1"/>
  <c r="N2444" i="1"/>
  <c r="L2444" i="1"/>
  <c r="O2443" i="1"/>
  <c r="M2443" i="1" s="1"/>
  <c r="N2443" i="1"/>
  <c r="L2443" i="1"/>
  <c r="O2442" i="1"/>
  <c r="M2442" i="1" s="1"/>
  <c r="N2442" i="1"/>
  <c r="L2442" i="1"/>
  <c r="O2441" i="1"/>
  <c r="M2441" i="1" s="1"/>
  <c r="N2441" i="1"/>
  <c r="L2441" i="1"/>
  <c r="O2440" i="1"/>
  <c r="M2440" i="1" s="1"/>
  <c r="N2440" i="1"/>
  <c r="L2440" i="1"/>
  <c r="O2439" i="1"/>
  <c r="M2439" i="1" s="1"/>
  <c r="N2439" i="1"/>
  <c r="L2439" i="1"/>
  <c r="O2438" i="1"/>
  <c r="M2438" i="1" s="1"/>
  <c r="N2438" i="1"/>
  <c r="L2438" i="1"/>
  <c r="O2437" i="1"/>
  <c r="M2437" i="1" s="1"/>
  <c r="N2437" i="1"/>
  <c r="L2437" i="1"/>
  <c r="O2436" i="1"/>
  <c r="M2436" i="1" s="1"/>
  <c r="N2436" i="1"/>
  <c r="L2436" i="1"/>
  <c r="O2435" i="1"/>
  <c r="M2435" i="1" s="1"/>
  <c r="N2435" i="1"/>
  <c r="L2435" i="1"/>
  <c r="O2434" i="1"/>
  <c r="M2434" i="1" s="1"/>
  <c r="N2434" i="1"/>
  <c r="L2434" i="1"/>
  <c r="O2433" i="1"/>
  <c r="M2433" i="1" s="1"/>
  <c r="N2433" i="1"/>
  <c r="L2433" i="1"/>
  <c r="O2432" i="1"/>
  <c r="M2432" i="1" s="1"/>
  <c r="N2432" i="1"/>
  <c r="L2432" i="1"/>
  <c r="O2431" i="1"/>
  <c r="M2431" i="1" s="1"/>
  <c r="N2431" i="1"/>
  <c r="L2431" i="1"/>
  <c r="O2430" i="1"/>
  <c r="M2430" i="1" s="1"/>
  <c r="N2430" i="1"/>
  <c r="L2430" i="1"/>
  <c r="O2429" i="1"/>
  <c r="M2429" i="1" s="1"/>
  <c r="N2429" i="1"/>
  <c r="L2429" i="1"/>
  <c r="O2428" i="1"/>
  <c r="M2428" i="1" s="1"/>
  <c r="N2428" i="1"/>
  <c r="L2428" i="1"/>
  <c r="O2427" i="1"/>
  <c r="M2427" i="1" s="1"/>
  <c r="N2427" i="1"/>
  <c r="L2427" i="1"/>
  <c r="O2426" i="1"/>
  <c r="M2426" i="1" s="1"/>
  <c r="N2426" i="1"/>
  <c r="L2426" i="1"/>
  <c r="O2425" i="1"/>
  <c r="M2425" i="1" s="1"/>
  <c r="N2425" i="1"/>
  <c r="L2425" i="1"/>
  <c r="O2424" i="1"/>
  <c r="M2424" i="1" s="1"/>
  <c r="N2424" i="1"/>
  <c r="L2424" i="1"/>
  <c r="O2423" i="1"/>
  <c r="M2423" i="1" s="1"/>
  <c r="N2423" i="1"/>
  <c r="L2423" i="1"/>
  <c r="O2422" i="1"/>
  <c r="M2422" i="1" s="1"/>
  <c r="N2422" i="1"/>
  <c r="L2422" i="1"/>
  <c r="O2421" i="1"/>
  <c r="M2421" i="1" s="1"/>
  <c r="N2421" i="1"/>
  <c r="L2421" i="1"/>
  <c r="O2420" i="1"/>
  <c r="M2420" i="1" s="1"/>
  <c r="N2420" i="1"/>
  <c r="L2420" i="1"/>
  <c r="O2419" i="1"/>
  <c r="M2419" i="1" s="1"/>
  <c r="N2419" i="1"/>
  <c r="L2419" i="1"/>
  <c r="O2418" i="1"/>
  <c r="M2418" i="1" s="1"/>
  <c r="N2418" i="1"/>
  <c r="L2418" i="1"/>
  <c r="O2417" i="1"/>
  <c r="M2417" i="1" s="1"/>
  <c r="N2417" i="1"/>
  <c r="L2417" i="1"/>
  <c r="O2416" i="1"/>
  <c r="M2416" i="1" s="1"/>
  <c r="N2416" i="1"/>
  <c r="L2416" i="1"/>
  <c r="O2415" i="1"/>
  <c r="M2415" i="1" s="1"/>
  <c r="N2415" i="1"/>
  <c r="L2415" i="1"/>
  <c r="O2414" i="1"/>
  <c r="M2414" i="1" s="1"/>
  <c r="N2414" i="1"/>
  <c r="L2414" i="1"/>
  <c r="O2413" i="1"/>
  <c r="M2413" i="1" s="1"/>
  <c r="N2413" i="1"/>
  <c r="L2413" i="1"/>
  <c r="O2412" i="1"/>
  <c r="M2412" i="1" s="1"/>
  <c r="N2412" i="1"/>
  <c r="L2412" i="1"/>
  <c r="O2411" i="1"/>
  <c r="M2411" i="1" s="1"/>
  <c r="N2411" i="1"/>
  <c r="L2411" i="1"/>
  <c r="O2410" i="1"/>
  <c r="M2410" i="1" s="1"/>
  <c r="N2410" i="1"/>
  <c r="L2410" i="1"/>
  <c r="O2409" i="1"/>
  <c r="M2409" i="1" s="1"/>
  <c r="N2409" i="1"/>
  <c r="L2409" i="1"/>
  <c r="O2408" i="1"/>
  <c r="M2408" i="1" s="1"/>
  <c r="N2408" i="1"/>
  <c r="L2408" i="1"/>
  <c r="O2407" i="1"/>
  <c r="M2407" i="1" s="1"/>
  <c r="N2407" i="1"/>
  <c r="L2407" i="1"/>
  <c r="O2406" i="1"/>
  <c r="M2406" i="1" s="1"/>
  <c r="N2406" i="1"/>
  <c r="L2406" i="1"/>
  <c r="O2405" i="1"/>
  <c r="M2405" i="1" s="1"/>
  <c r="N2405" i="1"/>
  <c r="L2405" i="1"/>
  <c r="O2404" i="1"/>
  <c r="M2404" i="1" s="1"/>
  <c r="N2404" i="1"/>
  <c r="L2404" i="1"/>
  <c r="O2403" i="1"/>
  <c r="M2403" i="1" s="1"/>
  <c r="N2403" i="1"/>
  <c r="L2403" i="1"/>
  <c r="O2402" i="1"/>
  <c r="M2402" i="1" s="1"/>
  <c r="N2402" i="1"/>
  <c r="L2402" i="1"/>
  <c r="O2401" i="1"/>
  <c r="M2401" i="1" s="1"/>
  <c r="N2401" i="1"/>
  <c r="L2401" i="1"/>
  <c r="O2400" i="1"/>
  <c r="M2400" i="1" s="1"/>
  <c r="N2400" i="1"/>
  <c r="L2400" i="1"/>
  <c r="O2399" i="1"/>
  <c r="M2399" i="1" s="1"/>
  <c r="N2399" i="1"/>
  <c r="L2399" i="1"/>
  <c r="O2398" i="1"/>
  <c r="M2398" i="1" s="1"/>
  <c r="N2398" i="1"/>
  <c r="L2398" i="1"/>
  <c r="O2397" i="1"/>
  <c r="M2397" i="1" s="1"/>
  <c r="N2397" i="1"/>
  <c r="L2397" i="1"/>
  <c r="O2396" i="1"/>
  <c r="M2396" i="1" s="1"/>
  <c r="N2396" i="1"/>
  <c r="L2396" i="1"/>
  <c r="O2395" i="1"/>
  <c r="M2395" i="1" s="1"/>
  <c r="N2395" i="1"/>
  <c r="L2395" i="1"/>
  <c r="O2394" i="1"/>
  <c r="M2394" i="1" s="1"/>
  <c r="N2394" i="1"/>
  <c r="L2394" i="1"/>
  <c r="O2393" i="1"/>
  <c r="M2393" i="1" s="1"/>
  <c r="N2393" i="1"/>
  <c r="L2393" i="1"/>
  <c r="O2392" i="1"/>
  <c r="M2392" i="1" s="1"/>
  <c r="N2392" i="1"/>
  <c r="L2392" i="1"/>
  <c r="O2391" i="1"/>
  <c r="M2391" i="1" s="1"/>
  <c r="N2391" i="1"/>
  <c r="L2391" i="1"/>
  <c r="O2390" i="1"/>
  <c r="M2390" i="1" s="1"/>
  <c r="N2390" i="1"/>
  <c r="L2390" i="1"/>
  <c r="O2389" i="1"/>
  <c r="M2389" i="1" s="1"/>
  <c r="N2389" i="1"/>
  <c r="L2389" i="1"/>
  <c r="O2388" i="1"/>
  <c r="M2388" i="1" s="1"/>
  <c r="N2388" i="1"/>
  <c r="L2388" i="1"/>
  <c r="O2387" i="1"/>
  <c r="M2387" i="1" s="1"/>
  <c r="N2387" i="1"/>
  <c r="L2387" i="1"/>
  <c r="O2386" i="1"/>
  <c r="M2386" i="1" s="1"/>
  <c r="N2386" i="1"/>
  <c r="L2386" i="1"/>
  <c r="O2385" i="1"/>
  <c r="M2385" i="1" s="1"/>
  <c r="N2385" i="1"/>
  <c r="L2385" i="1"/>
  <c r="O2384" i="1"/>
  <c r="M2384" i="1" s="1"/>
  <c r="N2384" i="1"/>
  <c r="L2384" i="1"/>
  <c r="O2383" i="1"/>
  <c r="M2383" i="1" s="1"/>
  <c r="N2383" i="1"/>
  <c r="L2383" i="1"/>
  <c r="O2382" i="1"/>
  <c r="M2382" i="1" s="1"/>
  <c r="N2382" i="1"/>
  <c r="L2382" i="1"/>
  <c r="O2381" i="1"/>
  <c r="M2381" i="1" s="1"/>
  <c r="N2381" i="1"/>
  <c r="L2381" i="1"/>
  <c r="O2380" i="1"/>
  <c r="M2380" i="1" s="1"/>
  <c r="N2380" i="1"/>
  <c r="L2380" i="1"/>
  <c r="O2379" i="1"/>
  <c r="M2379" i="1" s="1"/>
  <c r="N2379" i="1"/>
  <c r="L2379" i="1"/>
  <c r="O2378" i="1"/>
  <c r="M2378" i="1" s="1"/>
  <c r="N2378" i="1"/>
  <c r="L2378" i="1"/>
  <c r="O2377" i="1"/>
  <c r="M2377" i="1" s="1"/>
  <c r="N2377" i="1"/>
  <c r="L2377" i="1"/>
  <c r="O2376" i="1"/>
  <c r="M2376" i="1" s="1"/>
  <c r="N2376" i="1"/>
  <c r="L2376" i="1"/>
  <c r="O2375" i="1"/>
  <c r="M2375" i="1" s="1"/>
  <c r="N2375" i="1"/>
  <c r="L2375" i="1"/>
  <c r="O2374" i="1"/>
  <c r="M2374" i="1" s="1"/>
  <c r="N2374" i="1"/>
  <c r="L2374" i="1"/>
  <c r="O2373" i="1"/>
  <c r="M2373" i="1" s="1"/>
  <c r="N2373" i="1"/>
  <c r="L2373" i="1"/>
  <c r="O2372" i="1"/>
  <c r="M2372" i="1" s="1"/>
  <c r="N2372" i="1"/>
  <c r="L2372" i="1"/>
  <c r="O2371" i="1"/>
  <c r="M2371" i="1" s="1"/>
  <c r="N2371" i="1"/>
  <c r="L2371" i="1"/>
  <c r="O2370" i="1"/>
  <c r="M2370" i="1" s="1"/>
  <c r="N2370" i="1"/>
  <c r="L2370" i="1"/>
  <c r="O2369" i="1"/>
  <c r="M2369" i="1" s="1"/>
  <c r="N2369" i="1"/>
  <c r="L2369" i="1"/>
  <c r="O2368" i="1"/>
  <c r="M2368" i="1" s="1"/>
  <c r="N2368" i="1"/>
  <c r="L2368" i="1"/>
  <c r="O2367" i="1"/>
  <c r="M2367" i="1" s="1"/>
  <c r="N2367" i="1"/>
  <c r="L2367" i="1"/>
  <c r="O2366" i="1"/>
  <c r="M2366" i="1" s="1"/>
  <c r="N2366" i="1"/>
  <c r="L2366" i="1"/>
  <c r="O2365" i="1"/>
  <c r="M2365" i="1" s="1"/>
  <c r="N2365" i="1"/>
  <c r="L2365" i="1"/>
  <c r="O2364" i="1"/>
  <c r="M2364" i="1" s="1"/>
  <c r="N2364" i="1"/>
  <c r="L2364" i="1"/>
  <c r="O2363" i="1"/>
  <c r="M2363" i="1" s="1"/>
  <c r="N2363" i="1"/>
  <c r="L2363" i="1"/>
  <c r="O2362" i="1"/>
  <c r="M2362" i="1" s="1"/>
  <c r="N2362" i="1"/>
  <c r="L2362" i="1"/>
  <c r="O2361" i="1"/>
  <c r="M2361" i="1" s="1"/>
  <c r="N2361" i="1"/>
  <c r="L2361" i="1"/>
  <c r="O2360" i="1"/>
  <c r="M2360" i="1" s="1"/>
  <c r="N2360" i="1"/>
  <c r="L2360" i="1"/>
  <c r="O2359" i="1"/>
  <c r="M2359" i="1" s="1"/>
  <c r="N2359" i="1"/>
  <c r="L2359" i="1"/>
  <c r="O2358" i="1"/>
  <c r="M2358" i="1" s="1"/>
  <c r="N2358" i="1"/>
  <c r="L2358" i="1"/>
  <c r="O2357" i="1"/>
  <c r="M2357" i="1" s="1"/>
  <c r="N2357" i="1"/>
  <c r="L2357" i="1"/>
  <c r="O2356" i="1"/>
  <c r="M2356" i="1" s="1"/>
  <c r="N2356" i="1"/>
  <c r="L2356" i="1"/>
  <c r="O2355" i="1"/>
  <c r="M2355" i="1" s="1"/>
  <c r="N2355" i="1"/>
  <c r="L2355" i="1"/>
  <c r="O2354" i="1"/>
  <c r="M2354" i="1" s="1"/>
  <c r="N2354" i="1"/>
  <c r="L2354" i="1"/>
  <c r="O2353" i="1"/>
  <c r="M2353" i="1" s="1"/>
  <c r="N2353" i="1"/>
  <c r="L2353" i="1"/>
  <c r="O2352" i="1"/>
  <c r="M2352" i="1" s="1"/>
  <c r="N2352" i="1"/>
  <c r="L2352" i="1"/>
  <c r="O2351" i="1"/>
  <c r="M2351" i="1" s="1"/>
  <c r="N2351" i="1"/>
  <c r="L2351" i="1"/>
  <c r="O2350" i="1"/>
  <c r="M2350" i="1" s="1"/>
  <c r="N2350" i="1"/>
  <c r="L2350" i="1"/>
  <c r="O2349" i="1"/>
  <c r="M2349" i="1" s="1"/>
  <c r="N2349" i="1"/>
  <c r="L2349" i="1"/>
  <c r="O2348" i="1"/>
  <c r="M2348" i="1" s="1"/>
  <c r="N2348" i="1"/>
  <c r="L2348" i="1"/>
  <c r="O2347" i="1"/>
  <c r="M2347" i="1" s="1"/>
  <c r="N2347" i="1"/>
  <c r="L2347" i="1"/>
  <c r="O2346" i="1"/>
  <c r="M2346" i="1" s="1"/>
  <c r="N2346" i="1"/>
  <c r="L2346" i="1"/>
  <c r="O2345" i="1"/>
  <c r="M2345" i="1" s="1"/>
  <c r="N2345" i="1"/>
  <c r="L2345" i="1"/>
  <c r="O2344" i="1"/>
  <c r="M2344" i="1" s="1"/>
  <c r="N2344" i="1"/>
  <c r="L2344" i="1"/>
  <c r="O2343" i="1"/>
  <c r="M2343" i="1" s="1"/>
  <c r="N2343" i="1"/>
  <c r="L2343" i="1"/>
  <c r="O2342" i="1"/>
  <c r="M2342" i="1" s="1"/>
  <c r="N2342" i="1"/>
  <c r="L2342" i="1"/>
  <c r="O2341" i="1"/>
  <c r="M2341" i="1" s="1"/>
  <c r="N2341" i="1"/>
  <c r="L2341" i="1"/>
  <c r="O2340" i="1"/>
  <c r="M2340" i="1" s="1"/>
  <c r="N2340" i="1"/>
  <c r="L2340" i="1"/>
  <c r="O2339" i="1"/>
  <c r="M2339" i="1" s="1"/>
  <c r="N2339" i="1"/>
  <c r="L2339" i="1"/>
  <c r="O2338" i="1"/>
  <c r="M2338" i="1" s="1"/>
  <c r="N2338" i="1"/>
  <c r="L2338" i="1"/>
  <c r="O2337" i="1"/>
  <c r="M2337" i="1" s="1"/>
  <c r="N2337" i="1"/>
  <c r="L2337" i="1"/>
  <c r="O2336" i="1"/>
  <c r="M2336" i="1" s="1"/>
  <c r="N2336" i="1"/>
  <c r="L2336" i="1"/>
  <c r="O2335" i="1"/>
  <c r="M2335" i="1" s="1"/>
  <c r="N2335" i="1"/>
  <c r="L2335" i="1"/>
  <c r="O2334" i="1"/>
  <c r="M2334" i="1" s="1"/>
  <c r="N2334" i="1"/>
  <c r="L2334" i="1"/>
  <c r="O2333" i="1"/>
  <c r="M2333" i="1" s="1"/>
  <c r="N2333" i="1"/>
  <c r="L2333" i="1"/>
  <c r="O2332" i="1"/>
  <c r="M2332" i="1" s="1"/>
  <c r="N2332" i="1"/>
  <c r="L2332" i="1"/>
  <c r="O2331" i="1"/>
  <c r="M2331" i="1" s="1"/>
  <c r="N2331" i="1"/>
  <c r="L2331" i="1"/>
  <c r="O2330" i="1"/>
  <c r="M2330" i="1" s="1"/>
  <c r="N2330" i="1"/>
  <c r="L2330" i="1"/>
  <c r="O2329" i="1"/>
  <c r="M2329" i="1" s="1"/>
  <c r="N2329" i="1"/>
  <c r="L2329" i="1"/>
  <c r="O2328" i="1"/>
  <c r="M2328" i="1" s="1"/>
  <c r="N2328" i="1"/>
  <c r="L2328" i="1"/>
  <c r="O2327" i="1"/>
  <c r="M2327" i="1" s="1"/>
  <c r="N2327" i="1"/>
  <c r="L2327" i="1"/>
  <c r="O2326" i="1"/>
  <c r="M2326" i="1" s="1"/>
  <c r="N2326" i="1"/>
  <c r="L2326" i="1"/>
  <c r="O2325" i="1"/>
  <c r="M2325" i="1" s="1"/>
  <c r="N2325" i="1"/>
  <c r="L2325" i="1"/>
  <c r="O2324" i="1"/>
  <c r="M2324" i="1" s="1"/>
  <c r="N2324" i="1"/>
  <c r="L2324" i="1"/>
  <c r="O2323" i="1"/>
  <c r="M2323" i="1" s="1"/>
  <c r="N2323" i="1"/>
  <c r="L2323" i="1"/>
  <c r="O2322" i="1"/>
  <c r="M2322" i="1" s="1"/>
  <c r="N2322" i="1"/>
  <c r="L2322" i="1"/>
  <c r="O2321" i="1"/>
  <c r="M2321" i="1" s="1"/>
  <c r="N2321" i="1"/>
  <c r="L2321" i="1"/>
  <c r="O2320" i="1"/>
  <c r="M2320" i="1" s="1"/>
  <c r="N2320" i="1"/>
  <c r="L2320" i="1"/>
  <c r="O2319" i="1"/>
  <c r="M2319" i="1" s="1"/>
  <c r="N2319" i="1"/>
  <c r="L2319" i="1"/>
  <c r="O2318" i="1"/>
  <c r="M2318" i="1" s="1"/>
  <c r="N2318" i="1"/>
  <c r="L2318" i="1"/>
  <c r="O2317" i="1"/>
  <c r="M2317" i="1" s="1"/>
  <c r="N2317" i="1"/>
  <c r="L2317" i="1"/>
  <c r="O2316" i="1"/>
  <c r="M2316" i="1" s="1"/>
  <c r="N2316" i="1"/>
  <c r="L2316" i="1"/>
  <c r="O2315" i="1"/>
  <c r="M2315" i="1" s="1"/>
  <c r="N2315" i="1"/>
  <c r="L2315" i="1"/>
  <c r="O2314" i="1"/>
  <c r="M2314" i="1" s="1"/>
  <c r="N2314" i="1"/>
  <c r="L2314" i="1"/>
  <c r="O2313" i="1"/>
  <c r="M2313" i="1" s="1"/>
  <c r="N2313" i="1"/>
  <c r="L2313" i="1"/>
  <c r="O2312" i="1"/>
  <c r="M2312" i="1" s="1"/>
  <c r="N2312" i="1"/>
  <c r="L2312" i="1"/>
  <c r="O2311" i="1"/>
  <c r="M2311" i="1" s="1"/>
  <c r="N2311" i="1"/>
  <c r="L2311" i="1"/>
  <c r="O2310" i="1"/>
  <c r="M2310" i="1" s="1"/>
  <c r="N2310" i="1"/>
  <c r="L2310" i="1"/>
  <c r="O2309" i="1"/>
  <c r="M2309" i="1" s="1"/>
  <c r="N2309" i="1"/>
  <c r="L2309" i="1"/>
  <c r="O2308" i="1"/>
  <c r="M2308" i="1" s="1"/>
  <c r="N2308" i="1"/>
  <c r="L2308" i="1"/>
  <c r="O2307" i="1"/>
  <c r="M2307" i="1" s="1"/>
  <c r="N2307" i="1"/>
  <c r="L2307" i="1"/>
  <c r="O2306" i="1"/>
  <c r="M2306" i="1" s="1"/>
  <c r="N2306" i="1"/>
  <c r="L2306" i="1"/>
  <c r="O2305" i="1"/>
  <c r="M2305" i="1" s="1"/>
  <c r="N2305" i="1"/>
  <c r="L2305" i="1"/>
  <c r="O2304" i="1"/>
  <c r="M2304" i="1" s="1"/>
  <c r="N2304" i="1"/>
  <c r="L2304" i="1"/>
  <c r="O2303" i="1"/>
  <c r="M2303" i="1" s="1"/>
  <c r="N2303" i="1"/>
  <c r="L2303" i="1"/>
  <c r="O2302" i="1"/>
  <c r="M2302" i="1" s="1"/>
  <c r="N2302" i="1"/>
  <c r="L2302" i="1"/>
  <c r="O2301" i="1"/>
  <c r="M2301" i="1" s="1"/>
  <c r="N2301" i="1"/>
  <c r="L2301" i="1"/>
  <c r="O2300" i="1"/>
  <c r="M2300" i="1" s="1"/>
  <c r="N2300" i="1"/>
  <c r="L2300" i="1"/>
  <c r="O2299" i="1"/>
  <c r="M2299" i="1" s="1"/>
  <c r="N2299" i="1"/>
  <c r="L2299" i="1"/>
  <c r="O2298" i="1"/>
  <c r="M2298" i="1" s="1"/>
  <c r="N2298" i="1"/>
  <c r="L2298" i="1"/>
  <c r="O2297" i="1"/>
  <c r="M2297" i="1" s="1"/>
  <c r="N2297" i="1"/>
  <c r="L2297" i="1"/>
  <c r="O2296" i="1"/>
  <c r="M2296" i="1" s="1"/>
  <c r="N2296" i="1"/>
  <c r="L2296" i="1"/>
  <c r="O2295" i="1"/>
  <c r="M2295" i="1" s="1"/>
  <c r="N2295" i="1"/>
  <c r="L2295" i="1"/>
  <c r="O2294" i="1"/>
  <c r="M2294" i="1" s="1"/>
  <c r="N2294" i="1"/>
  <c r="L2294" i="1"/>
  <c r="O2293" i="1"/>
  <c r="M2293" i="1" s="1"/>
  <c r="N2293" i="1"/>
  <c r="L2293" i="1"/>
  <c r="O2292" i="1"/>
  <c r="M2292" i="1" s="1"/>
  <c r="N2292" i="1"/>
  <c r="L2292" i="1"/>
  <c r="O2291" i="1"/>
  <c r="M2291" i="1" s="1"/>
  <c r="N2291" i="1"/>
  <c r="L2291" i="1"/>
  <c r="O2290" i="1"/>
  <c r="M2290" i="1" s="1"/>
  <c r="N2290" i="1"/>
  <c r="L2290" i="1"/>
  <c r="O2289" i="1"/>
  <c r="M2289" i="1" s="1"/>
  <c r="N2289" i="1"/>
  <c r="L2289" i="1"/>
  <c r="O2288" i="1"/>
  <c r="M2288" i="1" s="1"/>
  <c r="N2288" i="1"/>
  <c r="L2288" i="1"/>
  <c r="O2287" i="1"/>
  <c r="M2287" i="1" s="1"/>
  <c r="N2287" i="1"/>
  <c r="L2287" i="1"/>
  <c r="O2286" i="1"/>
  <c r="M2286" i="1" s="1"/>
  <c r="N2286" i="1"/>
  <c r="L2286" i="1"/>
  <c r="O2285" i="1"/>
  <c r="M2285" i="1" s="1"/>
  <c r="N2285" i="1"/>
  <c r="L2285" i="1"/>
  <c r="O2284" i="1"/>
  <c r="M2284" i="1" s="1"/>
  <c r="N2284" i="1"/>
  <c r="L2284" i="1"/>
  <c r="O2283" i="1"/>
  <c r="M2283" i="1" s="1"/>
  <c r="N2283" i="1"/>
  <c r="L2283" i="1"/>
  <c r="O2282" i="1"/>
  <c r="M2282" i="1" s="1"/>
  <c r="N2282" i="1"/>
  <c r="L2282" i="1"/>
  <c r="O2281" i="1"/>
  <c r="M2281" i="1" s="1"/>
  <c r="N2281" i="1"/>
  <c r="L2281" i="1"/>
  <c r="O2280" i="1"/>
  <c r="M2280" i="1" s="1"/>
  <c r="N2280" i="1"/>
  <c r="L2280" i="1"/>
  <c r="O2279" i="1"/>
  <c r="M2279" i="1" s="1"/>
  <c r="N2279" i="1"/>
  <c r="L2279" i="1"/>
  <c r="O2278" i="1"/>
  <c r="M2278" i="1" s="1"/>
  <c r="N2278" i="1"/>
  <c r="L2278" i="1"/>
  <c r="O2277" i="1"/>
  <c r="M2277" i="1" s="1"/>
  <c r="N2277" i="1"/>
  <c r="L2277" i="1"/>
  <c r="O2276" i="1"/>
  <c r="N2276" i="1"/>
  <c r="M2276" i="1"/>
  <c r="L2276" i="1"/>
  <c r="O2275" i="1"/>
  <c r="M2275" i="1" s="1"/>
  <c r="N2275" i="1"/>
  <c r="L2275" i="1"/>
  <c r="O2274" i="1"/>
  <c r="M2274" i="1" s="1"/>
  <c r="N2274" i="1"/>
  <c r="L2274" i="1"/>
  <c r="O2273" i="1"/>
  <c r="M2273" i="1" s="1"/>
  <c r="N2273" i="1"/>
  <c r="L2273" i="1"/>
  <c r="O2272" i="1"/>
  <c r="M2272" i="1" s="1"/>
  <c r="N2272" i="1"/>
  <c r="L2272" i="1"/>
  <c r="O2271" i="1"/>
  <c r="M2271" i="1" s="1"/>
  <c r="N2271" i="1"/>
  <c r="L2271" i="1"/>
  <c r="O2270" i="1"/>
  <c r="M2270" i="1" s="1"/>
  <c r="N2270" i="1"/>
  <c r="L2270" i="1"/>
  <c r="O2269" i="1"/>
  <c r="M2269" i="1" s="1"/>
  <c r="N2269" i="1"/>
  <c r="L2269" i="1"/>
  <c r="O2268" i="1"/>
  <c r="M2268" i="1" s="1"/>
  <c r="N2268" i="1"/>
  <c r="L2268" i="1"/>
  <c r="O2267" i="1"/>
  <c r="M2267" i="1" s="1"/>
  <c r="N2267" i="1"/>
  <c r="L2267" i="1"/>
  <c r="O2266" i="1"/>
  <c r="N2266" i="1"/>
  <c r="M2266" i="1"/>
  <c r="L2266" i="1"/>
  <c r="O2265" i="1"/>
  <c r="M2265" i="1" s="1"/>
  <c r="N2265" i="1"/>
  <c r="L2265" i="1"/>
  <c r="O2264" i="1"/>
  <c r="M2264" i="1" s="1"/>
  <c r="N2264" i="1"/>
  <c r="L2264" i="1"/>
  <c r="O2263" i="1"/>
  <c r="M2263" i="1" s="1"/>
  <c r="N2263" i="1"/>
  <c r="L2263" i="1"/>
  <c r="O2262" i="1"/>
  <c r="M2262" i="1" s="1"/>
  <c r="N2262" i="1"/>
  <c r="L2262" i="1"/>
  <c r="O2261" i="1"/>
  <c r="M2261" i="1" s="1"/>
  <c r="N2261" i="1"/>
  <c r="L2261" i="1"/>
  <c r="O2260" i="1"/>
  <c r="M2260" i="1" s="1"/>
  <c r="N2260" i="1"/>
  <c r="L2260" i="1"/>
  <c r="O2259" i="1"/>
  <c r="M2259" i="1" s="1"/>
  <c r="N2259" i="1"/>
  <c r="L2259" i="1"/>
  <c r="O2258" i="1"/>
  <c r="M2258" i="1" s="1"/>
  <c r="N2258" i="1"/>
  <c r="L2258" i="1"/>
  <c r="O2257" i="1"/>
  <c r="M2257" i="1" s="1"/>
  <c r="N2257" i="1"/>
  <c r="L2257" i="1"/>
  <c r="O2256" i="1"/>
  <c r="N2256" i="1"/>
  <c r="M2256" i="1"/>
  <c r="L2256" i="1"/>
  <c r="O2255" i="1"/>
  <c r="M2255" i="1" s="1"/>
  <c r="N2255" i="1"/>
  <c r="L2255" i="1"/>
  <c r="O2254" i="1"/>
  <c r="M2254" i="1" s="1"/>
  <c r="N2254" i="1"/>
  <c r="L2254" i="1"/>
  <c r="O2253" i="1"/>
  <c r="M2253" i="1" s="1"/>
  <c r="N2253" i="1"/>
  <c r="L2253" i="1"/>
  <c r="O2252" i="1"/>
  <c r="M2252" i="1" s="1"/>
  <c r="N2252" i="1"/>
  <c r="L2252" i="1"/>
  <c r="O2251" i="1"/>
  <c r="M2251" i="1" s="1"/>
  <c r="N2251" i="1"/>
  <c r="L2251" i="1"/>
  <c r="O2250" i="1"/>
  <c r="M2250" i="1" s="1"/>
  <c r="N2250" i="1"/>
  <c r="L2250" i="1"/>
  <c r="O2249" i="1"/>
  <c r="M2249" i="1" s="1"/>
  <c r="N2249" i="1"/>
  <c r="L2249" i="1"/>
  <c r="O2248" i="1"/>
  <c r="M2248" i="1" s="1"/>
  <c r="N2248" i="1"/>
  <c r="L2248" i="1"/>
  <c r="O2247" i="1"/>
  <c r="M2247" i="1" s="1"/>
  <c r="N2247" i="1"/>
  <c r="L2247" i="1"/>
  <c r="O2246" i="1"/>
  <c r="M2246" i="1" s="1"/>
  <c r="N2246" i="1"/>
  <c r="L2246" i="1"/>
  <c r="O2245" i="1"/>
  <c r="M2245" i="1" s="1"/>
  <c r="N2245" i="1"/>
  <c r="L2245" i="1"/>
  <c r="O2244" i="1"/>
  <c r="N2244" i="1"/>
  <c r="M2244" i="1"/>
  <c r="L2244" i="1"/>
  <c r="O2243" i="1"/>
  <c r="M2243" i="1" s="1"/>
  <c r="N2243" i="1"/>
  <c r="L2243" i="1"/>
  <c r="O2242" i="1"/>
  <c r="M2242" i="1" s="1"/>
  <c r="N2242" i="1"/>
  <c r="L2242" i="1"/>
  <c r="O2241" i="1"/>
  <c r="M2241" i="1" s="1"/>
  <c r="N2241" i="1"/>
  <c r="L2241" i="1"/>
  <c r="O2240" i="1"/>
  <c r="M2240" i="1" s="1"/>
  <c r="N2240" i="1"/>
  <c r="L2240" i="1"/>
  <c r="O2239" i="1"/>
  <c r="M2239" i="1" s="1"/>
  <c r="N2239" i="1"/>
  <c r="L2239" i="1"/>
  <c r="O2238" i="1"/>
  <c r="M2238" i="1" s="1"/>
  <c r="N2238" i="1"/>
  <c r="L2238" i="1"/>
  <c r="O2237" i="1"/>
  <c r="M2237" i="1" s="1"/>
  <c r="N2237" i="1"/>
  <c r="L2237" i="1"/>
  <c r="O2236" i="1"/>
  <c r="M2236" i="1" s="1"/>
  <c r="N2236" i="1"/>
  <c r="L2236" i="1"/>
  <c r="O2235" i="1"/>
  <c r="M2235" i="1" s="1"/>
  <c r="N2235" i="1"/>
  <c r="L2235" i="1"/>
  <c r="O2234" i="1"/>
  <c r="N2234" i="1"/>
  <c r="M2234" i="1"/>
  <c r="L2234" i="1"/>
  <c r="O2233" i="1"/>
  <c r="M2233" i="1" s="1"/>
  <c r="N2233" i="1"/>
  <c r="L2233" i="1"/>
  <c r="O2232" i="1"/>
  <c r="M2232" i="1" s="1"/>
  <c r="N2232" i="1"/>
  <c r="L2232" i="1"/>
  <c r="O2231" i="1"/>
  <c r="M2231" i="1" s="1"/>
  <c r="N2231" i="1"/>
  <c r="L2231" i="1"/>
  <c r="O2230" i="1"/>
  <c r="M2230" i="1" s="1"/>
  <c r="N2230" i="1"/>
  <c r="L2230" i="1"/>
  <c r="O2229" i="1"/>
  <c r="M2229" i="1" s="1"/>
  <c r="N2229" i="1"/>
  <c r="L2229" i="1"/>
  <c r="O2228" i="1"/>
  <c r="M2228" i="1" s="1"/>
  <c r="N2228" i="1"/>
  <c r="L2228" i="1"/>
  <c r="O2227" i="1"/>
  <c r="M2227" i="1" s="1"/>
  <c r="N2227" i="1"/>
  <c r="L2227" i="1"/>
  <c r="O2226" i="1"/>
  <c r="M2226" i="1" s="1"/>
  <c r="N2226" i="1"/>
  <c r="L2226" i="1"/>
  <c r="O2225" i="1"/>
  <c r="M2225" i="1" s="1"/>
  <c r="N2225" i="1"/>
  <c r="L2225" i="1"/>
  <c r="O2224" i="1"/>
  <c r="N2224" i="1"/>
  <c r="M2224" i="1"/>
  <c r="L2224" i="1"/>
  <c r="O2223" i="1"/>
  <c r="M2223" i="1" s="1"/>
  <c r="N2223" i="1"/>
  <c r="L2223" i="1"/>
  <c r="O2222" i="1"/>
  <c r="N2222" i="1"/>
  <c r="M2222" i="1"/>
  <c r="L2222" i="1"/>
  <c r="O2221" i="1"/>
  <c r="M2221" i="1" s="1"/>
  <c r="N2221" i="1"/>
  <c r="L2221" i="1"/>
  <c r="O2220" i="1"/>
  <c r="M2220" i="1" s="1"/>
  <c r="N2220" i="1"/>
  <c r="L2220" i="1"/>
  <c r="O2219" i="1"/>
  <c r="M2219" i="1" s="1"/>
  <c r="N2219" i="1"/>
  <c r="L2219" i="1"/>
  <c r="O2218" i="1"/>
  <c r="N2218" i="1"/>
  <c r="M2218" i="1"/>
  <c r="L2218" i="1"/>
  <c r="O2217" i="1"/>
  <c r="M2217" i="1" s="1"/>
  <c r="N2217" i="1"/>
  <c r="L2217" i="1"/>
  <c r="O2216" i="1"/>
  <c r="M2216" i="1" s="1"/>
  <c r="N2216" i="1"/>
  <c r="L2216" i="1"/>
  <c r="O2215" i="1"/>
  <c r="M2215" i="1" s="1"/>
  <c r="N2215" i="1"/>
  <c r="L2215" i="1"/>
  <c r="O2214" i="1"/>
  <c r="M2214" i="1" s="1"/>
  <c r="N2214" i="1"/>
  <c r="L2214" i="1"/>
  <c r="O2213" i="1"/>
  <c r="M2213" i="1" s="1"/>
  <c r="N2213" i="1"/>
  <c r="L2213" i="1"/>
  <c r="O2212" i="1"/>
  <c r="N2212" i="1"/>
  <c r="M2212" i="1"/>
  <c r="L2212" i="1"/>
  <c r="O2211" i="1"/>
  <c r="M2211" i="1" s="1"/>
  <c r="N2211" i="1"/>
  <c r="L2211" i="1"/>
  <c r="O2210" i="1"/>
  <c r="M2210" i="1" s="1"/>
  <c r="N2210" i="1"/>
  <c r="L2210" i="1"/>
  <c r="O2209" i="1"/>
  <c r="M2209" i="1" s="1"/>
  <c r="N2209" i="1"/>
  <c r="L2209" i="1"/>
  <c r="O2208" i="1"/>
  <c r="M2208" i="1" s="1"/>
  <c r="N2208" i="1"/>
  <c r="L2208" i="1"/>
  <c r="O2207" i="1"/>
  <c r="M2207" i="1" s="1"/>
  <c r="N2207" i="1"/>
  <c r="L2207" i="1"/>
  <c r="O2206" i="1"/>
  <c r="M2206" i="1" s="1"/>
  <c r="N2206" i="1"/>
  <c r="L2206" i="1"/>
  <c r="O2205" i="1"/>
  <c r="M2205" i="1" s="1"/>
  <c r="N2205" i="1"/>
  <c r="L2205" i="1"/>
  <c r="O2204" i="1"/>
  <c r="M2204" i="1" s="1"/>
  <c r="N2204" i="1"/>
  <c r="L2204" i="1"/>
  <c r="O2203" i="1"/>
  <c r="M2203" i="1" s="1"/>
  <c r="N2203" i="1"/>
  <c r="L2203" i="1"/>
  <c r="O2202" i="1"/>
  <c r="M2202" i="1" s="1"/>
  <c r="N2202" i="1"/>
  <c r="L2202" i="1"/>
  <c r="O2201" i="1"/>
  <c r="M2201" i="1" s="1"/>
  <c r="N2201" i="1"/>
  <c r="L2201" i="1"/>
  <c r="O2200" i="1"/>
  <c r="N2200" i="1"/>
  <c r="M2200" i="1"/>
  <c r="L2200" i="1"/>
  <c r="O2199" i="1"/>
  <c r="M2199" i="1" s="1"/>
  <c r="N2199" i="1"/>
  <c r="L2199" i="1"/>
  <c r="O2198" i="1"/>
  <c r="M2198" i="1" s="1"/>
  <c r="N2198" i="1"/>
  <c r="L2198" i="1"/>
  <c r="O2197" i="1"/>
  <c r="M2197" i="1" s="1"/>
  <c r="N2197" i="1"/>
  <c r="L2197" i="1"/>
  <c r="O2196" i="1"/>
  <c r="M2196" i="1" s="1"/>
  <c r="N2196" i="1"/>
  <c r="L2196" i="1"/>
  <c r="O2195" i="1"/>
  <c r="M2195" i="1" s="1"/>
  <c r="N2195" i="1"/>
  <c r="L2195" i="1"/>
  <c r="O2194" i="1"/>
  <c r="M2194" i="1" s="1"/>
  <c r="N2194" i="1"/>
  <c r="L2194" i="1"/>
  <c r="O2193" i="1"/>
  <c r="M2193" i="1" s="1"/>
  <c r="N2193" i="1"/>
  <c r="L2193" i="1"/>
  <c r="O2192" i="1"/>
  <c r="N2192" i="1"/>
  <c r="M2192" i="1"/>
  <c r="L2192" i="1"/>
  <c r="O2191" i="1"/>
  <c r="M2191" i="1" s="1"/>
  <c r="N2191" i="1"/>
  <c r="L2191" i="1"/>
  <c r="O2190" i="1"/>
  <c r="M2190" i="1" s="1"/>
  <c r="N2190" i="1"/>
  <c r="L2190" i="1"/>
  <c r="O2189" i="1"/>
  <c r="M2189" i="1" s="1"/>
  <c r="N2189" i="1"/>
  <c r="L2189" i="1"/>
  <c r="O2188" i="1"/>
  <c r="M2188" i="1" s="1"/>
  <c r="N2188" i="1"/>
  <c r="L2188" i="1"/>
  <c r="O2187" i="1"/>
  <c r="M2187" i="1" s="1"/>
  <c r="N2187" i="1"/>
  <c r="L2187" i="1"/>
  <c r="O2186" i="1"/>
  <c r="N2186" i="1"/>
  <c r="M2186" i="1"/>
  <c r="L2186" i="1"/>
  <c r="O2185" i="1"/>
  <c r="M2185" i="1" s="1"/>
  <c r="N2185" i="1"/>
  <c r="L2185" i="1"/>
  <c r="O2184" i="1"/>
  <c r="M2184" i="1" s="1"/>
  <c r="N2184" i="1"/>
  <c r="L2184" i="1"/>
  <c r="O2183" i="1"/>
  <c r="M2183" i="1" s="1"/>
  <c r="N2183" i="1"/>
  <c r="L2183" i="1"/>
  <c r="O2182" i="1"/>
  <c r="M2182" i="1" s="1"/>
  <c r="N2182" i="1"/>
  <c r="L2182" i="1"/>
  <c r="O2181" i="1"/>
  <c r="M2181" i="1" s="1"/>
  <c r="N2181" i="1"/>
  <c r="L2181" i="1"/>
  <c r="O2180" i="1"/>
  <c r="M2180" i="1" s="1"/>
  <c r="N2180" i="1"/>
  <c r="L2180" i="1"/>
  <c r="O2179" i="1"/>
  <c r="M2179" i="1" s="1"/>
  <c r="N2179" i="1"/>
  <c r="L2179" i="1"/>
  <c r="O2178" i="1"/>
  <c r="M2178" i="1" s="1"/>
  <c r="N2178" i="1"/>
  <c r="L2178" i="1"/>
  <c r="O2177" i="1"/>
  <c r="M2177" i="1" s="1"/>
  <c r="N2177" i="1"/>
  <c r="L2177" i="1"/>
  <c r="O2176" i="1"/>
  <c r="N2176" i="1"/>
  <c r="M2176" i="1"/>
  <c r="L2176" i="1"/>
  <c r="O2175" i="1"/>
  <c r="M2175" i="1" s="1"/>
  <c r="N2175" i="1"/>
  <c r="L2175" i="1"/>
  <c r="O2174" i="1"/>
  <c r="N2174" i="1"/>
  <c r="M2174" i="1"/>
  <c r="L2174" i="1"/>
  <c r="O2173" i="1"/>
  <c r="M2173" i="1" s="1"/>
  <c r="N2173" i="1"/>
  <c r="L2173" i="1"/>
  <c r="O2172" i="1"/>
  <c r="N2172" i="1"/>
  <c r="M2172" i="1"/>
  <c r="L2172" i="1"/>
  <c r="O2171" i="1"/>
  <c r="M2171" i="1" s="1"/>
  <c r="N2171" i="1"/>
  <c r="L2171" i="1"/>
  <c r="O2170" i="1"/>
  <c r="N2170" i="1"/>
  <c r="M2170" i="1"/>
  <c r="L2170" i="1"/>
  <c r="O2169" i="1"/>
  <c r="M2169" i="1" s="1"/>
  <c r="N2169" i="1"/>
  <c r="L2169" i="1"/>
  <c r="O2168" i="1"/>
  <c r="N2168" i="1"/>
  <c r="M2168" i="1"/>
  <c r="L2168" i="1"/>
  <c r="O2167" i="1"/>
  <c r="M2167" i="1" s="1"/>
  <c r="N2167" i="1"/>
  <c r="L2167" i="1"/>
  <c r="O2166" i="1"/>
  <c r="N2166" i="1"/>
  <c r="M2166" i="1"/>
  <c r="L2166" i="1"/>
  <c r="O2165" i="1"/>
  <c r="M2165" i="1" s="1"/>
  <c r="N2165" i="1"/>
  <c r="L2165" i="1"/>
  <c r="O2164" i="1"/>
  <c r="N2164" i="1"/>
  <c r="M2164" i="1"/>
  <c r="L2164" i="1"/>
  <c r="O2163" i="1"/>
  <c r="M2163" i="1" s="1"/>
  <c r="N2163" i="1"/>
  <c r="L2163" i="1"/>
  <c r="O2162" i="1"/>
  <c r="N2162" i="1"/>
  <c r="M2162" i="1"/>
  <c r="L2162" i="1"/>
  <c r="O2161" i="1"/>
  <c r="M2161" i="1" s="1"/>
  <c r="N2161" i="1"/>
  <c r="L2161" i="1"/>
  <c r="O2160" i="1"/>
  <c r="N2160" i="1"/>
  <c r="M2160" i="1"/>
  <c r="L2160" i="1"/>
  <c r="O2159" i="1"/>
  <c r="M2159" i="1" s="1"/>
  <c r="N2159" i="1"/>
  <c r="L2159" i="1"/>
  <c r="O2158" i="1"/>
  <c r="N2158" i="1"/>
  <c r="M2158" i="1"/>
  <c r="L2158" i="1"/>
  <c r="O2157" i="1"/>
  <c r="M2157" i="1" s="1"/>
  <c r="N2157" i="1"/>
  <c r="L2157" i="1"/>
  <c r="O2156" i="1"/>
  <c r="N2156" i="1"/>
  <c r="M2156" i="1"/>
  <c r="L2156" i="1"/>
  <c r="O2155" i="1"/>
  <c r="M2155" i="1" s="1"/>
  <c r="N2155" i="1"/>
  <c r="L2155" i="1"/>
  <c r="O2154" i="1"/>
  <c r="N2154" i="1"/>
  <c r="M2154" i="1"/>
  <c r="L2154" i="1"/>
  <c r="O2153" i="1"/>
  <c r="M2153" i="1" s="1"/>
  <c r="N2153" i="1"/>
  <c r="L2153" i="1"/>
  <c r="O2152" i="1"/>
  <c r="N2152" i="1"/>
  <c r="M2152" i="1"/>
  <c r="L2152" i="1"/>
  <c r="O2151" i="1"/>
  <c r="M2151" i="1" s="1"/>
  <c r="N2151" i="1"/>
  <c r="L2151" i="1"/>
  <c r="O2150" i="1"/>
  <c r="N2150" i="1"/>
  <c r="M2150" i="1"/>
  <c r="L2150" i="1"/>
  <c r="O2149" i="1"/>
  <c r="M2149" i="1" s="1"/>
  <c r="N2149" i="1"/>
  <c r="L2149" i="1"/>
  <c r="O2148" i="1"/>
  <c r="N2148" i="1"/>
  <c r="M2148" i="1"/>
  <c r="L2148" i="1"/>
  <c r="O2147" i="1"/>
  <c r="M2147" i="1" s="1"/>
  <c r="N2147" i="1"/>
  <c r="L2147" i="1"/>
  <c r="O2146" i="1"/>
  <c r="N2146" i="1"/>
  <c r="M2146" i="1"/>
  <c r="L2146" i="1"/>
  <c r="O2145" i="1"/>
  <c r="M2145" i="1" s="1"/>
  <c r="N2145" i="1"/>
  <c r="L2145" i="1"/>
  <c r="O2144" i="1"/>
  <c r="N2144" i="1"/>
  <c r="M2144" i="1"/>
  <c r="L2144" i="1"/>
  <c r="O2143" i="1"/>
  <c r="M2143" i="1" s="1"/>
  <c r="N2143" i="1"/>
  <c r="L2143" i="1"/>
  <c r="O2142" i="1"/>
  <c r="N2142" i="1"/>
  <c r="M2142" i="1"/>
  <c r="L2142" i="1"/>
  <c r="O2141" i="1"/>
  <c r="M2141" i="1" s="1"/>
  <c r="N2141" i="1"/>
  <c r="L2141" i="1"/>
  <c r="O2140" i="1"/>
  <c r="N2140" i="1"/>
  <c r="M2140" i="1"/>
  <c r="L2140" i="1"/>
  <c r="O2139" i="1"/>
  <c r="M2139" i="1" s="1"/>
  <c r="N2139" i="1"/>
  <c r="L2139" i="1"/>
  <c r="O2138" i="1"/>
  <c r="N2138" i="1"/>
  <c r="M2138" i="1"/>
  <c r="L2138" i="1"/>
  <c r="O2137" i="1"/>
  <c r="M2137" i="1" s="1"/>
  <c r="N2137" i="1"/>
  <c r="L2137" i="1"/>
  <c r="O2136" i="1"/>
  <c r="N2136" i="1"/>
  <c r="M2136" i="1"/>
  <c r="L2136" i="1"/>
  <c r="O2135" i="1"/>
  <c r="M2135" i="1" s="1"/>
  <c r="N2135" i="1"/>
  <c r="L2135" i="1"/>
  <c r="O2134" i="1"/>
  <c r="N2134" i="1"/>
  <c r="M2134" i="1"/>
  <c r="L2134" i="1"/>
  <c r="O2133" i="1"/>
  <c r="M2133" i="1" s="1"/>
  <c r="N2133" i="1"/>
  <c r="L2133" i="1"/>
  <c r="O2132" i="1"/>
  <c r="N2132" i="1"/>
  <c r="M2132" i="1"/>
  <c r="L2132" i="1"/>
  <c r="O2131" i="1"/>
  <c r="M2131" i="1" s="1"/>
  <c r="N2131" i="1"/>
  <c r="L2131" i="1"/>
  <c r="O2130" i="1"/>
  <c r="N2130" i="1"/>
  <c r="M2130" i="1"/>
  <c r="L2130" i="1"/>
  <c r="O2129" i="1"/>
  <c r="M2129" i="1" s="1"/>
  <c r="N2129" i="1"/>
  <c r="L2129" i="1"/>
  <c r="O2128" i="1"/>
  <c r="N2128" i="1"/>
  <c r="M2128" i="1"/>
  <c r="L2128" i="1"/>
  <c r="O2127" i="1"/>
  <c r="M2127" i="1" s="1"/>
  <c r="N2127" i="1"/>
  <c r="L2127" i="1"/>
  <c r="O2126" i="1"/>
  <c r="N2126" i="1"/>
  <c r="M2126" i="1"/>
  <c r="L2126" i="1"/>
  <c r="O2125" i="1"/>
  <c r="M2125" i="1" s="1"/>
  <c r="N2125" i="1"/>
  <c r="L2125" i="1"/>
  <c r="O2124" i="1"/>
  <c r="N2124" i="1"/>
  <c r="M2124" i="1"/>
  <c r="L2124" i="1"/>
  <c r="O2123" i="1"/>
  <c r="M2123" i="1" s="1"/>
  <c r="N2123" i="1"/>
  <c r="L2123" i="1"/>
  <c r="O2122" i="1"/>
  <c r="N2122" i="1"/>
  <c r="M2122" i="1"/>
  <c r="L2122" i="1"/>
  <c r="O2121" i="1"/>
  <c r="M2121" i="1" s="1"/>
  <c r="N2121" i="1"/>
  <c r="L2121" i="1"/>
  <c r="O2120" i="1"/>
  <c r="N2120" i="1"/>
  <c r="M2120" i="1"/>
  <c r="L2120" i="1"/>
  <c r="O2119" i="1"/>
  <c r="M2119" i="1" s="1"/>
  <c r="N2119" i="1"/>
  <c r="L2119" i="1"/>
  <c r="O2118" i="1"/>
  <c r="N2118" i="1"/>
  <c r="M2118" i="1"/>
  <c r="L2118" i="1"/>
  <c r="O2117" i="1"/>
  <c r="M2117" i="1" s="1"/>
  <c r="N2117" i="1"/>
  <c r="L2117" i="1"/>
  <c r="O2116" i="1"/>
  <c r="N2116" i="1"/>
  <c r="M2116" i="1"/>
  <c r="L2116" i="1"/>
  <c r="O2115" i="1"/>
  <c r="M2115" i="1" s="1"/>
  <c r="N2115" i="1"/>
  <c r="L2115" i="1"/>
  <c r="O2114" i="1"/>
  <c r="N2114" i="1"/>
  <c r="M2114" i="1"/>
  <c r="L2114" i="1"/>
  <c r="O2113" i="1"/>
  <c r="M2113" i="1" s="1"/>
  <c r="N2113" i="1"/>
  <c r="L2113" i="1"/>
  <c r="O2112" i="1"/>
  <c r="N2112" i="1"/>
  <c r="M2112" i="1"/>
  <c r="L2112" i="1"/>
  <c r="O2111" i="1"/>
  <c r="M2111" i="1" s="1"/>
  <c r="N2111" i="1"/>
  <c r="L2111" i="1"/>
  <c r="O2110" i="1"/>
  <c r="N2110" i="1"/>
  <c r="M2110" i="1"/>
  <c r="L2110" i="1"/>
  <c r="O2109" i="1"/>
  <c r="M2109" i="1" s="1"/>
  <c r="N2109" i="1"/>
  <c r="L2109" i="1"/>
  <c r="O2108" i="1"/>
  <c r="N2108" i="1"/>
  <c r="M2108" i="1"/>
  <c r="L2108" i="1"/>
  <c r="O2107" i="1"/>
  <c r="M2107" i="1" s="1"/>
  <c r="N2107" i="1"/>
  <c r="L2107" i="1"/>
  <c r="O2106" i="1"/>
  <c r="N2106" i="1"/>
  <c r="M2106" i="1"/>
  <c r="L2106" i="1"/>
  <c r="O2105" i="1"/>
  <c r="M2105" i="1" s="1"/>
  <c r="N2105" i="1"/>
  <c r="L2105" i="1"/>
  <c r="O2104" i="1"/>
  <c r="N2104" i="1"/>
  <c r="M2104" i="1"/>
  <c r="L2104" i="1"/>
  <c r="O2103" i="1"/>
  <c r="M2103" i="1" s="1"/>
  <c r="N2103" i="1"/>
  <c r="L2103" i="1"/>
  <c r="O2102" i="1"/>
  <c r="N2102" i="1"/>
  <c r="M2102" i="1"/>
  <c r="L2102" i="1"/>
  <c r="O2101" i="1"/>
  <c r="M2101" i="1" s="1"/>
  <c r="N2101" i="1"/>
  <c r="L2101" i="1"/>
  <c r="O2100" i="1"/>
  <c r="N2100" i="1"/>
  <c r="M2100" i="1"/>
  <c r="L2100" i="1"/>
  <c r="O2099" i="1"/>
  <c r="M2099" i="1" s="1"/>
  <c r="N2099" i="1"/>
  <c r="L2099" i="1"/>
  <c r="O2098" i="1"/>
  <c r="N2098" i="1"/>
  <c r="M2098" i="1"/>
  <c r="L2098" i="1"/>
  <c r="O2097" i="1"/>
  <c r="M2097" i="1" s="1"/>
  <c r="N2097" i="1"/>
  <c r="L2097" i="1"/>
  <c r="O2096" i="1"/>
  <c r="N2096" i="1"/>
  <c r="M2096" i="1"/>
  <c r="L2096" i="1"/>
  <c r="O2095" i="1"/>
  <c r="M2095" i="1" s="1"/>
  <c r="N2095" i="1"/>
  <c r="L2095" i="1"/>
  <c r="O2094" i="1"/>
  <c r="N2094" i="1"/>
  <c r="M2094" i="1"/>
  <c r="L2094" i="1"/>
  <c r="O2093" i="1"/>
  <c r="M2093" i="1" s="1"/>
  <c r="N2093" i="1"/>
  <c r="L2093" i="1"/>
  <c r="O2092" i="1"/>
  <c r="N2092" i="1"/>
  <c r="M2092" i="1"/>
  <c r="L2092" i="1"/>
  <c r="O2091" i="1"/>
  <c r="M2091" i="1" s="1"/>
  <c r="N2091" i="1"/>
  <c r="L2091" i="1"/>
  <c r="O2090" i="1"/>
  <c r="N2090" i="1"/>
  <c r="M2090" i="1"/>
  <c r="L2090" i="1"/>
  <c r="O2089" i="1"/>
  <c r="M2089" i="1" s="1"/>
  <c r="N2089" i="1"/>
  <c r="L2089" i="1"/>
  <c r="O2088" i="1"/>
  <c r="N2088" i="1"/>
  <c r="M2088" i="1"/>
  <c r="L2088" i="1"/>
  <c r="O2087" i="1"/>
  <c r="M2087" i="1" s="1"/>
  <c r="N2087" i="1"/>
  <c r="L2087" i="1"/>
  <c r="O2086" i="1"/>
  <c r="N2086" i="1"/>
  <c r="M2086" i="1"/>
  <c r="L2086" i="1"/>
  <c r="O2085" i="1"/>
  <c r="M2085" i="1" s="1"/>
  <c r="N2085" i="1"/>
  <c r="L2085" i="1"/>
  <c r="O2084" i="1"/>
  <c r="N2084" i="1"/>
  <c r="M2084" i="1"/>
  <c r="L2084" i="1"/>
  <c r="O2083" i="1"/>
  <c r="M2083" i="1" s="1"/>
  <c r="N2083" i="1"/>
  <c r="L2083" i="1"/>
  <c r="O2082" i="1"/>
  <c r="N2082" i="1"/>
  <c r="M2082" i="1"/>
  <c r="L2082" i="1"/>
  <c r="O2081" i="1"/>
  <c r="M2081" i="1" s="1"/>
  <c r="N2081" i="1"/>
  <c r="L2081" i="1"/>
  <c r="O2080" i="1"/>
  <c r="N2080" i="1"/>
  <c r="M2080" i="1"/>
  <c r="L2080" i="1"/>
  <c r="O2079" i="1"/>
  <c r="M2079" i="1" s="1"/>
  <c r="N2079" i="1"/>
  <c r="L2079" i="1"/>
  <c r="O2078" i="1"/>
  <c r="N2078" i="1"/>
  <c r="M2078" i="1"/>
  <c r="L2078" i="1"/>
  <c r="O2077" i="1"/>
  <c r="M2077" i="1" s="1"/>
  <c r="N2077" i="1"/>
  <c r="L2077" i="1"/>
  <c r="O2076" i="1"/>
  <c r="N2076" i="1"/>
  <c r="M2076" i="1"/>
  <c r="L2076" i="1"/>
  <c r="O2075" i="1"/>
  <c r="M2075" i="1" s="1"/>
  <c r="N2075" i="1"/>
  <c r="L2075" i="1"/>
  <c r="O2074" i="1"/>
  <c r="N2074" i="1"/>
  <c r="M2074" i="1"/>
  <c r="L2074" i="1"/>
  <c r="O2073" i="1"/>
  <c r="M2073" i="1" s="1"/>
  <c r="N2073" i="1"/>
  <c r="L2073" i="1"/>
  <c r="O2072" i="1"/>
  <c r="N2072" i="1"/>
  <c r="M2072" i="1"/>
  <c r="L2072" i="1"/>
  <c r="O2071" i="1"/>
  <c r="M2071" i="1" s="1"/>
  <c r="N2071" i="1"/>
  <c r="L2071" i="1"/>
  <c r="O2070" i="1"/>
  <c r="N2070" i="1"/>
  <c r="M2070" i="1"/>
  <c r="L2070" i="1"/>
  <c r="O2069" i="1"/>
  <c r="M2069" i="1" s="1"/>
  <c r="N2069" i="1"/>
  <c r="L2069" i="1"/>
  <c r="O2068" i="1"/>
  <c r="N2068" i="1"/>
  <c r="M2068" i="1"/>
  <c r="L2068" i="1"/>
  <c r="O2067" i="1"/>
  <c r="M2067" i="1" s="1"/>
  <c r="N2067" i="1"/>
  <c r="L2067" i="1"/>
  <c r="O2066" i="1"/>
  <c r="M2066" i="1" s="1"/>
  <c r="N2066" i="1"/>
  <c r="L2066" i="1"/>
  <c r="O2065" i="1"/>
  <c r="M2065" i="1" s="1"/>
  <c r="N2065" i="1"/>
  <c r="L2065" i="1"/>
  <c r="O2064" i="1"/>
  <c r="N2064" i="1"/>
  <c r="M2064" i="1"/>
  <c r="L2064" i="1"/>
  <c r="O2063" i="1"/>
  <c r="M2063" i="1" s="1"/>
  <c r="N2063" i="1"/>
  <c r="L2063" i="1"/>
  <c r="O2062" i="1"/>
  <c r="N2062" i="1"/>
  <c r="M2062" i="1"/>
  <c r="L2062" i="1"/>
  <c r="O2061" i="1"/>
  <c r="M2061" i="1" s="1"/>
  <c r="N2061" i="1"/>
  <c r="L2061" i="1"/>
  <c r="O2060" i="1"/>
  <c r="M2060" i="1" s="1"/>
  <c r="N2060" i="1"/>
  <c r="L2060" i="1"/>
  <c r="O2059" i="1"/>
  <c r="M2059" i="1" s="1"/>
  <c r="N2059" i="1"/>
  <c r="L2059" i="1"/>
  <c r="O2058" i="1"/>
  <c r="M2058" i="1" s="1"/>
  <c r="N2058" i="1"/>
  <c r="L2058" i="1"/>
  <c r="O2057" i="1"/>
  <c r="M2057" i="1" s="1"/>
  <c r="N2057" i="1"/>
  <c r="L2057" i="1"/>
  <c r="O2056" i="1"/>
  <c r="M2056" i="1" s="1"/>
  <c r="N2056" i="1"/>
  <c r="L2056" i="1"/>
  <c r="O2055" i="1"/>
  <c r="M2055" i="1" s="1"/>
  <c r="N2055" i="1"/>
  <c r="L2055" i="1"/>
  <c r="O2054" i="1"/>
  <c r="M2054" i="1" s="1"/>
  <c r="N2054" i="1"/>
  <c r="L2054" i="1"/>
  <c r="O2053" i="1"/>
  <c r="M2053" i="1" s="1"/>
  <c r="N2053" i="1"/>
  <c r="L2053" i="1"/>
  <c r="O2052" i="1"/>
  <c r="M2052" i="1" s="1"/>
  <c r="N2052" i="1"/>
  <c r="L2052" i="1"/>
  <c r="O2051" i="1"/>
  <c r="M2051" i="1" s="1"/>
  <c r="N2051" i="1"/>
  <c r="L2051" i="1"/>
  <c r="O2050" i="1"/>
  <c r="M2050" i="1" s="1"/>
  <c r="N2050" i="1"/>
  <c r="L2050" i="1"/>
  <c r="O2049" i="1"/>
  <c r="M2049" i="1" s="1"/>
  <c r="N2049" i="1"/>
  <c r="L2049" i="1"/>
  <c r="O2048" i="1"/>
  <c r="N2048" i="1"/>
  <c r="M2048" i="1"/>
  <c r="L2048" i="1"/>
  <c r="O2047" i="1"/>
  <c r="M2047" i="1" s="1"/>
  <c r="N2047" i="1"/>
  <c r="L2047" i="1"/>
  <c r="O2046" i="1"/>
  <c r="N2046" i="1"/>
  <c r="M2046" i="1"/>
  <c r="L2046" i="1"/>
  <c r="O2045" i="1"/>
  <c r="M2045" i="1" s="1"/>
  <c r="N2045" i="1"/>
  <c r="L2045" i="1"/>
  <c r="O2044" i="1"/>
  <c r="M2044" i="1" s="1"/>
  <c r="N2044" i="1"/>
  <c r="L2044" i="1"/>
  <c r="O2043" i="1"/>
  <c r="M2043" i="1" s="1"/>
  <c r="N2043" i="1"/>
  <c r="L2043" i="1"/>
  <c r="O2042" i="1"/>
  <c r="M2042" i="1" s="1"/>
  <c r="N2042" i="1"/>
  <c r="L2042" i="1"/>
  <c r="O2041" i="1"/>
  <c r="M2041" i="1" s="1"/>
  <c r="N2041" i="1"/>
  <c r="L2041" i="1"/>
  <c r="O2040" i="1"/>
  <c r="M2040" i="1" s="1"/>
  <c r="N2040" i="1"/>
  <c r="L2040" i="1"/>
  <c r="O2039" i="1"/>
  <c r="M2039" i="1" s="1"/>
  <c r="N2039" i="1"/>
  <c r="L2039" i="1"/>
  <c r="O2038" i="1"/>
  <c r="M2038" i="1" s="1"/>
  <c r="N2038" i="1"/>
  <c r="L2038" i="1"/>
  <c r="O2037" i="1"/>
  <c r="M2037" i="1" s="1"/>
  <c r="N2037" i="1"/>
  <c r="L2037" i="1"/>
  <c r="O2036" i="1"/>
  <c r="M2036" i="1" s="1"/>
  <c r="N2036" i="1"/>
  <c r="L2036" i="1"/>
  <c r="O2035" i="1"/>
  <c r="M2035" i="1" s="1"/>
  <c r="N2035" i="1"/>
  <c r="L2035" i="1"/>
  <c r="O2034" i="1"/>
  <c r="M2034" i="1" s="1"/>
  <c r="N2034" i="1"/>
  <c r="L2034" i="1"/>
  <c r="O2033" i="1"/>
  <c r="M2033" i="1" s="1"/>
  <c r="N2033" i="1"/>
  <c r="L2033" i="1"/>
  <c r="O2032" i="1"/>
  <c r="N2032" i="1"/>
  <c r="M2032" i="1"/>
  <c r="L2032" i="1"/>
  <c r="O2031" i="1"/>
  <c r="M2031" i="1" s="1"/>
  <c r="N2031" i="1"/>
  <c r="L2031" i="1"/>
  <c r="O2030" i="1"/>
  <c r="N2030" i="1"/>
  <c r="M2030" i="1"/>
  <c r="L2030" i="1"/>
  <c r="O2029" i="1"/>
  <c r="M2029" i="1" s="1"/>
  <c r="N2029" i="1"/>
  <c r="L2029" i="1"/>
  <c r="O2028" i="1"/>
  <c r="M2028" i="1" s="1"/>
  <c r="N2028" i="1"/>
  <c r="L2028" i="1"/>
  <c r="O2027" i="1"/>
  <c r="M2027" i="1" s="1"/>
  <c r="N2027" i="1"/>
  <c r="L2027" i="1"/>
  <c r="O2026" i="1"/>
  <c r="M2026" i="1" s="1"/>
  <c r="N2026" i="1"/>
  <c r="L2026" i="1"/>
  <c r="O2025" i="1"/>
  <c r="M2025" i="1" s="1"/>
  <c r="N2025" i="1"/>
  <c r="L2025" i="1"/>
  <c r="O2024" i="1"/>
  <c r="M2024" i="1" s="1"/>
  <c r="N2024" i="1"/>
  <c r="L2024" i="1"/>
  <c r="O2023" i="1"/>
  <c r="M2023" i="1" s="1"/>
  <c r="N2023" i="1"/>
  <c r="L2023" i="1"/>
  <c r="O2022" i="1"/>
  <c r="M2022" i="1" s="1"/>
  <c r="N2022" i="1"/>
  <c r="L2022" i="1"/>
  <c r="O2021" i="1"/>
  <c r="M2021" i="1" s="1"/>
  <c r="N2021" i="1"/>
  <c r="L2021" i="1"/>
  <c r="O2020" i="1"/>
  <c r="M2020" i="1" s="1"/>
  <c r="N2020" i="1"/>
  <c r="L2020" i="1"/>
  <c r="O2019" i="1"/>
  <c r="M2019" i="1" s="1"/>
  <c r="N2019" i="1"/>
  <c r="L2019" i="1"/>
  <c r="O2018" i="1"/>
  <c r="M2018" i="1" s="1"/>
  <c r="N2018" i="1"/>
  <c r="L2018" i="1"/>
  <c r="O2017" i="1"/>
  <c r="M2017" i="1" s="1"/>
  <c r="N2017" i="1"/>
  <c r="L2017" i="1"/>
  <c r="O2016" i="1"/>
  <c r="N2016" i="1"/>
  <c r="M2016" i="1"/>
  <c r="L2016" i="1"/>
  <c r="O2015" i="1"/>
  <c r="M2015" i="1" s="1"/>
  <c r="N2015" i="1"/>
  <c r="L2015" i="1"/>
  <c r="O2014" i="1"/>
  <c r="N2014" i="1"/>
  <c r="M2014" i="1"/>
  <c r="L2014" i="1"/>
  <c r="O2013" i="1"/>
  <c r="M2013" i="1" s="1"/>
  <c r="N2013" i="1"/>
  <c r="L2013" i="1"/>
  <c r="O2012" i="1"/>
  <c r="M2012" i="1" s="1"/>
  <c r="N2012" i="1"/>
  <c r="L2012" i="1"/>
  <c r="O2011" i="1"/>
  <c r="M2011" i="1" s="1"/>
  <c r="N2011" i="1"/>
  <c r="L2011" i="1"/>
  <c r="O2010" i="1"/>
  <c r="M2010" i="1" s="1"/>
  <c r="N2010" i="1"/>
  <c r="L2010" i="1"/>
  <c r="O2009" i="1"/>
  <c r="M2009" i="1" s="1"/>
  <c r="N2009" i="1"/>
  <c r="L2009" i="1"/>
  <c r="O2008" i="1"/>
  <c r="M2008" i="1" s="1"/>
  <c r="N2008" i="1"/>
  <c r="L2008" i="1"/>
  <c r="O2007" i="1"/>
  <c r="M2007" i="1" s="1"/>
  <c r="N2007" i="1"/>
  <c r="L2007" i="1"/>
  <c r="O2006" i="1"/>
  <c r="M2006" i="1" s="1"/>
  <c r="N2006" i="1"/>
  <c r="L2006" i="1"/>
  <c r="O2005" i="1"/>
  <c r="M2005" i="1" s="1"/>
  <c r="N2005" i="1"/>
  <c r="L2005" i="1"/>
  <c r="O2004" i="1"/>
  <c r="M2004" i="1" s="1"/>
  <c r="N2004" i="1"/>
  <c r="L2004" i="1"/>
  <c r="O2003" i="1"/>
  <c r="M2003" i="1" s="1"/>
  <c r="N2003" i="1"/>
  <c r="L2003" i="1"/>
  <c r="O2002" i="1"/>
  <c r="M2002" i="1" s="1"/>
  <c r="N2002" i="1"/>
  <c r="L2002" i="1"/>
  <c r="O2001" i="1"/>
  <c r="M2001" i="1" s="1"/>
  <c r="N2001" i="1"/>
  <c r="L2001" i="1"/>
  <c r="O2000" i="1"/>
  <c r="M2000" i="1" s="1"/>
  <c r="N2000" i="1"/>
  <c r="L2000" i="1"/>
  <c r="O1999" i="1"/>
  <c r="M1999" i="1" s="1"/>
  <c r="N1999" i="1"/>
  <c r="L1999" i="1"/>
  <c r="O1998" i="1"/>
  <c r="M1998" i="1" s="1"/>
  <c r="N1998" i="1"/>
  <c r="L1998" i="1"/>
  <c r="O1997" i="1"/>
  <c r="M1997" i="1" s="1"/>
  <c r="N1997" i="1"/>
  <c r="L1997" i="1"/>
  <c r="O1996" i="1"/>
  <c r="M1996" i="1" s="1"/>
  <c r="N1996" i="1"/>
  <c r="L1996" i="1"/>
  <c r="O1995" i="1"/>
  <c r="M1995" i="1" s="1"/>
  <c r="N1995" i="1"/>
  <c r="L1995" i="1"/>
  <c r="O1994" i="1"/>
  <c r="M1994" i="1" s="1"/>
  <c r="N1994" i="1"/>
  <c r="L1994" i="1"/>
  <c r="O1993" i="1"/>
  <c r="M1993" i="1" s="1"/>
  <c r="N1993" i="1"/>
  <c r="L1993" i="1"/>
  <c r="O1992" i="1"/>
  <c r="M1992" i="1" s="1"/>
  <c r="N1992" i="1"/>
  <c r="L1992" i="1"/>
  <c r="O1991" i="1"/>
  <c r="M1991" i="1" s="1"/>
  <c r="N1991" i="1"/>
  <c r="L1991" i="1"/>
  <c r="O1990" i="1"/>
  <c r="M1990" i="1" s="1"/>
  <c r="N1990" i="1"/>
  <c r="L1990" i="1"/>
  <c r="O1989" i="1"/>
  <c r="M1989" i="1" s="1"/>
  <c r="N1989" i="1"/>
  <c r="L1989" i="1"/>
  <c r="O1988" i="1"/>
  <c r="M1988" i="1" s="1"/>
  <c r="N1988" i="1"/>
  <c r="L1988" i="1"/>
  <c r="O1987" i="1"/>
  <c r="M1987" i="1" s="1"/>
  <c r="N1987" i="1"/>
  <c r="L1987" i="1"/>
  <c r="O1986" i="1"/>
  <c r="M1986" i="1" s="1"/>
  <c r="N1986" i="1"/>
  <c r="L1986" i="1"/>
  <c r="O1985" i="1"/>
  <c r="M1985" i="1" s="1"/>
  <c r="N1985" i="1"/>
  <c r="L1985" i="1"/>
  <c r="O1984" i="1"/>
  <c r="M1984" i="1" s="1"/>
  <c r="N1984" i="1"/>
  <c r="L1984" i="1"/>
  <c r="O1983" i="1"/>
  <c r="M1983" i="1" s="1"/>
  <c r="N1983" i="1"/>
  <c r="L1983" i="1"/>
  <c r="O1982" i="1"/>
  <c r="M1982" i="1" s="1"/>
  <c r="N1982" i="1"/>
  <c r="L1982" i="1"/>
  <c r="O1981" i="1"/>
  <c r="M1981" i="1" s="1"/>
  <c r="N1981" i="1"/>
  <c r="L1981" i="1"/>
  <c r="O1980" i="1"/>
  <c r="M1980" i="1" s="1"/>
  <c r="N1980" i="1"/>
  <c r="L1980" i="1"/>
  <c r="O1979" i="1"/>
  <c r="N1979" i="1"/>
  <c r="M1979" i="1"/>
  <c r="L1979" i="1"/>
  <c r="O1978" i="1"/>
  <c r="M1978" i="1" s="1"/>
  <c r="N1978" i="1"/>
  <c r="L1978" i="1"/>
  <c r="O1977" i="1"/>
  <c r="N1977" i="1"/>
  <c r="M1977" i="1"/>
  <c r="L1977" i="1"/>
  <c r="O1976" i="1"/>
  <c r="M1976" i="1" s="1"/>
  <c r="N1976" i="1"/>
  <c r="L1976" i="1"/>
  <c r="O1975" i="1"/>
  <c r="N1975" i="1"/>
  <c r="M1975" i="1"/>
  <c r="L1975" i="1"/>
  <c r="O1974" i="1"/>
  <c r="M1974" i="1" s="1"/>
  <c r="N1974" i="1"/>
  <c r="L1974" i="1"/>
  <c r="O1973" i="1"/>
  <c r="N1973" i="1"/>
  <c r="M1973" i="1"/>
  <c r="L1973" i="1"/>
  <c r="O1972" i="1"/>
  <c r="M1972" i="1" s="1"/>
  <c r="N1972" i="1"/>
  <c r="L1972" i="1"/>
  <c r="O1971" i="1"/>
  <c r="N1971" i="1"/>
  <c r="M1971" i="1"/>
  <c r="L1971" i="1"/>
  <c r="O1970" i="1"/>
  <c r="M1970" i="1" s="1"/>
  <c r="N1970" i="1"/>
  <c r="L1970" i="1"/>
  <c r="O1969" i="1"/>
  <c r="N1969" i="1"/>
  <c r="M1969" i="1"/>
  <c r="L1969" i="1"/>
  <c r="O1968" i="1"/>
  <c r="M1968" i="1" s="1"/>
  <c r="N1968" i="1"/>
  <c r="L1968" i="1"/>
  <c r="O1967" i="1"/>
  <c r="N1967" i="1"/>
  <c r="M1967" i="1"/>
  <c r="L1967" i="1"/>
  <c r="O1966" i="1"/>
  <c r="M1966" i="1" s="1"/>
  <c r="N1966" i="1"/>
  <c r="L1966" i="1"/>
  <c r="O1965" i="1"/>
  <c r="N1965" i="1"/>
  <c r="M1965" i="1"/>
  <c r="L1965" i="1"/>
  <c r="O1964" i="1"/>
  <c r="M1964" i="1" s="1"/>
  <c r="N1964" i="1"/>
  <c r="L1964" i="1"/>
  <c r="O1963" i="1"/>
  <c r="N1963" i="1"/>
  <c r="M1963" i="1"/>
  <c r="L1963" i="1"/>
  <c r="O1962" i="1"/>
  <c r="M1962" i="1" s="1"/>
  <c r="N1962" i="1"/>
  <c r="L1962" i="1"/>
  <c r="O1961" i="1"/>
  <c r="N1961" i="1"/>
  <c r="M1961" i="1"/>
  <c r="L1961" i="1"/>
  <c r="O1960" i="1"/>
  <c r="M1960" i="1" s="1"/>
  <c r="N1960" i="1"/>
  <c r="L1960" i="1"/>
  <c r="O1959" i="1"/>
  <c r="N1959" i="1"/>
  <c r="M1959" i="1"/>
  <c r="L1959" i="1"/>
  <c r="O1958" i="1"/>
  <c r="M1958" i="1" s="1"/>
  <c r="N1958" i="1"/>
  <c r="L1958" i="1"/>
  <c r="O1957" i="1"/>
  <c r="N1957" i="1"/>
  <c r="M1957" i="1"/>
  <c r="L1957" i="1"/>
  <c r="O1956" i="1"/>
  <c r="M1956" i="1" s="1"/>
  <c r="N1956" i="1"/>
  <c r="L1956" i="1"/>
  <c r="O1955" i="1"/>
  <c r="M1955" i="1" s="1"/>
  <c r="N1955" i="1"/>
  <c r="L1955" i="1"/>
  <c r="O1954" i="1"/>
  <c r="M1954" i="1" s="1"/>
  <c r="N1954" i="1"/>
  <c r="L1954" i="1"/>
  <c r="O1953" i="1"/>
  <c r="M1953" i="1" s="1"/>
  <c r="N1953" i="1"/>
  <c r="L1953" i="1"/>
  <c r="O1952" i="1"/>
  <c r="M1952" i="1" s="1"/>
  <c r="N1952" i="1"/>
  <c r="L1952" i="1"/>
  <c r="O1951" i="1"/>
  <c r="M1951" i="1" s="1"/>
  <c r="N1951" i="1"/>
  <c r="L1951" i="1"/>
  <c r="O1950" i="1"/>
  <c r="M1950" i="1" s="1"/>
  <c r="N1950" i="1"/>
  <c r="L1950" i="1"/>
  <c r="O1949" i="1"/>
  <c r="M1949" i="1" s="1"/>
  <c r="N1949" i="1"/>
  <c r="L1949" i="1"/>
  <c r="O1948" i="1"/>
  <c r="M1948" i="1" s="1"/>
  <c r="N1948" i="1"/>
  <c r="L1948" i="1"/>
  <c r="O1947" i="1"/>
  <c r="M1947" i="1" s="1"/>
  <c r="N1947" i="1"/>
  <c r="L1947" i="1"/>
  <c r="O1946" i="1"/>
  <c r="M1946" i="1" s="1"/>
  <c r="N1946" i="1"/>
  <c r="L1946" i="1"/>
  <c r="O1945" i="1"/>
  <c r="N1945" i="1"/>
  <c r="M1945" i="1"/>
  <c r="L1945" i="1"/>
  <c r="O1944" i="1"/>
  <c r="M1944" i="1" s="1"/>
  <c r="N1944" i="1"/>
  <c r="L1944" i="1"/>
  <c r="O1943" i="1"/>
  <c r="N1943" i="1"/>
  <c r="M1943" i="1"/>
  <c r="L1943" i="1"/>
  <c r="O1942" i="1"/>
  <c r="M1942" i="1" s="1"/>
  <c r="N1942" i="1"/>
  <c r="L1942" i="1"/>
  <c r="O1941" i="1"/>
  <c r="N1941" i="1"/>
  <c r="M1941" i="1"/>
  <c r="L1941" i="1"/>
  <c r="O1940" i="1"/>
  <c r="M1940" i="1" s="1"/>
  <c r="N1940" i="1"/>
  <c r="L1940" i="1"/>
  <c r="O1939" i="1"/>
  <c r="M1939" i="1" s="1"/>
  <c r="N1939" i="1"/>
  <c r="L1939" i="1"/>
  <c r="O1938" i="1"/>
  <c r="M1938" i="1" s="1"/>
  <c r="N1938" i="1"/>
  <c r="L1938" i="1"/>
  <c r="O1937" i="1"/>
  <c r="M1937" i="1" s="1"/>
  <c r="N1937" i="1"/>
  <c r="L1937" i="1"/>
  <c r="O1936" i="1"/>
  <c r="M1936" i="1" s="1"/>
  <c r="N1936" i="1"/>
  <c r="L1936" i="1"/>
  <c r="O1935" i="1"/>
  <c r="M1935" i="1" s="1"/>
  <c r="N1935" i="1"/>
  <c r="L1935" i="1"/>
  <c r="O1934" i="1"/>
  <c r="M1934" i="1" s="1"/>
  <c r="N1934" i="1"/>
  <c r="L1934" i="1"/>
  <c r="O1933" i="1"/>
  <c r="M1933" i="1" s="1"/>
  <c r="N1933" i="1"/>
  <c r="L1933" i="1"/>
  <c r="O1932" i="1"/>
  <c r="M1932" i="1" s="1"/>
  <c r="N1932" i="1"/>
  <c r="L1932" i="1"/>
  <c r="O1931" i="1"/>
  <c r="N1931" i="1"/>
  <c r="M1931" i="1"/>
  <c r="L1931" i="1"/>
  <c r="O1930" i="1"/>
  <c r="M1930" i="1" s="1"/>
  <c r="N1930" i="1"/>
  <c r="L1930" i="1"/>
  <c r="O1929" i="1"/>
  <c r="N1929" i="1"/>
  <c r="M1929" i="1"/>
  <c r="L1929" i="1"/>
  <c r="O1928" i="1"/>
  <c r="M1928" i="1" s="1"/>
  <c r="N1928" i="1"/>
  <c r="L1928" i="1"/>
  <c r="O1927" i="1"/>
  <c r="M1927" i="1" s="1"/>
  <c r="N1927" i="1"/>
  <c r="L1927" i="1"/>
  <c r="O1926" i="1"/>
  <c r="M1926" i="1" s="1"/>
  <c r="N1926" i="1"/>
  <c r="L1926" i="1"/>
  <c r="O1925" i="1"/>
  <c r="M1925" i="1" s="1"/>
  <c r="N1925" i="1"/>
  <c r="L1925" i="1"/>
  <c r="O1924" i="1"/>
  <c r="M1924" i="1" s="1"/>
  <c r="N1924" i="1"/>
  <c r="L1924" i="1"/>
  <c r="O1923" i="1"/>
  <c r="M1923" i="1" s="1"/>
  <c r="N1923" i="1"/>
  <c r="L1923" i="1"/>
  <c r="O1922" i="1"/>
  <c r="M1922" i="1" s="1"/>
  <c r="N1922" i="1"/>
  <c r="L1922" i="1"/>
  <c r="O1921" i="1"/>
  <c r="M1921" i="1" s="1"/>
  <c r="N1921" i="1"/>
  <c r="L1921" i="1"/>
  <c r="O1920" i="1"/>
  <c r="M1920" i="1" s="1"/>
  <c r="N1920" i="1"/>
  <c r="L1920" i="1"/>
  <c r="O1919" i="1"/>
  <c r="M1919" i="1" s="1"/>
  <c r="N1919" i="1"/>
  <c r="L1919" i="1"/>
  <c r="O1918" i="1"/>
  <c r="M1918" i="1" s="1"/>
  <c r="N1918" i="1"/>
  <c r="L1918" i="1"/>
  <c r="O1917" i="1"/>
  <c r="M1917" i="1" s="1"/>
  <c r="N1917" i="1"/>
  <c r="L1917" i="1"/>
  <c r="O1916" i="1"/>
  <c r="M1916" i="1" s="1"/>
  <c r="N1916" i="1"/>
  <c r="L1916" i="1"/>
  <c r="O1915" i="1"/>
  <c r="M1915" i="1" s="1"/>
  <c r="N1915" i="1"/>
  <c r="L1915" i="1"/>
  <c r="O1914" i="1"/>
  <c r="M1914" i="1" s="1"/>
  <c r="N1914" i="1"/>
  <c r="L1914" i="1"/>
  <c r="O1913" i="1"/>
  <c r="M1913" i="1" s="1"/>
  <c r="N1913" i="1"/>
  <c r="L1913" i="1"/>
  <c r="O1912" i="1"/>
  <c r="M1912" i="1" s="1"/>
  <c r="N1912" i="1"/>
  <c r="L1912" i="1"/>
  <c r="O1911" i="1"/>
  <c r="M1911" i="1" s="1"/>
  <c r="N1911" i="1"/>
  <c r="L1911" i="1"/>
  <c r="O1910" i="1"/>
  <c r="M1910" i="1" s="1"/>
  <c r="N1910" i="1"/>
  <c r="L1910" i="1"/>
  <c r="O1909" i="1"/>
  <c r="N1909" i="1"/>
  <c r="M1909" i="1"/>
  <c r="L1909" i="1"/>
  <c r="O1908" i="1"/>
  <c r="M1908" i="1" s="1"/>
  <c r="N1908" i="1"/>
  <c r="L1908" i="1"/>
  <c r="O1907" i="1"/>
  <c r="M1907" i="1" s="1"/>
  <c r="N1907" i="1"/>
  <c r="L1907" i="1"/>
  <c r="O1906" i="1"/>
  <c r="M1906" i="1" s="1"/>
  <c r="N1906" i="1"/>
  <c r="L1906" i="1"/>
  <c r="O1905" i="1"/>
  <c r="M1905" i="1" s="1"/>
  <c r="N1905" i="1"/>
  <c r="L1905" i="1"/>
  <c r="O1904" i="1"/>
  <c r="M1904" i="1" s="1"/>
  <c r="N1904" i="1"/>
  <c r="L1904" i="1"/>
  <c r="O1903" i="1"/>
  <c r="M1903" i="1" s="1"/>
  <c r="N1903" i="1"/>
  <c r="L1903" i="1"/>
  <c r="O1902" i="1"/>
  <c r="M1902" i="1" s="1"/>
  <c r="N1902" i="1"/>
  <c r="L1902" i="1"/>
  <c r="O1901" i="1"/>
  <c r="M1901" i="1" s="1"/>
  <c r="N1901" i="1"/>
  <c r="L1901" i="1"/>
  <c r="O1900" i="1"/>
  <c r="M1900" i="1" s="1"/>
  <c r="N1900" i="1"/>
  <c r="L1900" i="1"/>
  <c r="O1899" i="1"/>
  <c r="N1899" i="1"/>
  <c r="M1899" i="1"/>
  <c r="L1899" i="1"/>
  <c r="O1898" i="1"/>
  <c r="M1898" i="1" s="1"/>
  <c r="N1898" i="1"/>
  <c r="L1898" i="1"/>
  <c r="O1897" i="1"/>
  <c r="M1897" i="1" s="1"/>
  <c r="N1897" i="1"/>
  <c r="L1897" i="1"/>
  <c r="O1896" i="1"/>
  <c r="M1896" i="1" s="1"/>
  <c r="N1896" i="1"/>
  <c r="L1896" i="1"/>
  <c r="O1895" i="1"/>
  <c r="M1895" i="1" s="1"/>
  <c r="N1895" i="1"/>
  <c r="L1895" i="1"/>
  <c r="O1894" i="1"/>
  <c r="M1894" i="1" s="1"/>
  <c r="N1894" i="1"/>
  <c r="L1894" i="1"/>
  <c r="O1893" i="1"/>
  <c r="M1893" i="1" s="1"/>
  <c r="N1893" i="1"/>
  <c r="L1893" i="1"/>
  <c r="O1892" i="1"/>
  <c r="M1892" i="1" s="1"/>
  <c r="N1892" i="1"/>
  <c r="L1892" i="1"/>
  <c r="O1891" i="1"/>
  <c r="M1891" i="1" s="1"/>
  <c r="N1891" i="1"/>
  <c r="L1891" i="1"/>
  <c r="O1890" i="1"/>
  <c r="M1890" i="1" s="1"/>
  <c r="N1890" i="1"/>
  <c r="L1890" i="1"/>
  <c r="O1889" i="1"/>
  <c r="M1889" i="1" s="1"/>
  <c r="N1889" i="1"/>
  <c r="L1889" i="1"/>
  <c r="O1888" i="1"/>
  <c r="M1888" i="1" s="1"/>
  <c r="N1888" i="1"/>
  <c r="L1888" i="1"/>
  <c r="O1887" i="1"/>
  <c r="M1887" i="1" s="1"/>
  <c r="N1887" i="1"/>
  <c r="L1887" i="1"/>
  <c r="O1886" i="1"/>
  <c r="M1886" i="1" s="1"/>
  <c r="N1886" i="1"/>
  <c r="L1886" i="1"/>
  <c r="O1885" i="1"/>
  <c r="M1885" i="1" s="1"/>
  <c r="N1885" i="1"/>
  <c r="L1885" i="1"/>
  <c r="O1884" i="1"/>
  <c r="M1884" i="1" s="1"/>
  <c r="N1884" i="1"/>
  <c r="L1884" i="1"/>
  <c r="O1883" i="1"/>
  <c r="M1883" i="1" s="1"/>
  <c r="N1883" i="1"/>
  <c r="L1883" i="1"/>
  <c r="O1882" i="1"/>
  <c r="M1882" i="1" s="1"/>
  <c r="N1882" i="1"/>
  <c r="L1882" i="1"/>
  <c r="O1881" i="1"/>
  <c r="N1881" i="1"/>
  <c r="M1881" i="1"/>
  <c r="L1881" i="1"/>
  <c r="O1880" i="1"/>
  <c r="M1880" i="1" s="1"/>
  <c r="N1880" i="1"/>
  <c r="L1880" i="1"/>
  <c r="O1879" i="1"/>
  <c r="M1879" i="1" s="1"/>
  <c r="N1879" i="1"/>
  <c r="L1879" i="1"/>
  <c r="O1878" i="1"/>
  <c r="M1878" i="1" s="1"/>
  <c r="N1878" i="1"/>
  <c r="L1878" i="1"/>
  <c r="O1877" i="1"/>
  <c r="M1877" i="1" s="1"/>
  <c r="N1877" i="1"/>
  <c r="L1877" i="1"/>
  <c r="O1876" i="1"/>
  <c r="M1876" i="1" s="1"/>
  <c r="N1876" i="1"/>
  <c r="L1876" i="1"/>
  <c r="O1875" i="1"/>
  <c r="M1875" i="1" s="1"/>
  <c r="N1875" i="1"/>
  <c r="L1875" i="1"/>
  <c r="O1874" i="1"/>
  <c r="M1874" i="1" s="1"/>
  <c r="N1874" i="1"/>
  <c r="L1874" i="1"/>
  <c r="O1873" i="1"/>
  <c r="M1873" i="1" s="1"/>
  <c r="N1873" i="1"/>
  <c r="L1873" i="1"/>
  <c r="O1872" i="1"/>
  <c r="M1872" i="1" s="1"/>
  <c r="N1872" i="1"/>
  <c r="L1872" i="1"/>
  <c r="O1871" i="1"/>
  <c r="M1871" i="1" s="1"/>
  <c r="N1871" i="1"/>
  <c r="L1871" i="1"/>
  <c r="O1870" i="1"/>
  <c r="M1870" i="1" s="1"/>
  <c r="N1870" i="1"/>
  <c r="L1870" i="1"/>
  <c r="O1869" i="1"/>
  <c r="M1869" i="1" s="1"/>
  <c r="N1869" i="1"/>
  <c r="L1869" i="1"/>
  <c r="O1868" i="1"/>
  <c r="M1868" i="1" s="1"/>
  <c r="N1868" i="1"/>
  <c r="L1868" i="1"/>
  <c r="O1867" i="1"/>
  <c r="M1867" i="1" s="1"/>
  <c r="N1867" i="1"/>
  <c r="L1867" i="1"/>
  <c r="O1866" i="1"/>
  <c r="M1866" i="1" s="1"/>
  <c r="N1866" i="1"/>
  <c r="L1866" i="1"/>
  <c r="O1865" i="1"/>
  <c r="M1865" i="1" s="1"/>
  <c r="N1865" i="1"/>
  <c r="L1865" i="1"/>
  <c r="O1864" i="1"/>
  <c r="M1864" i="1" s="1"/>
  <c r="N1864" i="1"/>
  <c r="L1864" i="1"/>
  <c r="O1863" i="1"/>
  <c r="M1863" i="1" s="1"/>
  <c r="N1863" i="1"/>
  <c r="L1863" i="1"/>
  <c r="O1862" i="1"/>
  <c r="M1862" i="1" s="1"/>
  <c r="N1862" i="1"/>
  <c r="L1862" i="1"/>
  <c r="O1861" i="1"/>
  <c r="N1861" i="1"/>
  <c r="M1861" i="1"/>
  <c r="L1861" i="1"/>
  <c r="O1860" i="1"/>
  <c r="M1860" i="1" s="1"/>
  <c r="N1860" i="1"/>
  <c r="L1860" i="1"/>
  <c r="O1859" i="1"/>
  <c r="M1859" i="1" s="1"/>
  <c r="N1859" i="1"/>
  <c r="L1859" i="1"/>
  <c r="O1858" i="1"/>
  <c r="M1858" i="1" s="1"/>
  <c r="N1858" i="1"/>
  <c r="L1858" i="1"/>
  <c r="O1857" i="1"/>
  <c r="M1857" i="1" s="1"/>
  <c r="N1857" i="1"/>
  <c r="L1857" i="1"/>
  <c r="O1856" i="1"/>
  <c r="M1856" i="1" s="1"/>
  <c r="N1856" i="1"/>
  <c r="L1856" i="1"/>
  <c r="O1855" i="1"/>
  <c r="M1855" i="1" s="1"/>
  <c r="N1855" i="1"/>
  <c r="L1855" i="1"/>
  <c r="O1854" i="1"/>
  <c r="M1854" i="1" s="1"/>
  <c r="N1854" i="1"/>
  <c r="L1854" i="1"/>
  <c r="O1853" i="1"/>
  <c r="M1853" i="1" s="1"/>
  <c r="N1853" i="1"/>
  <c r="L1853" i="1"/>
  <c r="O1852" i="1"/>
  <c r="M1852" i="1" s="1"/>
  <c r="N1852" i="1"/>
  <c r="L1852" i="1"/>
  <c r="O1851" i="1"/>
  <c r="N1851" i="1"/>
  <c r="M1851" i="1"/>
  <c r="L1851" i="1"/>
  <c r="O1850" i="1"/>
  <c r="M1850" i="1" s="1"/>
  <c r="N1850" i="1"/>
  <c r="L1850" i="1"/>
  <c r="O1849" i="1"/>
  <c r="N1849" i="1"/>
  <c r="M1849" i="1"/>
  <c r="L1849" i="1"/>
  <c r="O1848" i="1"/>
  <c r="M1848" i="1" s="1"/>
  <c r="N1848" i="1"/>
  <c r="L1848" i="1"/>
  <c r="O1847" i="1"/>
  <c r="M1847" i="1" s="1"/>
  <c r="N1847" i="1"/>
  <c r="L1847" i="1"/>
  <c r="O1846" i="1"/>
  <c r="M1846" i="1" s="1"/>
  <c r="N1846" i="1"/>
  <c r="L1846" i="1"/>
  <c r="O1845" i="1"/>
  <c r="M1845" i="1" s="1"/>
  <c r="N1845" i="1"/>
  <c r="L1845" i="1"/>
  <c r="O1844" i="1"/>
  <c r="M1844" i="1" s="1"/>
  <c r="N1844" i="1"/>
  <c r="L1844" i="1"/>
  <c r="O1843" i="1"/>
  <c r="M1843" i="1" s="1"/>
  <c r="N1843" i="1"/>
  <c r="L1843" i="1"/>
  <c r="O1842" i="1"/>
  <c r="M1842" i="1" s="1"/>
  <c r="N1842" i="1"/>
  <c r="L1842" i="1"/>
  <c r="O1841" i="1"/>
  <c r="M1841" i="1" s="1"/>
  <c r="N1841" i="1"/>
  <c r="L1841" i="1"/>
  <c r="O1840" i="1"/>
  <c r="M1840" i="1" s="1"/>
  <c r="N1840" i="1"/>
  <c r="L1840" i="1"/>
  <c r="O1839" i="1"/>
  <c r="N1839" i="1"/>
  <c r="M1839" i="1"/>
  <c r="L1839" i="1"/>
  <c r="O1838" i="1"/>
  <c r="M1838" i="1" s="1"/>
  <c r="N1838" i="1"/>
  <c r="L1838" i="1"/>
  <c r="O1837" i="1"/>
  <c r="M1837" i="1" s="1"/>
  <c r="N1837" i="1"/>
  <c r="L1837" i="1"/>
  <c r="O1836" i="1"/>
  <c r="M1836" i="1" s="1"/>
  <c r="N1836" i="1"/>
  <c r="L1836" i="1"/>
  <c r="O1835" i="1"/>
  <c r="M1835" i="1" s="1"/>
  <c r="N1835" i="1"/>
  <c r="L1835" i="1"/>
  <c r="O1834" i="1"/>
  <c r="M1834" i="1" s="1"/>
  <c r="N1834" i="1"/>
  <c r="L1834" i="1"/>
  <c r="O1833" i="1"/>
  <c r="M1833" i="1" s="1"/>
  <c r="N1833" i="1"/>
  <c r="L1833" i="1"/>
  <c r="O1832" i="1"/>
  <c r="M1832" i="1" s="1"/>
  <c r="N1832" i="1"/>
  <c r="L1832" i="1"/>
  <c r="O1831" i="1"/>
  <c r="M1831" i="1" s="1"/>
  <c r="N1831" i="1"/>
  <c r="L1831" i="1"/>
  <c r="O1830" i="1"/>
  <c r="M1830" i="1" s="1"/>
  <c r="N1830" i="1"/>
  <c r="L1830" i="1"/>
  <c r="O1829" i="1"/>
  <c r="N1829" i="1"/>
  <c r="M1829" i="1"/>
  <c r="L1829" i="1"/>
  <c r="O1828" i="1"/>
  <c r="M1828" i="1" s="1"/>
  <c r="N1828" i="1"/>
  <c r="L1828" i="1"/>
  <c r="O1827" i="1"/>
  <c r="M1827" i="1" s="1"/>
  <c r="N1827" i="1"/>
  <c r="L1827" i="1"/>
  <c r="O1826" i="1"/>
  <c r="M1826" i="1" s="1"/>
  <c r="N1826" i="1"/>
  <c r="L1826" i="1"/>
  <c r="O1825" i="1"/>
  <c r="M1825" i="1" s="1"/>
  <c r="N1825" i="1"/>
  <c r="L1825" i="1"/>
  <c r="O1824" i="1"/>
  <c r="M1824" i="1" s="1"/>
  <c r="N1824" i="1"/>
  <c r="L1824" i="1"/>
  <c r="O1823" i="1"/>
  <c r="M1823" i="1" s="1"/>
  <c r="N1823" i="1"/>
  <c r="L1823" i="1"/>
  <c r="O1822" i="1"/>
  <c r="M1822" i="1" s="1"/>
  <c r="N1822" i="1"/>
  <c r="L1822" i="1"/>
  <c r="O1821" i="1"/>
  <c r="M1821" i="1" s="1"/>
  <c r="N1821" i="1"/>
  <c r="L1821" i="1"/>
  <c r="O1820" i="1"/>
  <c r="M1820" i="1" s="1"/>
  <c r="N1820" i="1"/>
  <c r="L1820" i="1"/>
  <c r="O1819" i="1"/>
  <c r="N1819" i="1"/>
  <c r="M1819" i="1"/>
  <c r="L1819" i="1"/>
  <c r="O1818" i="1"/>
  <c r="M1818" i="1" s="1"/>
  <c r="N1818" i="1"/>
  <c r="L1818" i="1"/>
  <c r="O1817" i="1"/>
  <c r="M1817" i="1" s="1"/>
  <c r="N1817" i="1"/>
  <c r="L1817" i="1"/>
  <c r="O1816" i="1"/>
  <c r="M1816" i="1" s="1"/>
  <c r="N1816" i="1"/>
  <c r="L1816" i="1"/>
  <c r="O1815" i="1"/>
  <c r="M1815" i="1" s="1"/>
  <c r="N1815" i="1"/>
  <c r="L1815" i="1"/>
  <c r="O1814" i="1"/>
  <c r="M1814" i="1" s="1"/>
  <c r="N1814" i="1"/>
  <c r="L1814" i="1"/>
  <c r="O1813" i="1"/>
  <c r="M1813" i="1" s="1"/>
  <c r="N1813" i="1"/>
  <c r="L1813" i="1"/>
  <c r="O1812" i="1"/>
  <c r="M1812" i="1" s="1"/>
  <c r="N1812" i="1"/>
  <c r="L1812" i="1"/>
  <c r="O1811" i="1"/>
  <c r="M1811" i="1" s="1"/>
  <c r="N1811" i="1"/>
  <c r="L1811" i="1"/>
  <c r="O1810" i="1"/>
  <c r="M1810" i="1" s="1"/>
  <c r="N1810" i="1"/>
  <c r="L1810" i="1"/>
  <c r="O1809" i="1"/>
  <c r="M1809" i="1" s="1"/>
  <c r="N1809" i="1"/>
  <c r="L1809" i="1"/>
  <c r="O1808" i="1"/>
  <c r="M1808" i="1" s="1"/>
  <c r="N1808" i="1"/>
  <c r="L1808" i="1"/>
  <c r="O1807" i="1"/>
  <c r="M1807" i="1" s="1"/>
  <c r="N1807" i="1"/>
  <c r="L1807" i="1"/>
  <c r="O1806" i="1"/>
  <c r="M1806" i="1" s="1"/>
  <c r="N1806" i="1"/>
  <c r="L1806" i="1"/>
  <c r="O1805" i="1"/>
  <c r="M1805" i="1" s="1"/>
  <c r="N1805" i="1"/>
  <c r="L1805" i="1"/>
  <c r="O1804" i="1"/>
  <c r="M1804" i="1" s="1"/>
  <c r="N1804" i="1"/>
  <c r="L1804" i="1"/>
  <c r="O1803" i="1"/>
  <c r="M1803" i="1" s="1"/>
  <c r="N1803" i="1"/>
  <c r="L1803" i="1"/>
  <c r="O1802" i="1"/>
  <c r="M1802" i="1" s="1"/>
  <c r="N1802" i="1"/>
  <c r="L1802" i="1"/>
  <c r="O1801" i="1"/>
  <c r="N1801" i="1"/>
  <c r="M1801" i="1"/>
  <c r="L1801" i="1"/>
  <c r="O1800" i="1"/>
  <c r="M1800" i="1" s="1"/>
  <c r="N1800" i="1"/>
  <c r="L1800" i="1"/>
  <c r="O1799" i="1"/>
  <c r="M1799" i="1" s="1"/>
  <c r="N1799" i="1"/>
  <c r="L1799" i="1"/>
  <c r="O1798" i="1"/>
  <c r="M1798" i="1" s="1"/>
  <c r="N1798" i="1"/>
  <c r="L1798" i="1"/>
  <c r="O1797" i="1"/>
  <c r="M1797" i="1" s="1"/>
  <c r="N1797" i="1"/>
  <c r="L1797" i="1"/>
  <c r="O1796" i="1"/>
  <c r="M1796" i="1" s="1"/>
  <c r="N1796" i="1"/>
  <c r="L1796" i="1"/>
  <c r="O1795" i="1"/>
  <c r="M1795" i="1" s="1"/>
  <c r="N1795" i="1"/>
  <c r="L1795" i="1"/>
  <c r="O1794" i="1"/>
  <c r="M1794" i="1" s="1"/>
  <c r="N1794" i="1"/>
  <c r="L1794" i="1"/>
  <c r="O1793" i="1"/>
  <c r="M1793" i="1" s="1"/>
  <c r="N1793" i="1"/>
  <c r="L1793" i="1"/>
  <c r="O1792" i="1"/>
  <c r="M1792" i="1" s="1"/>
  <c r="N1792" i="1"/>
  <c r="L1792" i="1"/>
  <c r="O1791" i="1"/>
  <c r="M1791" i="1" s="1"/>
  <c r="N1791" i="1"/>
  <c r="L1791" i="1"/>
  <c r="O1790" i="1"/>
  <c r="M1790" i="1" s="1"/>
  <c r="N1790" i="1"/>
  <c r="L1790" i="1"/>
  <c r="O1789" i="1"/>
  <c r="M1789" i="1" s="1"/>
  <c r="N1789" i="1"/>
  <c r="L1789" i="1"/>
  <c r="O1788" i="1"/>
  <c r="M1788" i="1" s="1"/>
  <c r="N1788" i="1"/>
  <c r="L1788" i="1"/>
  <c r="O1787" i="1"/>
  <c r="M1787" i="1" s="1"/>
  <c r="N1787" i="1"/>
  <c r="L1787" i="1"/>
  <c r="O1786" i="1"/>
  <c r="M1786" i="1" s="1"/>
  <c r="N1786" i="1"/>
  <c r="L1786" i="1"/>
  <c r="O1785" i="1"/>
  <c r="M1785" i="1" s="1"/>
  <c r="N1785" i="1"/>
  <c r="L1785" i="1"/>
  <c r="O1784" i="1"/>
  <c r="M1784" i="1" s="1"/>
  <c r="N1784" i="1"/>
  <c r="L1784" i="1"/>
  <c r="O1783" i="1"/>
  <c r="M1783" i="1" s="1"/>
  <c r="N1783" i="1"/>
  <c r="L1783" i="1"/>
  <c r="O1782" i="1"/>
  <c r="N1782" i="1"/>
  <c r="M1782" i="1"/>
  <c r="L1782" i="1"/>
  <c r="O1781" i="1"/>
  <c r="M1781" i="1" s="1"/>
  <c r="N1781" i="1"/>
  <c r="L1781" i="1"/>
  <c r="O1780" i="1"/>
  <c r="N1780" i="1"/>
  <c r="M1780" i="1"/>
  <c r="L1780" i="1"/>
  <c r="O1779" i="1"/>
  <c r="M1779" i="1" s="1"/>
  <c r="N1779" i="1"/>
  <c r="L1779" i="1"/>
  <c r="O1778" i="1"/>
  <c r="N1778" i="1"/>
  <c r="M1778" i="1"/>
  <c r="L1778" i="1"/>
  <c r="O1777" i="1"/>
  <c r="M1777" i="1" s="1"/>
  <c r="N1777" i="1"/>
  <c r="L1777" i="1"/>
  <c r="O1776" i="1"/>
  <c r="M1776" i="1" s="1"/>
  <c r="N1776" i="1"/>
  <c r="L1776" i="1"/>
  <c r="O1775" i="1"/>
  <c r="M1775" i="1" s="1"/>
  <c r="N1775" i="1"/>
  <c r="L1775" i="1"/>
  <c r="O1774" i="1"/>
  <c r="M1774" i="1" s="1"/>
  <c r="N1774" i="1"/>
  <c r="L1774" i="1"/>
  <c r="O1773" i="1"/>
  <c r="M1773" i="1" s="1"/>
  <c r="N1773" i="1"/>
  <c r="L1773" i="1"/>
  <c r="O1772" i="1"/>
  <c r="M1772" i="1" s="1"/>
  <c r="N1772" i="1"/>
  <c r="L1772" i="1"/>
  <c r="O1771" i="1"/>
  <c r="M1771" i="1" s="1"/>
  <c r="N1771" i="1"/>
  <c r="L1771" i="1"/>
  <c r="O1770" i="1"/>
  <c r="M1770" i="1" s="1"/>
  <c r="N1770" i="1"/>
  <c r="L1770" i="1"/>
  <c r="O1769" i="1"/>
  <c r="M1769" i="1" s="1"/>
  <c r="N1769" i="1"/>
  <c r="L1769" i="1"/>
  <c r="O1768" i="1"/>
  <c r="M1768" i="1" s="1"/>
  <c r="N1768" i="1"/>
  <c r="L1768" i="1"/>
  <c r="O1767" i="1"/>
  <c r="M1767" i="1" s="1"/>
  <c r="N1767" i="1"/>
  <c r="L1767" i="1"/>
  <c r="O1766" i="1"/>
  <c r="N1766" i="1"/>
  <c r="M1766" i="1"/>
  <c r="L1766" i="1"/>
  <c r="O1765" i="1"/>
  <c r="M1765" i="1" s="1"/>
  <c r="N1765" i="1"/>
  <c r="L1765" i="1"/>
  <c r="O1764" i="1"/>
  <c r="N1764" i="1"/>
  <c r="M1764" i="1"/>
  <c r="L1764" i="1"/>
  <c r="O1763" i="1"/>
  <c r="M1763" i="1" s="1"/>
  <c r="N1763" i="1"/>
  <c r="L1763" i="1"/>
  <c r="O1762" i="1"/>
  <c r="N1762" i="1"/>
  <c r="M1762" i="1"/>
  <c r="L1762" i="1"/>
  <c r="O1761" i="1"/>
  <c r="M1761" i="1" s="1"/>
  <c r="N1761" i="1"/>
  <c r="L1761" i="1"/>
  <c r="O1760" i="1"/>
  <c r="M1760" i="1" s="1"/>
  <c r="N1760" i="1"/>
  <c r="L1760" i="1"/>
  <c r="O1759" i="1"/>
  <c r="M1759" i="1" s="1"/>
  <c r="N1759" i="1"/>
  <c r="L1759" i="1"/>
  <c r="O1758" i="1"/>
  <c r="M1758" i="1" s="1"/>
  <c r="N1758" i="1"/>
  <c r="L1758" i="1"/>
  <c r="O1757" i="1"/>
  <c r="M1757" i="1" s="1"/>
  <c r="N1757" i="1"/>
  <c r="L1757" i="1"/>
  <c r="O1756" i="1"/>
  <c r="M1756" i="1" s="1"/>
  <c r="N1756" i="1"/>
  <c r="L1756" i="1"/>
  <c r="O1755" i="1"/>
  <c r="M1755" i="1" s="1"/>
  <c r="N1755" i="1"/>
  <c r="L1755" i="1"/>
  <c r="O1754" i="1"/>
  <c r="M1754" i="1" s="1"/>
  <c r="N1754" i="1"/>
  <c r="L1754" i="1"/>
  <c r="O1753" i="1"/>
  <c r="M1753" i="1" s="1"/>
  <c r="N1753" i="1"/>
  <c r="L1753" i="1"/>
  <c r="O1752" i="1"/>
  <c r="M1752" i="1" s="1"/>
  <c r="N1752" i="1"/>
  <c r="L1752" i="1"/>
  <c r="O1751" i="1"/>
  <c r="M1751" i="1" s="1"/>
  <c r="N1751" i="1"/>
  <c r="L1751" i="1"/>
  <c r="O1750" i="1"/>
  <c r="N1750" i="1"/>
  <c r="M1750" i="1"/>
  <c r="L1750" i="1"/>
  <c r="O1749" i="1"/>
  <c r="M1749" i="1" s="1"/>
  <c r="N1749" i="1"/>
  <c r="L1749" i="1"/>
  <c r="O1748" i="1"/>
  <c r="N1748" i="1"/>
  <c r="M1748" i="1"/>
  <c r="L1748" i="1"/>
  <c r="O1747" i="1"/>
  <c r="M1747" i="1" s="1"/>
  <c r="N1747" i="1"/>
  <c r="L1747" i="1"/>
  <c r="O1746" i="1"/>
  <c r="N1746" i="1"/>
  <c r="M1746" i="1"/>
  <c r="L1746" i="1"/>
  <c r="O1745" i="1"/>
  <c r="M1745" i="1" s="1"/>
  <c r="N1745" i="1"/>
  <c r="L1745" i="1"/>
  <c r="O1744" i="1"/>
  <c r="M1744" i="1" s="1"/>
  <c r="N1744" i="1"/>
  <c r="L1744" i="1"/>
  <c r="O1743" i="1"/>
  <c r="M1743" i="1" s="1"/>
  <c r="N1743" i="1"/>
  <c r="L1743" i="1"/>
  <c r="O1742" i="1"/>
  <c r="M1742" i="1" s="1"/>
  <c r="N1742" i="1"/>
  <c r="L1742" i="1"/>
  <c r="O1741" i="1"/>
  <c r="M1741" i="1" s="1"/>
  <c r="N1741" i="1"/>
  <c r="L1741" i="1"/>
  <c r="O1740" i="1"/>
  <c r="M1740" i="1" s="1"/>
  <c r="N1740" i="1"/>
  <c r="L1740" i="1"/>
  <c r="O1739" i="1"/>
  <c r="M1739" i="1" s="1"/>
  <c r="N1739" i="1"/>
  <c r="L1739" i="1"/>
  <c r="O1738" i="1"/>
  <c r="M1738" i="1" s="1"/>
  <c r="N1738" i="1"/>
  <c r="L1738" i="1"/>
  <c r="O1737" i="1"/>
  <c r="M1737" i="1" s="1"/>
  <c r="N1737" i="1"/>
  <c r="L1737" i="1"/>
  <c r="O1736" i="1"/>
  <c r="M1736" i="1" s="1"/>
  <c r="N1736" i="1"/>
  <c r="L1736" i="1"/>
  <c r="O1735" i="1"/>
  <c r="M1735" i="1" s="1"/>
  <c r="N1735" i="1"/>
  <c r="L1735" i="1"/>
  <c r="O1734" i="1"/>
  <c r="N1734" i="1"/>
  <c r="M1734" i="1"/>
  <c r="L1734" i="1"/>
  <c r="O1733" i="1"/>
  <c r="M1733" i="1" s="1"/>
  <c r="N1733" i="1"/>
  <c r="L1733" i="1"/>
  <c r="O1732" i="1"/>
  <c r="N1732" i="1"/>
  <c r="M1732" i="1"/>
  <c r="L1732" i="1"/>
  <c r="O1731" i="1"/>
  <c r="M1731" i="1" s="1"/>
  <c r="N1731" i="1"/>
  <c r="L1731" i="1"/>
  <c r="O1730" i="1"/>
  <c r="N1730" i="1"/>
  <c r="M1730" i="1"/>
  <c r="L1730" i="1"/>
  <c r="O1729" i="1"/>
  <c r="M1729" i="1" s="1"/>
  <c r="N1729" i="1"/>
  <c r="L1729" i="1"/>
  <c r="O1728" i="1"/>
  <c r="M1728" i="1" s="1"/>
  <c r="N1728" i="1"/>
  <c r="L1728" i="1"/>
  <c r="O1727" i="1"/>
  <c r="M1727" i="1" s="1"/>
  <c r="N1727" i="1"/>
  <c r="L1727" i="1"/>
  <c r="O1726" i="1"/>
  <c r="M1726" i="1" s="1"/>
  <c r="N1726" i="1"/>
  <c r="L1726" i="1"/>
  <c r="O1725" i="1"/>
  <c r="M1725" i="1" s="1"/>
  <c r="N1725" i="1"/>
  <c r="L1725" i="1"/>
  <c r="O1724" i="1"/>
  <c r="M1724" i="1" s="1"/>
  <c r="N1724" i="1"/>
  <c r="L1724" i="1"/>
  <c r="O1723" i="1"/>
  <c r="M1723" i="1" s="1"/>
  <c r="N1723" i="1"/>
  <c r="L1723" i="1"/>
  <c r="O1722" i="1"/>
  <c r="M1722" i="1" s="1"/>
  <c r="N1722" i="1"/>
  <c r="L1722" i="1"/>
  <c r="O1721" i="1"/>
  <c r="M1721" i="1" s="1"/>
  <c r="N1721" i="1"/>
  <c r="L1721" i="1"/>
  <c r="O1720" i="1"/>
  <c r="M1720" i="1" s="1"/>
  <c r="N1720" i="1"/>
  <c r="L1720" i="1"/>
  <c r="O1719" i="1"/>
  <c r="M1719" i="1" s="1"/>
  <c r="N1719" i="1"/>
  <c r="L1719" i="1"/>
  <c r="O1718" i="1"/>
  <c r="N1718" i="1"/>
  <c r="M1718" i="1"/>
  <c r="L1718" i="1"/>
  <c r="O1717" i="1"/>
  <c r="M1717" i="1" s="1"/>
  <c r="N1717" i="1"/>
  <c r="L1717" i="1"/>
  <c r="O1716" i="1"/>
  <c r="N1716" i="1"/>
  <c r="M1716" i="1"/>
  <c r="L1716" i="1"/>
  <c r="O1715" i="1"/>
  <c r="M1715" i="1" s="1"/>
  <c r="N1715" i="1"/>
  <c r="L1715" i="1"/>
  <c r="O1714" i="1"/>
  <c r="N1714" i="1"/>
  <c r="M1714" i="1"/>
  <c r="L1714" i="1"/>
  <c r="O1713" i="1"/>
  <c r="M1713" i="1" s="1"/>
  <c r="N1713" i="1"/>
  <c r="L1713" i="1"/>
  <c r="O1712" i="1"/>
  <c r="M1712" i="1" s="1"/>
  <c r="N1712" i="1"/>
  <c r="L1712" i="1"/>
  <c r="O1711" i="1"/>
  <c r="M1711" i="1" s="1"/>
  <c r="N1711" i="1"/>
  <c r="L1711" i="1"/>
  <c r="O1710" i="1"/>
  <c r="M1710" i="1" s="1"/>
  <c r="N1710" i="1"/>
  <c r="L1710" i="1"/>
  <c r="O1709" i="1"/>
  <c r="M1709" i="1" s="1"/>
  <c r="N1709" i="1"/>
  <c r="L1709" i="1"/>
  <c r="O1708" i="1"/>
  <c r="M1708" i="1" s="1"/>
  <c r="N1708" i="1"/>
  <c r="L1708" i="1"/>
  <c r="O1707" i="1"/>
  <c r="M1707" i="1" s="1"/>
  <c r="N1707" i="1"/>
  <c r="L1707" i="1"/>
  <c r="O1706" i="1"/>
  <c r="M1706" i="1" s="1"/>
  <c r="N1706" i="1"/>
  <c r="L1706" i="1"/>
  <c r="O1705" i="1"/>
  <c r="M1705" i="1" s="1"/>
  <c r="N1705" i="1"/>
  <c r="L1705" i="1"/>
  <c r="O1704" i="1"/>
  <c r="M1704" i="1" s="1"/>
  <c r="N1704" i="1"/>
  <c r="L1704" i="1"/>
  <c r="O1703" i="1"/>
  <c r="M1703" i="1" s="1"/>
  <c r="N1703" i="1"/>
  <c r="L1703" i="1"/>
  <c r="O1702" i="1"/>
  <c r="N1702" i="1"/>
  <c r="M1702" i="1"/>
  <c r="L1702" i="1"/>
  <c r="O1701" i="1"/>
  <c r="M1701" i="1" s="1"/>
  <c r="N1701" i="1"/>
  <c r="L1701" i="1"/>
  <c r="O1700" i="1"/>
  <c r="N1700" i="1"/>
  <c r="M1700" i="1"/>
  <c r="L1700" i="1"/>
  <c r="O1699" i="1"/>
  <c r="M1699" i="1" s="1"/>
  <c r="N1699" i="1"/>
  <c r="L1699" i="1"/>
  <c r="O1698" i="1"/>
  <c r="N1698" i="1"/>
  <c r="M1698" i="1"/>
  <c r="L1698" i="1"/>
  <c r="O1697" i="1"/>
  <c r="M1697" i="1" s="1"/>
  <c r="N1697" i="1"/>
  <c r="L1697" i="1"/>
  <c r="O1696" i="1"/>
  <c r="M1696" i="1" s="1"/>
  <c r="N1696" i="1"/>
  <c r="L1696" i="1"/>
  <c r="O1695" i="1"/>
  <c r="M1695" i="1" s="1"/>
  <c r="N1695" i="1"/>
  <c r="L1695" i="1"/>
  <c r="O1694" i="1"/>
  <c r="M1694" i="1" s="1"/>
  <c r="N1694" i="1"/>
  <c r="L1694" i="1"/>
  <c r="O1693" i="1"/>
  <c r="M1693" i="1" s="1"/>
  <c r="N1693" i="1"/>
  <c r="L1693" i="1"/>
  <c r="O1692" i="1"/>
  <c r="M1692" i="1" s="1"/>
  <c r="N1692" i="1"/>
  <c r="L1692" i="1"/>
  <c r="O1691" i="1"/>
  <c r="M1691" i="1" s="1"/>
  <c r="N1691" i="1"/>
  <c r="L1691" i="1"/>
  <c r="O1690" i="1"/>
  <c r="M1690" i="1" s="1"/>
  <c r="N1690" i="1"/>
  <c r="L1690" i="1"/>
  <c r="O1689" i="1"/>
  <c r="M1689" i="1" s="1"/>
  <c r="N1689" i="1"/>
  <c r="L1689" i="1"/>
  <c r="O1688" i="1"/>
  <c r="M1688" i="1" s="1"/>
  <c r="N1688" i="1"/>
  <c r="L1688" i="1"/>
  <c r="O1687" i="1"/>
  <c r="M1687" i="1" s="1"/>
  <c r="N1687" i="1"/>
  <c r="L1687" i="1"/>
  <c r="O1686" i="1"/>
  <c r="N1686" i="1"/>
  <c r="M1686" i="1"/>
  <c r="L1686" i="1"/>
  <c r="O1685" i="1"/>
  <c r="M1685" i="1" s="1"/>
  <c r="N1685" i="1"/>
  <c r="L1685" i="1"/>
  <c r="O1684" i="1"/>
  <c r="N1684" i="1"/>
  <c r="M1684" i="1"/>
  <c r="L1684" i="1"/>
  <c r="O1683" i="1"/>
  <c r="M1683" i="1" s="1"/>
  <c r="N1683" i="1"/>
  <c r="L1683" i="1"/>
  <c r="O1682" i="1"/>
  <c r="N1682" i="1"/>
  <c r="M1682" i="1"/>
  <c r="L1682" i="1"/>
  <c r="O1681" i="1"/>
  <c r="M1681" i="1" s="1"/>
  <c r="N1681" i="1"/>
  <c r="L1681" i="1"/>
  <c r="O1680" i="1"/>
  <c r="M1680" i="1" s="1"/>
  <c r="N1680" i="1"/>
  <c r="L1680" i="1"/>
  <c r="O1679" i="1"/>
  <c r="M1679" i="1" s="1"/>
  <c r="N1679" i="1"/>
  <c r="L1679" i="1"/>
  <c r="O1678" i="1"/>
  <c r="M1678" i="1" s="1"/>
  <c r="N1678" i="1"/>
  <c r="L1678" i="1"/>
  <c r="O1677" i="1"/>
  <c r="M1677" i="1" s="1"/>
  <c r="N1677" i="1"/>
  <c r="L1677" i="1"/>
  <c r="O1676" i="1"/>
  <c r="M1676" i="1" s="1"/>
  <c r="N1676" i="1"/>
  <c r="L1676" i="1"/>
  <c r="O1675" i="1"/>
  <c r="M1675" i="1" s="1"/>
  <c r="N1675" i="1"/>
  <c r="L1675" i="1"/>
  <c r="O1674" i="1"/>
  <c r="M1674" i="1" s="1"/>
  <c r="N1674" i="1"/>
  <c r="L1674" i="1"/>
  <c r="O1673" i="1"/>
  <c r="M1673" i="1" s="1"/>
  <c r="N1673" i="1"/>
  <c r="L1673" i="1"/>
  <c r="O1672" i="1"/>
  <c r="M1672" i="1" s="1"/>
  <c r="N1672" i="1"/>
  <c r="L1672" i="1"/>
  <c r="O1671" i="1"/>
  <c r="M1671" i="1" s="1"/>
  <c r="N1671" i="1"/>
  <c r="L1671" i="1"/>
  <c r="O1670" i="1"/>
  <c r="N1670" i="1"/>
  <c r="M1670" i="1"/>
  <c r="L1670" i="1"/>
  <c r="O1669" i="1"/>
  <c r="M1669" i="1" s="1"/>
  <c r="N1669" i="1"/>
  <c r="L1669" i="1"/>
  <c r="O1668" i="1"/>
  <c r="N1668" i="1"/>
  <c r="M1668" i="1"/>
  <c r="L1668" i="1"/>
  <c r="O1667" i="1"/>
  <c r="M1667" i="1" s="1"/>
  <c r="N1667" i="1"/>
  <c r="L1667" i="1"/>
  <c r="O1666" i="1"/>
  <c r="N1666" i="1"/>
  <c r="M1666" i="1"/>
  <c r="L1666" i="1"/>
  <c r="O1665" i="1"/>
  <c r="M1665" i="1" s="1"/>
  <c r="N1665" i="1"/>
  <c r="L1665" i="1"/>
  <c r="O1664" i="1"/>
  <c r="M1664" i="1" s="1"/>
  <c r="N1664" i="1"/>
  <c r="L1664" i="1"/>
  <c r="O1663" i="1"/>
  <c r="M1663" i="1" s="1"/>
  <c r="N1663" i="1"/>
  <c r="L1663" i="1"/>
  <c r="O1662" i="1"/>
  <c r="M1662" i="1" s="1"/>
  <c r="N1662" i="1"/>
  <c r="L1662" i="1"/>
  <c r="O1661" i="1"/>
  <c r="M1661" i="1" s="1"/>
  <c r="N1661" i="1"/>
  <c r="L1661" i="1"/>
  <c r="O1660" i="1"/>
  <c r="M1660" i="1" s="1"/>
  <c r="N1660" i="1"/>
  <c r="L1660" i="1"/>
  <c r="O1659" i="1"/>
  <c r="M1659" i="1" s="1"/>
  <c r="N1659" i="1"/>
  <c r="L1659" i="1"/>
  <c r="O1658" i="1"/>
  <c r="M1658" i="1" s="1"/>
  <c r="N1658" i="1"/>
  <c r="L1658" i="1"/>
  <c r="O1657" i="1"/>
  <c r="M1657" i="1" s="1"/>
  <c r="N1657" i="1"/>
  <c r="L1657" i="1"/>
  <c r="O1656" i="1"/>
  <c r="M1656" i="1" s="1"/>
  <c r="N1656" i="1"/>
  <c r="L1656" i="1"/>
  <c r="O1655" i="1"/>
  <c r="M1655" i="1" s="1"/>
  <c r="N1655" i="1"/>
  <c r="L1655" i="1"/>
  <c r="O1654" i="1"/>
  <c r="N1654" i="1"/>
  <c r="M1654" i="1"/>
  <c r="L1654" i="1"/>
  <c r="O1653" i="1"/>
  <c r="M1653" i="1" s="1"/>
  <c r="N1653" i="1"/>
  <c r="L1653" i="1"/>
  <c r="O1652" i="1"/>
  <c r="N1652" i="1"/>
  <c r="M1652" i="1"/>
  <c r="L1652" i="1"/>
  <c r="O1651" i="1"/>
  <c r="M1651" i="1" s="1"/>
  <c r="N1651" i="1"/>
  <c r="L1651" i="1"/>
  <c r="O1650" i="1"/>
  <c r="N1650" i="1"/>
  <c r="M1650" i="1"/>
  <c r="L1650" i="1"/>
  <c r="O1649" i="1"/>
  <c r="M1649" i="1" s="1"/>
  <c r="N1649" i="1"/>
  <c r="L1649" i="1"/>
  <c r="O1648" i="1"/>
  <c r="M1648" i="1" s="1"/>
  <c r="N1648" i="1"/>
  <c r="L1648" i="1"/>
  <c r="O1647" i="1"/>
  <c r="M1647" i="1" s="1"/>
  <c r="N1647" i="1"/>
  <c r="L1647" i="1"/>
  <c r="O1646" i="1"/>
  <c r="M1646" i="1" s="1"/>
  <c r="N1646" i="1"/>
  <c r="L1646" i="1"/>
  <c r="O1645" i="1"/>
  <c r="M1645" i="1" s="1"/>
  <c r="N1645" i="1"/>
  <c r="L1645" i="1"/>
  <c r="O1644" i="1"/>
  <c r="M1644" i="1" s="1"/>
  <c r="N1644" i="1"/>
  <c r="L1644" i="1"/>
  <c r="O1643" i="1"/>
  <c r="M1643" i="1" s="1"/>
  <c r="N1643" i="1"/>
  <c r="L1643" i="1"/>
  <c r="O1642" i="1"/>
  <c r="N1642" i="1"/>
  <c r="M1642" i="1"/>
  <c r="L1642" i="1"/>
  <c r="O1641" i="1"/>
  <c r="M1641" i="1" s="1"/>
  <c r="N1641" i="1"/>
  <c r="L1641" i="1"/>
  <c r="O1640" i="1"/>
  <c r="M1640" i="1" s="1"/>
  <c r="N1640" i="1"/>
  <c r="L1640" i="1"/>
  <c r="O1639" i="1"/>
  <c r="M1639" i="1" s="1"/>
  <c r="N1639" i="1"/>
  <c r="L1639" i="1"/>
  <c r="O1638" i="1"/>
  <c r="N1638" i="1"/>
  <c r="M1638" i="1"/>
  <c r="L1638" i="1"/>
  <c r="O1637" i="1"/>
  <c r="M1637" i="1" s="1"/>
  <c r="N1637" i="1"/>
  <c r="L1637" i="1"/>
  <c r="O1636" i="1"/>
  <c r="N1636" i="1"/>
  <c r="M1636" i="1"/>
  <c r="L1636" i="1"/>
  <c r="O1635" i="1"/>
  <c r="M1635" i="1" s="1"/>
  <c r="N1635" i="1"/>
  <c r="L1635" i="1"/>
  <c r="O1634" i="1"/>
  <c r="N1634" i="1"/>
  <c r="M1634" i="1"/>
  <c r="L1634" i="1"/>
  <c r="O1633" i="1"/>
  <c r="M1633" i="1" s="1"/>
  <c r="N1633" i="1"/>
  <c r="L1633" i="1"/>
  <c r="O1632" i="1"/>
  <c r="M1632" i="1" s="1"/>
  <c r="N1632" i="1"/>
  <c r="L1632" i="1"/>
  <c r="O1631" i="1"/>
  <c r="M1631" i="1" s="1"/>
  <c r="N1631" i="1"/>
  <c r="L1631" i="1"/>
  <c r="O1630" i="1"/>
  <c r="M1630" i="1" s="1"/>
  <c r="N1630" i="1"/>
  <c r="L1630" i="1"/>
  <c r="O1629" i="1"/>
  <c r="M1629" i="1" s="1"/>
  <c r="N1629" i="1"/>
  <c r="L1629" i="1"/>
  <c r="O1628" i="1"/>
  <c r="M1628" i="1" s="1"/>
  <c r="N1628" i="1"/>
  <c r="L1628" i="1"/>
  <c r="O1627" i="1"/>
  <c r="M1627" i="1" s="1"/>
  <c r="N1627" i="1"/>
  <c r="L1627" i="1"/>
  <c r="O1626" i="1"/>
  <c r="M1626" i="1" s="1"/>
  <c r="N1626" i="1"/>
  <c r="L1626" i="1"/>
  <c r="O1625" i="1"/>
  <c r="M1625" i="1" s="1"/>
  <c r="N1625" i="1"/>
  <c r="L1625" i="1"/>
  <c r="O1624" i="1"/>
  <c r="M1624" i="1" s="1"/>
  <c r="N1624" i="1"/>
  <c r="L1624" i="1"/>
  <c r="O1623" i="1"/>
  <c r="M1623" i="1" s="1"/>
  <c r="N1623" i="1"/>
  <c r="L1623" i="1"/>
  <c r="O1622" i="1"/>
  <c r="M1622" i="1" s="1"/>
  <c r="N1622" i="1"/>
  <c r="L1622" i="1"/>
  <c r="O1621" i="1"/>
  <c r="M1621" i="1" s="1"/>
  <c r="N1621" i="1"/>
  <c r="L1621" i="1"/>
  <c r="O1620" i="1"/>
  <c r="M1620" i="1" s="1"/>
  <c r="N1620" i="1"/>
  <c r="L1620" i="1"/>
  <c r="O1619" i="1"/>
  <c r="M1619" i="1" s="1"/>
  <c r="N1619" i="1"/>
  <c r="L1619" i="1"/>
  <c r="O1618" i="1"/>
  <c r="M1618" i="1" s="1"/>
  <c r="N1618" i="1"/>
  <c r="L1618" i="1"/>
  <c r="O1617" i="1"/>
  <c r="M1617" i="1" s="1"/>
  <c r="N1617" i="1"/>
  <c r="L1617" i="1"/>
  <c r="O1616" i="1"/>
  <c r="N1616" i="1"/>
  <c r="M1616" i="1"/>
  <c r="L1616" i="1"/>
  <c r="O1615" i="1"/>
  <c r="M1615" i="1" s="1"/>
  <c r="N1615" i="1"/>
  <c r="L1615" i="1"/>
  <c r="O1614" i="1"/>
  <c r="N1614" i="1"/>
  <c r="M1614" i="1"/>
  <c r="L1614" i="1"/>
  <c r="O1613" i="1"/>
  <c r="M1613" i="1" s="1"/>
  <c r="N1613" i="1"/>
  <c r="L1613" i="1"/>
  <c r="O1612" i="1"/>
  <c r="M1612" i="1" s="1"/>
  <c r="N1612" i="1"/>
  <c r="L1612" i="1"/>
  <c r="O1611" i="1"/>
  <c r="M1611" i="1" s="1"/>
  <c r="N1611" i="1"/>
  <c r="L1611" i="1"/>
  <c r="O1610" i="1"/>
  <c r="M1610" i="1" s="1"/>
  <c r="N1610" i="1"/>
  <c r="L1610" i="1"/>
  <c r="O1609" i="1"/>
  <c r="M1609" i="1" s="1"/>
  <c r="N1609" i="1"/>
  <c r="L1609" i="1"/>
  <c r="O1608" i="1"/>
  <c r="M1608" i="1" s="1"/>
  <c r="N1608" i="1"/>
  <c r="L1608" i="1"/>
  <c r="O1607" i="1"/>
  <c r="M1607" i="1" s="1"/>
  <c r="N1607" i="1"/>
  <c r="L1607" i="1"/>
  <c r="O1606" i="1"/>
  <c r="M1606" i="1" s="1"/>
  <c r="N1606" i="1"/>
  <c r="L1606" i="1"/>
  <c r="O1605" i="1"/>
  <c r="M1605" i="1" s="1"/>
  <c r="N1605" i="1"/>
  <c r="L1605" i="1"/>
  <c r="O1604" i="1"/>
  <c r="M1604" i="1" s="1"/>
  <c r="N1604" i="1"/>
  <c r="L1604" i="1"/>
  <c r="O1603" i="1"/>
  <c r="M1603" i="1" s="1"/>
  <c r="N1603" i="1"/>
  <c r="L1603" i="1"/>
  <c r="O1602" i="1"/>
  <c r="M1602" i="1" s="1"/>
  <c r="N1602" i="1"/>
  <c r="L1602" i="1"/>
  <c r="O1601" i="1"/>
  <c r="M1601" i="1" s="1"/>
  <c r="N1601" i="1"/>
  <c r="L1601" i="1"/>
  <c r="O1600" i="1"/>
  <c r="M1600" i="1" s="1"/>
  <c r="N1600" i="1"/>
  <c r="L1600" i="1"/>
  <c r="O1599" i="1"/>
  <c r="M1599" i="1" s="1"/>
  <c r="N1599" i="1"/>
  <c r="L1599" i="1"/>
  <c r="O1598" i="1"/>
  <c r="M1598" i="1" s="1"/>
  <c r="N1598" i="1"/>
  <c r="L1598" i="1"/>
  <c r="O1597" i="1"/>
  <c r="M1597" i="1" s="1"/>
  <c r="N1597" i="1"/>
  <c r="L1597" i="1"/>
  <c r="O1596" i="1"/>
  <c r="M1596" i="1" s="1"/>
  <c r="N1596" i="1"/>
  <c r="L1596" i="1"/>
  <c r="O1595" i="1"/>
  <c r="M1595" i="1" s="1"/>
  <c r="N1595" i="1"/>
  <c r="L1595" i="1"/>
  <c r="O1594" i="1"/>
  <c r="M1594" i="1" s="1"/>
  <c r="N1594" i="1"/>
  <c r="L1594" i="1"/>
  <c r="O1593" i="1"/>
  <c r="M1593" i="1" s="1"/>
  <c r="N1593" i="1"/>
  <c r="L1593" i="1"/>
  <c r="O1592" i="1"/>
  <c r="M1592" i="1" s="1"/>
  <c r="N1592" i="1"/>
  <c r="L1592" i="1"/>
  <c r="O1591" i="1"/>
  <c r="M1591" i="1" s="1"/>
  <c r="N1591" i="1"/>
  <c r="L1591" i="1"/>
  <c r="O1590" i="1"/>
  <c r="M1590" i="1" s="1"/>
  <c r="N1590" i="1"/>
  <c r="L1590" i="1"/>
  <c r="O1589" i="1"/>
  <c r="M1589" i="1" s="1"/>
  <c r="N1589" i="1"/>
  <c r="L1589" i="1"/>
  <c r="O1588" i="1"/>
  <c r="M1588" i="1" s="1"/>
  <c r="N1588" i="1"/>
  <c r="L1588" i="1"/>
  <c r="O1587" i="1"/>
  <c r="M1587" i="1" s="1"/>
  <c r="N1587" i="1"/>
  <c r="L1587" i="1"/>
  <c r="O1586" i="1"/>
  <c r="N1586" i="1"/>
  <c r="M1586" i="1"/>
  <c r="L1586" i="1"/>
  <c r="O1585" i="1"/>
  <c r="M1585" i="1" s="1"/>
  <c r="N1585" i="1"/>
  <c r="L1585" i="1"/>
  <c r="O1584" i="1"/>
  <c r="N1584" i="1"/>
  <c r="M1584" i="1"/>
  <c r="L1584" i="1"/>
  <c r="O1583" i="1"/>
  <c r="M1583" i="1" s="1"/>
  <c r="N1583" i="1"/>
  <c r="L1583" i="1"/>
  <c r="O1582" i="1"/>
  <c r="M1582" i="1" s="1"/>
  <c r="N1582" i="1"/>
  <c r="L1582" i="1"/>
  <c r="O1581" i="1"/>
  <c r="M1581" i="1" s="1"/>
  <c r="N1581" i="1"/>
  <c r="L1581" i="1"/>
  <c r="O1580" i="1"/>
  <c r="M1580" i="1" s="1"/>
  <c r="N1580" i="1"/>
  <c r="L1580" i="1"/>
  <c r="O1579" i="1"/>
  <c r="M1579" i="1" s="1"/>
  <c r="N1579" i="1"/>
  <c r="L1579" i="1"/>
  <c r="O1578" i="1"/>
  <c r="M1578" i="1" s="1"/>
  <c r="N1578" i="1"/>
  <c r="L1578" i="1"/>
  <c r="O1577" i="1"/>
  <c r="M1577" i="1" s="1"/>
  <c r="N1577" i="1"/>
  <c r="L1577" i="1"/>
  <c r="O1576" i="1"/>
  <c r="M1576" i="1" s="1"/>
  <c r="N1576" i="1"/>
  <c r="L1576" i="1"/>
  <c r="O1575" i="1"/>
  <c r="M1575" i="1" s="1"/>
  <c r="N1575" i="1"/>
  <c r="L1575" i="1"/>
  <c r="O1574" i="1"/>
  <c r="M1574" i="1" s="1"/>
  <c r="N1574" i="1"/>
  <c r="L1574" i="1"/>
  <c r="O1573" i="1"/>
  <c r="M1573" i="1" s="1"/>
  <c r="N1573" i="1"/>
  <c r="L1573" i="1"/>
  <c r="O1572" i="1"/>
  <c r="M1572" i="1" s="1"/>
  <c r="N1572" i="1"/>
  <c r="L1572" i="1"/>
  <c r="O1571" i="1"/>
  <c r="M1571" i="1" s="1"/>
  <c r="N1571" i="1"/>
  <c r="L1571" i="1"/>
  <c r="O1570" i="1"/>
  <c r="M1570" i="1" s="1"/>
  <c r="N1570" i="1"/>
  <c r="L1570" i="1"/>
  <c r="O1569" i="1"/>
  <c r="M1569" i="1" s="1"/>
  <c r="N1569" i="1"/>
  <c r="L1569" i="1"/>
  <c r="O1568" i="1"/>
  <c r="M1568" i="1" s="1"/>
  <c r="N1568" i="1"/>
  <c r="L1568" i="1"/>
  <c r="O1567" i="1"/>
  <c r="M1567" i="1" s="1"/>
  <c r="N1567" i="1"/>
  <c r="L1567" i="1"/>
  <c r="O1566" i="1"/>
  <c r="N1566" i="1"/>
  <c r="M1566" i="1"/>
  <c r="L1566" i="1"/>
  <c r="O1565" i="1"/>
  <c r="M1565" i="1" s="1"/>
  <c r="N1565" i="1"/>
  <c r="L1565" i="1"/>
  <c r="O1564" i="1"/>
  <c r="M1564" i="1" s="1"/>
  <c r="N1564" i="1"/>
  <c r="L1564" i="1"/>
  <c r="O1563" i="1"/>
  <c r="M1563" i="1" s="1"/>
  <c r="N1563" i="1"/>
  <c r="L1563" i="1"/>
  <c r="O1562" i="1"/>
  <c r="M1562" i="1" s="1"/>
  <c r="N1562" i="1"/>
  <c r="L1562" i="1"/>
  <c r="O1561" i="1"/>
  <c r="M1561" i="1" s="1"/>
  <c r="N1561" i="1"/>
  <c r="L1561" i="1"/>
  <c r="O1560" i="1"/>
  <c r="M1560" i="1" s="1"/>
  <c r="N1560" i="1"/>
  <c r="L1560" i="1"/>
  <c r="O1559" i="1"/>
  <c r="M1559" i="1" s="1"/>
  <c r="N1559" i="1"/>
  <c r="L1559" i="1"/>
  <c r="O1558" i="1"/>
  <c r="M1558" i="1" s="1"/>
  <c r="N1558" i="1"/>
  <c r="L1558" i="1"/>
  <c r="O1557" i="1"/>
  <c r="M1557" i="1" s="1"/>
  <c r="N1557" i="1"/>
  <c r="L1557" i="1"/>
  <c r="O1556" i="1"/>
  <c r="M1556" i="1" s="1"/>
  <c r="N1556" i="1"/>
  <c r="L1556" i="1"/>
  <c r="O1555" i="1"/>
  <c r="M1555" i="1" s="1"/>
  <c r="N1555" i="1"/>
  <c r="L1555" i="1"/>
  <c r="O1554" i="1"/>
  <c r="N1554" i="1"/>
  <c r="M1554" i="1"/>
  <c r="L1554" i="1"/>
  <c r="O1553" i="1"/>
  <c r="M1553" i="1" s="1"/>
  <c r="N1553" i="1"/>
  <c r="L1553" i="1"/>
  <c r="O1552" i="1"/>
  <c r="M1552" i="1" s="1"/>
  <c r="N1552" i="1"/>
  <c r="L1552" i="1"/>
  <c r="O1551" i="1"/>
  <c r="M1551" i="1" s="1"/>
  <c r="N1551" i="1"/>
  <c r="L1551" i="1"/>
  <c r="O1550" i="1"/>
  <c r="M1550" i="1" s="1"/>
  <c r="N1550" i="1"/>
  <c r="L1550" i="1"/>
  <c r="O1549" i="1"/>
  <c r="M1549" i="1" s="1"/>
  <c r="N1549" i="1"/>
  <c r="L1549" i="1"/>
  <c r="O1548" i="1"/>
  <c r="M1548" i="1" s="1"/>
  <c r="N1548" i="1"/>
  <c r="L1548" i="1"/>
  <c r="O1547" i="1"/>
  <c r="M1547" i="1" s="1"/>
  <c r="N1547" i="1"/>
  <c r="L1547" i="1"/>
  <c r="O1546" i="1"/>
  <c r="M1546" i="1" s="1"/>
  <c r="N1546" i="1"/>
  <c r="L1546" i="1"/>
  <c r="O1545" i="1"/>
  <c r="M1545" i="1" s="1"/>
  <c r="N1545" i="1"/>
  <c r="L1545" i="1"/>
  <c r="O1544" i="1"/>
  <c r="M1544" i="1" s="1"/>
  <c r="N1544" i="1"/>
  <c r="L1544" i="1"/>
  <c r="O1543" i="1"/>
  <c r="M1543" i="1" s="1"/>
  <c r="N1543" i="1"/>
  <c r="L1543" i="1"/>
  <c r="O1542" i="1"/>
  <c r="M1542" i="1" s="1"/>
  <c r="N1542" i="1"/>
  <c r="L1542" i="1"/>
  <c r="O1541" i="1"/>
  <c r="M1541" i="1" s="1"/>
  <c r="N1541" i="1"/>
  <c r="L1541" i="1"/>
  <c r="O1540" i="1"/>
  <c r="M1540" i="1" s="1"/>
  <c r="N1540" i="1"/>
  <c r="L1540" i="1"/>
  <c r="O1539" i="1"/>
  <c r="M1539" i="1" s="1"/>
  <c r="N1539" i="1"/>
  <c r="L1539" i="1"/>
  <c r="O1538" i="1"/>
  <c r="N1538" i="1"/>
  <c r="M1538" i="1"/>
  <c r="L1538" i="1"/>
  <c r="O1537" i="1"/>
  <c r="M1537" i="1" s="1"/>
  <c r="N1537" i="1"/>
  <c r="L1537" i="1"/>
  <c r="O1536" i="1"/>
  <c r="N1536" i="1"/>
  <c r="M1536" i="1"/>
  <c r="L1536" i="1"/>
  <c r="O1535" i="1"/>
  <c r="M1535" i="1" s="1"/>
  <c r="N1535" i="1"/>
  <c r="L1535" i="1"/>
  <c r="O1534" i="1"/>
  <c r="M1534" i="1" s="1"/>
  <c r="N1534" i="1"/>
  <c r="L1534" i="1"/>
  <c r="O1533" i="1"/>
  <c r="M1533" i="1" s="1"/>
  <c r="N1533" i="1"/>
  <c r="L1533" i="1"/>
  <c r="O1532" i="1"/>
  <c r="M1532" i="1" s="1"/>
  <c r="N1532" i="1"/>
  <c r="L1532" i="1"/>
  <c r="O1531" i="1"/>
  <c r="M1531" i="1" s="1"/>
  <c r="N1531" i="1"/>
  <c r="L1531" i="1"/>
  <c r="O1530" i="1"/>
  <c r="M1530" i="1" s="1"/>
  <c r="N1530" i="1"/>
  <c r="L1530" i="1"/>
  <c r="O1529" i="1"/>
  <c r="M1529" i="1" s="1"/>
  <c r="N1529" i="1"/>
  <c r="L1529" i="1"/>
  <c r="O1528" i="1"/>
  <c r="M1528" i="1" s="1"/>
  <c r="N1528" i="1"/>
  <c r="L1528" i="1"/>
  <c r="O1527" i="1"/>
  <c r="M1527" i="1" s="1"/>
  <c r="N1527" i="1"/>
  <c r="L1527" i="1"/>
  <c r="O1526" i="1"/>
  <c r="M1526" i="1" s="1"/>
  <c r="N1526" i="1"/>
  <c r="L1526" i="1"/>
  <c r="O1525" i="1"/>
  <c r="M1525" i="1" s="1"/>
  <c r="N1525" i="1"/>
  <c r="L1525" i="1"/>
  <c r="O1524" i="1"/>
  <c r="M1524" i="1" s="1"/>
  <c r="N1524" i="1"/>
  <c r="L1524" i="1"/>
  <c r="O1523" i="1"/>
  <c r="M1523" i="1" s="1"/>
  <c r="N1523" i="1"/>
  <c r="L1523" i="1"/>
  <c r="O1522" i="1"/>
  <c r="M1522" i="1" s="1"/>
  <c r="N1522" i="1"/>
  <c r="L1522" i="1"/>
  <c r="O1521" i="1"/>
  <c r="M1521" i="1" s="1"/>
  <c r="N1521" i="1"/>
  <c r="L1521" i="1"/>
  <c r="O1520" i="1"/>
  <c r="N1520" i="1"/>
  <c r="M1520" i="1"/>
  <c r="L1520" i="1"/>
  <c r="O1519" i="1"/>
  <c r="M1519" i="1" s="1"/>
  <c r="N1519" i="1"/>
  <c r="L1519" i="1"/>
  <c r="O1518" i="1"/>
  <c r="M1518" i="1" s="1"/>
  <c r="N1518" i="1"/>
  <c r="L1518" i="1"/>
  <c r="O1517" i="1"/>
  <c r="M1517" i="1" s="1"/>
  <c r="N1517" i="1"/>
  <c r="L1517" i="1"/>
  <c r="O1516" i="1"/>
  <c r="M1516" i="1" s="1"/>
  <c r="N1516" i="1"/>
  <c r="L1516" i="1"/>
  <c r="O1515" i="1"/>
  <c r="M1515" i="1" s="1"/>
  <c r="N1515" i="1"/>
  <c r="L1515" i="1"/>
  <c r="O1514" i="1"/>
  <c r="M1514" i="1" s="1"/>
  <c r="N1514" i="1"/>
  <c r="L1514" i="1"/>
  <c r="O1513" i="1"/>
  <c r="M1513" i="1" s="1"/>
  <c r="N1513" i="1"/>
  <c r="L1513" i="1"/>
  <c r="O1512" i="1"/>
  <c r="M1512" i="1" s="1"/>
  <c r="N1512" i="1"/>
  <c r="L1512" i="1"/>
  <c r="O1511" i="1"/>
  <c r="M1511" i="1" s="1"/>
  <c r="N1511" i="1"/>
  <c r="L1511" i="1"/>
  <c r="O1510" i="1"/>
  <c r="M1510" i="1" s="1"/>
  <c r="N1510" i="1"/>
  <c r="L1510" i="1"/>
  <c r="O1509" i="1"/>
  <c r="M1509" i="1" s="1"/>
  <c r="N1509" i="1"/>
  <c r="L1509" i="1"/>
  <c r="O1508" i="1"/>
  <c r="M1508" i="1" s="1"/>
  <c r="N1508" i="1"/>
  <c r="L1508" i="1"/>
  <c r="O1507" i="1"/>
  <c r="M1507" i="1" s="1"/>
  <c r="N1507" i="1"/>
  <c r="L1507" i="1"/>
  <c r="O1506" i="1"/>
  <c r="M1506" i="1" s="1"/>
  <c r="N1506" i="1"/>
  <c r="L1506" i="1"/>
  <c r="O1505" i="1"/>
  <c r="M1505" i="1" s="1"/>
  <c r="N1505" i="1"/>
  <c r="L1505" i="1"/>
  <c r="O1504" i="1"/>
  <c r="N1504" i="1"/>
  <c r="M1504" i="1"/>
  <c r="L1504" i="1"/>
  <c r="O1503" i="1"/>
  <c r="M1503" i="1" s="1"/>
  <c r="N1503" i="1"/>
  <c r="L1503" i="1"/>
  <c r="O1502" i="1"/>
  <c r="M1502" i="1" s="1"/>
  <c r="N1502" i="1"/>
  <c r="L1502" i="1"/>
  <c r="O1501" i="1"/>
  <c r="M1501" i="1" s="1"/>
  <c r="N1501" i="1"/>
  <c r="L1501" i="1"/>
  <c r="O1500" i="1"/>
  <c r="M1500" i="1" s="1"/>
  <c r="N1500" i="1"/>
  <c r="L1500" i="1"/>
  <c r="O1499" i="1"/>
  <c r="M1499" i="1" s="1"/>
  <c r="N1499" i="1"/>
  <c r="L1499" i="1"/>
  <c r="O1498" i="1"/>
  <c r="M1498" i="1" s="1"/>
  <c r="N1498" i="1"/>
  <c r="L1498" i="1"/>
  <c r="O1497" i="1"/>
  <c r="M1497" i="1" s="1"/>
  <c r="N1497" i="1"/>
  <c r="L1497" i="1"/>
  <c r="O1496" i="1"/>
  <c r="M1496" i="1" s="1"/>
  <c r="N1496" i="1"/>
  <c r="L1496" i="1"/>
  <c r="O1495" i="1"/>
  <c r="M1495" i="1" s="1"/>
  <c r="N1495" i="1"/>
  <c r="L1495" i="1"/>
  <c r="O1494" i="1"/>
  <c r="M1494" i="1" s="1"/>
  <c r="N1494" i="1"/>
  <c r="L1494" i="1"/>
  <c r="O1493" i="1"/>
  <c r="M1493" i="1" s="1"/>
  <c r="N1493" i="1"/>
  <c r="L1493" i="1"/>
  <c r="O1492" i="1"/>
  <c r="M1492" i="1" s="1"/>
  <c r="N1492" i="1"/>
  <c r="L1492" i="1"/>
  <c r="O1491" i="1"/>
  <c r="M1491" i="1" s="1"/>
  <c r="N1491" i="1"/>
  <c r="L1491" i="1"/>
  <c r="O1490" i="1"/>
  <c r="N1490" i="1"/>
  <c r="M1490" i="1"/>
  <c r="L1490" i="1"/>
  <c r="O1489" i="1"/>
  <c r="M1489" i="1" s="1"/>
  <c r="N1489" i="1"/>
  <c r="L1489" i="1"/>
  <c r="O1488" i="1"/>
  <c r="M1488" i="1" s="1"/>
  <c r="N1488" i="1"/>
  <c r="L1488" i="1"/>
  <c r="O1487" i="1"/>
  <c r="M1487" i="1" s="1"/>
  <c r="N1487" i="1"/>
  <c r="L1487" i="1"/>
  <c r="O1486" i="1"/>
  <c r="M1486" i="1" s="1"/>
  <c r="N1486" i="1"/>
  <c r="L1486" i="1"/>
  <c r="O1485" i="1"/>
  <c r="M1485" i="1" s="1"/>
  <c r="N1485" i="1"/>
  <c r="L1485" i="1"/>
  <c r="O1484" i="1"/>
  <c r="M1484" i="1" s="1"/>
  <c r="N1484" i="1"/>
  <c r="L1484" i="1"/>
  <c r="O1483" i="1"/>
  <c r="M1483" i="1" s="1"/>
  <c r="N1483" i="1"/>
  <c r="L1483" i="1"/>
  <c r="O1482" i="1"/>
  <c r="M1482" i="1" s="1"/>
  <c r="N1482" i="1"/>
  <c r="L1482" i="1"/>
  <c r="O1481" i="1"/>
  <c r="M1481" i="1" s="1"/>
  <c r="N1481" i="1"/>
  <c r="L1481" i="1"/>
  <c r="O1480" i="1"/>
  <c r="M1480" i="1" s="1"/>
  <c r="N1480" i="1"/>
  <c r="L1480" i="1"/>
  <c r="O1479" i="1"/>
  <c r="M1479" i="1" s="1"/>
  <c r="N1479" i="1"/>
  <c r="L1479" i="1"/>
  <c r="O1478" i="1"/>
  <c r="M1478" i="1" s="1"/>
  <c r="N1478" i="1"/>
  <c r="L1478" i="1"/>
  <c r="O1477" i="1"/>
  <c r="M1477" i="1" s="1"/>
  <c r="N1477" i="1"/>
  <c r="L1477" i="1"/>
  <c r="O1476" i="1"/>
  <c r="M1476" i="1" s="1"/>
  <c r="N1476" i="1"/>
  <c r="L1476" i="1"/>
  <c r="O1475" i="1"/>
  <c r="M1475" i="1" s="1"/>
  <c r="N1475" i="1"/>
  <c r="L1475" i="1"/>
  <c r="O1474" i="1"/>
  <c r="N1474" i="1"/>
  <c r="M1474" i="1"/>
  <c r="L1474" i="1"/>
  <c r="O1473" i="1"/>
  <c r="M1473" i="1" s="1"/>
  <c r="N1473" i="1"/>
  <c r="L1473" i="1"/>
  <c r="O1472" i="1"/>
  <c r="N1472" i="1"/>
  <c r="M1472" i="1"/>
  <c r="L1472" i="1"/>
  <c r="O1471" i="1"/>
  <c r="M1471" i="1" s="1"/>
  <c r="N1471" i="1"/>
  <c r="L1471" i="1"/>
  <c r="O1470" i="1"/>
  <c r="M1470" i="1" s="1"/>
  <c r="N1470" i="1"/>
  <c r="L1470" i="1"/>
  <c r="O1469" i="1"/>
  <c r="M1469" i="1" s="1"/>
  <c r="N1469" i="1"/>
  <c r="L1469" i="1"/>
  <c r="O1468" i="1"/>
  <c r="M1468" i="1" s="1"/>
  <c r="N1468" i="1"/>
  <c r="L1468" i="1"/>
  <c r="O1467" i="1"/>
  <c r="M1467" i="1" s="1"/>
  <c r="N1467" i="1"/>
  <c r="L1467" i="1"/>
  <c r="O1466" i="1"/>
  <c r="M1466" i="1" s="1"/>
  <c r="N1466" i="1"/>
  <c r="L1466" i="1"/>
  <c r="O1465" i="1"/>
  <c r="N1465" i="1"/>
  <c r="M1465" i="1"/>
  <c r="L1465" i="1"/>
  <c r="O1464" i="1"/>
  <c r="M1464" i="1" s="1"/>
  <c r="N1464" i="1"/>
  <c r="L1464" i="1"/>
  <c r="O1463" i="1"/>
  <c r="M1463" i="1" s="1"/>
  <c r="N1463" i="1"/>
  <c r="L1463" i="1"/>
  <c r="O1462" i="1"/>
  <c r="M1462" i="1" s="1"/>
  <c r="N1462" i="1"/>
  <c r="L1462" i="1"/>
  <c r="O1461" i="1"/>
  <c r="M1461" i="1" s="1"/>
  <c r="N1461" i="1"/>
  <c r="L1461" i="1"/>
  <c r="O1460" i="1"/>
  <c r="M1460" i="1" s="1"/>
  <c r="N1460" i="1"/>
  <c r="L1460" i="1"/>
  <c r="O1459" i="1"/>
  <c r="M1459" i="1" s="1"/>
  <c r="N1459" i="1"/>
  <c r="L1459" i="1"/>
  <c r="O1458" i="1"/>
  <c r="M1458" i="1" s="1"/>
  <c r="N1458" i="1"/>
  <c r="L1458" i="1"/>
  <c r="O1457" i="1"/>
  <c r="N1457" i="1"/>
  <c r="M1457" i="1"/>
  <c r="L1457" i="1"/>
  <c r="O1456" i="1"/>
  <c r="M1456" i="1" s="1"/>
  <c r="N1456" i="1"/>
  <c r="L1456" i="1"/>
  <c r="O1455" i="1"/>
  <c r="M1455" i="1" s="1"/>
  <c r="N1455" i="1"/>
  <c r="L1455" i="1"/>
  <c r="O1454" i="1"/>
  <c r="M1454" i="1" s="1"/>
  <c r="N1454" i="1"/>
  <c r="L1454" i="1"/>
  <c r="O1453" i="1"/>
  <c r="M1453" i="1" s="1"/>
  <c r="N1453" i="1"/>
  <c r="L1453" i="1"/>
  <c r="O1452" i="1"/>
  <c r="M1452" i="1" s="1"/>
  <c r="N1452" i="1"/>
  <c r="L1452" i="1"/>
  <c r="O1451" i="1"/>
  <c r="M1451" i="1" s="1"/>
  <c r="N1451" i="1"/>
  <c r="L1451" i="1"/>
  <c r="O1450" i="1"/>
  <c r="M1450" i="1" s="1"/>
  <c r="N1450" i="1"/>
  <c r="L1450" i="1"/>
  <c r="O1449" i="1"/>
  <c r="M1449" i="1" s="1"/>
  <c r="N1449" i="1"/>
  <c r="L1449" i="1"/>
  <c r="O1448" i="1"/>
  <c r="M1448" i="1" s="1"/>
  <c r="N1448" i="1"/>
  <c r="L1448" i="1"/>
  <c r="O1447" i="1"/>
  <c r="N1447" i="1"/>
  <c r="M1447" i="1"/>
  <c r="L1447" i="1"/>
  <c r="O1446" i="1"/>
  <c r="M1446" i="1" s="1"/>
  <c r="N1446" i="1"/>
  <c r="L1446" i="1"/>
  <c r="O1445" i="1"/>
  <c r="M1445" i="1" s="1"/>
  <c r="N1445" i="1"/>
  <c r="L1445" i="1"/>
  <c r="O1444" i="1"/>
  <c r="M1444" i="1" s="1"/>
  <c r="N1444" i="1"/>
  <c r="L1444" i="1"/>
  <c r="O1443" i="1"/>
  <c r="N1443" i="1"/>
  <c r="M1443" i="1"/>
  <c r="L1443" i="1"/>
  <c r="O1442" i="1"/>
  <c r="M1442" i="1" s="1"/>
  <c r="N1442" i="1"/>
  <c r="L1442" i="1"/>
  <c r="O1441" i="1"/>
  <c r="M1441" i="1" s="1"/>
  <c r="N1441" i="1"/>
  <c r="L1441" i="1"/>
  <c r="O1440" i="1"/>
  <c r="M1440" i="1" s="1"/>
  <c r="N1440" i="1"/>
  <c r="L1440" i="1"/>
  <c r="O1439" i="1"/>
  <c r="M1439" i="1" s="1"/>
  <c r="N1439" i="1"/>
  <c r="L1439" i="1"/>
  <c r="O1438" i="1"/>
  <c r="M1438" i="1" s="1"/>
  <c r="N1438" i="1"/>
  <c r="L1438" i="1"/>
  <c r="O1437" i="1"/>
  <c r="M1437" i="1" s="1"/>
  <c r="N1437" i="1"/>
  <c r="L1437" i="1"/>
  <c r="O1436" i="1"/>
  <c r="M1436" i="1" s="1"/>
  <c r="N1436" i="1"/>
  <c r="L1436" i="1"/>
  <c r="O1435" i="1"/>
  <c r="M1435" i="1" s="1"/>
  <c r="N1435" i="1"/>
  <c r="L1435" i="1"/>
  <c r="O1434" i="1"/>
  <c r="M1434" i="1" s="1"/>
  <c r="N1434" i="1"/>
  <c r="L1434" i="1"/>
  <c r="O1433" i="1"/>
  <c r="N1433" i="1"/>
  <c r="M1433" i="1"/>
  <c r="L1433" i="1"/>
  <c r="O1432" i="1"/>
  <c r="M1432" i="1" s="1"/>
  <c r="N1432" i="1"/>
  <c r="L1432" i="1"/>
  <c r="O1431" i="1"/>
  <c r="M1431" i="1" s="1"/>
  <c r="N1431" i="1"/>
  <c r="L1431" i="1"/>
  <c r="O1430" i="1"/>
  <c r="M1430" i="1" s="1"/>
  <c r="N1430" i="1"/>
  <c r="L1430" i="1"/>
  <c r="O1429" i="1"/>
  <c r="M1429" i="1" s="1"/>
  <c r="N1429" i="1"/>
  <c r="L1429" i="1"/>
  <c r="O1428" i="1"/>
  <c r="M1428" i="1" s="1"/>
  <c r="N1428" i="1"/>
  <c r="L1428" i="1"/>
  <c r="O1427" i="1"/>
  <c r="M1427" i="1" s="1"/>
  <c r="N1427" i="1"/>
  <c r="L1427" i="1"/>
  <c r="O1426" i="1"/>
  <c r="M1426" i="1" s="1"/>
  <c r="N1426" i="1"/>
  <c r="L1426" i="1"/>
  <c r="O1425" i="1"/>
  <c r="N1425" i="1"/>
  <c r="M1425" i="1"/>
  <c r="L1425" i="1"/>
  <c r="O1424" i="1"/>
  <c r="M1424" i="1" s="1"/>
  <c r="N1424" i="1"/>
  <c r="L1424" i="1"/>
  <c r="O1423" i="1"/>
  <c r="M1423" i="1" s="1"/>
  <c r="N1423" i="1"/>
  <c r="L1423" i="1"/>
  <c r="O1422" i="1"/>
  <c r="M1422" i="1" s="1"/>
  <c r="N1422" i="1"/>
  <c r="L1422" i="1"/>
  <c r="O1421" i="1"/>
  <c r="M1421" i="1" s="1"/>
  <c r="N1421" i="1"/>
  <c r="L1421" i="1"/>
  <c r="O1420" i="1"/>
  <c r="M1420" i="1" s="1"/>
  <c r="N1420" i="1"/>
  <c r="L1420" i="1"/>
  <c r="O1419" i="1"/>
  <c r="M1419" i="1" s="1"/>
  <c r="N1419" i="1"/>
  <c r="L1419" i="1"/>
  <c r="O1418" i="1"/>
  <c r="M1418" i="1" s="1"/>
  <c r="N1418" i="1"/>
  <c r="L1418" i="1"/>
  <c r="O1417" i="1"/>
  <c r="M1417" i="1" s="1"/>
  <c r="N1417" i="1"/>
  <c r="L1417" i="1"/>
  <c r="O1416" i="1"/>
  <c r="M1416" i="1" s="1"/>
  <c r="N1416" i="1"/>
  <c r="L1416" i="1"/>
  <c r="O1415" i="1"/>
  <c r="N1415" i="1"/>
  <c r="M1415" i="1"/>
  <c r="L1415" i="1"/>
  <c r="O1414" i="1"/>
  <c r="M1414" i="1" s="1"/>
  <c r="N1414" i="1"/>
  <c r="L1414" i="1"/>
  <c r="O1413" i="1"/>
  <c r="M1413" i="1" s="1"/>
  <c r="N1413" i="1"/>
  <c r="L1413" i="1"/>
  <c r="O1412" i="1"/>
  <c r="M1412" i="1" s="1"/>
  <c r="N1412" i="1"/>
  <c r="L1412" i="1"/>
  <c r="O1411" i="1"/>
  <c r="N1411" i="1"/>
  <c r="M1411" i="1"/>
  <c r="L1411" i="1"/>
  <c r="O1410" i="1"/>
  <c r="M1410" i="1" s="1"/>
  <c r="N1410" i="1"/>
  <c r="L1410" i="1"/>
  <c r="O1409" i="1"/>
  <c r="M1409" i="1" s="1"/>
  <c r="N1409" i="1"/>
  <c r="L1409" i="1"/>
  <c r="O1408" i="1"/>
  <c r="M1408" i="1" s="1"/>
  <c r="N1408" i="1"/>
  <c r="L1408" i="1"/>
  <c r="O1407" i="1"/>
  <c r="M1407" i="1" s="1"/>
  <c r="N1407" i="1"/>
  <c r="L1407" i="1"/>
  <c r="O1406" i="1"/>
  <c r="M1406" i="1" s="1"/>
  <c r="N1406" i="1"/>
  <c r="L1406" i="1"/>
  <c r="O1405" i="1"/>
  <c r="M1405" i="1" s="1"/>
  <c r="N1405" i="1"/>
  <c r="L1405" i="1"/>
  <c r="O1404" i="1"/>
  <c r="M1404" i="1" s="1"/>
  <c r="N1404" i="1"/>
  <c r="L1404" i="1"/>
  <c r="O1403" i="1"/>
  <c r="M1403" i="1" s="1"/>
  <c r="N1403" i="1"/>
  <c r="L1403" i="1"/>
  <c r="O1402" i="1"/>
  <c r="M1402" i="1" s="1"/>
  <c r="N1402" i="1"/>
  <c r="L1402" i="1"/>
  <c r="O1401" i="1"/>
  <c r="N1401" i="1"/>
  <c r="M1401" i="1"/>
  <c r="L1401" i="1"/>
  <c r="O1400" i="1"/>
  <c r="M1400" i="1" s="1"/>
  <c r="N1400" i="1"/>
  <c r="L1400" i="1"/>
  <c r="O1399" i="1"/>
  <c r="M1399" i="1" s="1"/>
  <c r="N1399" i="1"/>
  <c r="L1399" i="1"/>
  <c r="O1398" i="1"/>
  <c r="M1398" i="1" s="1"/>
  <c r="N1398" i="1"/>
  <c r="L1398" i="1"/>
  <c r="O1397" i="1"/>
  <c r="M1397" i="1" s="1"/>
  <c r="N1397" i="1"/>
  <c r="L1397" i="1"/>
  <c r="O1396" i="1"/>
  <c r="M1396" i="1" s="1"/>
  <c r="N1396" i="1"/>
  <c r="L1396" i="1"/>
  <c r="O1395" i="1"/>
  <c r="M1395" i="1" s="1"/>
  <c r="N1395" i="1"/>
  <c r="L1395" i="1"/>
  <c r="O1394" i="1"/>
  <c r="M1394" i="1" s="1"/>
  <c r="N1394" i="1"/>
  <c r="L1394" i="1"/>
  <c r="O1393" i="1"/>
  <c r="N1393" i="1"/>
  <c r="M1393" i="1"/>
  <c r="L1393" i="1"/>
  <c r="O1392" i="1"/>
  <c r="M1392" i="1" s="1"/>
  <c r="N1392" i="1"/>
  <c r="L1392" i="1"/>
  <c r="O1391" i="1"/>
  <c r="M1391" i="1" s="1"/>
  <c r="N1391" i="1"/>
  <c r="L1391" i="1"/>
  <c r="O1390" i="1"/>
  <c r="M1390" i="1" s="1"/>
  <c r="N1390" i="1"/>
  <c r="L1390" i="1"/>
  <c r="O1389" i="1"/>
  <c r="M1389" i="1" s="1"/>
  <c r="N1389" i="1"/>
  <c r="L1389" i="1"/>
  <c r="O1388" i="1"/>
  <c r="M1388" i="1" s="1"/>
  <c r="N1388" i="1"/>
  <c r="L1388" i="1"/>
  <c r="O1387" i="1"/>
  <c r="M1387" i="1" s="1"/>
  <c r="N1387" i="1"/>
  <c r="L1387" i="1"/>
  <c r="O1386" i="1"/>
  <c r="M1386" i="1" s="1"/>
  <c r="N1386" i="1"/>
  <c r="L1386" i="1"/>
  <c r="O1385" i="1"/>
  <c r="M1385" i="1" s="1"/>
  <c r="N1385" i="1"/>
  <c r="L1385" i="1"/>
  <c r="O1384" i="1"/>
  <c r="M1384" i="1" s="1"/>
  <c r="N1384" i="1"/>
  <c r="L1384" i="1"/>
  <c r="O1383" i="1"/>
  <c r="N1383" i="1"/>
  <c r="M1383" i="1"/>
  <c r="L1383" i="1"/>
  <c r="O1382" i="1"/>
  <c r="M1382" i="1" s="1"/>
  <c r="N1382" i="1"/>
  <c r="L1382" i="1"/>
  <c r="O1381" i="1"/>
  <c r="M1381" i="1" s="1"/>
  <c r="N1381" i="1"/>
  <c r="L1381" i="1"/>
  <c r="O1380" i="1"/>
  <c r="M1380" i="1" s="1"/>
  <c r="N1380" i="1"/>
  <c r="L1380" i="1"/>
  <c r="O1379" i="1"/>
  <c r="N1379" i="1"/>
  <c r="M1379" i="1"/>
  <c r="L1379" i="1"/>
  <c r="O1378" i="1"/>
  <c r="M1378" i="1" s="1"/>
  <c r="N1378" i="1"/>
  <c r="L1378" i="1"/>
  <c r="O1377" i="1"/>
  <c r="M1377" i="1" s="1"/>
  <c r="N1377" i="1"/>
  <c r="L1377" i="1"/>
  <c r="O1376" i="1"/>
  <c r="M1376" i="1" s="1"/>
  <c r="N1376" i="1"/>
  <c r="L1376" i="1"/>
  <c r="O1375" i="1"/>
  <c r="M1375" i="1" s="1"/>
  <c r="N1375" i="1"/>
  <c r="L1375" i="1"/>
  <c r="O1374" i="1"/>
  <c r="M1374" i="1" s="1"/>
  <c r="N1374" i="1"/>
  <c r="L1374" i="1"/>
  <c r="O1373" i="1"/>
  <c r="M1373" i="1" s="1"/>
  <c r="N1373" i="1"/>
  <c r="L1373" i="1"/>
  <c r="O1372" i="1"/>
  <c r="M1372" i="1" s="1"/>
  <c r="N1372" i="1"/>
  <c r="L1372" i="1"/>
  <c r="O1371" i="1"/>
  <c r="M1371" i="1" s="1"/>
  <c r="N1371" i="1"/>
  <c r="L1371" i="1"/>
  <c r="O1370" i="1"/>
  <c r="M1370" i="1" s="1"/>
  <c r="N1370" i="1"/>
  <c r="L1370" i="1"/>
  <c r="O1369" i="1"/>
  <c r="N1369" i="1"/>
  <c r="M1369" i="1"/>
  <c r="L1369" i="1"/>
  <c r="O1368" i="1"/>
  <c r="M1368" i="1" s="1"/>
  <c r="N1368" i="1"/>
  <c r="L1368" i="1"/>
  <c r="O1367" i="1"/>
  <c r="M1367" i="1" s="1"/>
  <c r="N1367" i="1"/>
  <c r="L1367" i="1"/>
  <c r="O1366" i="1"/>
  <c r="M1366" i="1" s="1"/>
  <c r="N1366" i="1"/>
  <c r="L1366" i="1"/>
  <c r="O1365" i="1"/>
  <c r="M1365" i="1" s="1"/>
  <c r="N1365" i="1"/>
  <c r="L1365" i="1"/>
  <c r="O1364" i="1"/>
  <c r="M1364" i="1" s="1"/>
  <c r="N1364" i="1"/>
  <c r="L1364" i="1"/>
  <c r="O1363" i="1"/>
  <c r="M1363" i="1" s="1"/>
  <c r="N1363" i="1"/>
  <c r="L1363" i="1"/>
  <c r="O1362" i="1"/>
  <c r="M1362" i="1" s="1"/>
  <c r="N1362" i="1"/>
  <c r="L1362" i="1"/>
  <c r="O1361" i="1"/>
  <c r="N1361" i="1"/>
  <c r="M1361" i="1"/>
  <c r="L1361" i="1"/>
  <c r="O1360" i="1"/>
  <c r="M1360" i="1" s="1"/>
  <c r="N1360" i="1"/>
  <c r="L1360" i="1"/>
  <c r="O1359" i="1"/>
  <c r="M1359" i="1" s="1"/>
  <c r="N1359" i="1"/>
  <c r="L1359" i="1"/>
  <c r="O1358" i="1"/>
  <c r="M1358" i="1" s="1"/>
  <c r="N1358" i="1"/>
  <c r="L1358" i="1"/>
  <c r="O1357" i="1"/>
  <c r="M1357" i="1" s="1"/>
  <c r="N1357" i="1"/>
  <c r="L1357" i="1"/>
  <c r="O1356" i="1"/>
  <c r="M1356" i="1" s="1"/>
  <c r="N1356" i="1"/>
  <c r="L1356" i="1"/>
  <c r="O1355" i="1"/>
  <c r="M1355" i="1" s="1"/>
  <c r="N1355" i="1"/>
  <c r="L1355" i="1"/>
  <c r="O1354" i="1"/>
  <c r="M1354" i="1" s="1"/>
  <c r="N1354" i="1"/>
  <c r="L1354" i="1"/>
  <c r="O1353" i="1"/>
  <c r="M1353" i="1" s="1"/>
  <c r="N1353" i="1"/>
  <c r="L1353" i="1"/>
  <c r="O1352" i="1"/>
  <c r="M1352" i="1" s="1"/>
  <c r="N1352" i="1"/>
  <c r="L1352" i="1"/>
  <c r="O1351" i="1"/>
  <c r="N1351" i="1"/>
  <c r="M1351" i="1"/>
  <c r="L1351" i="1"/>
  <c r="O1350" i="1"/>
  <c r="M1350" i="1" s="1"/>
  <c r="N1350" i="1"/>
  <c r="L1350" i="1"/>
  <c r="O1349" i="1"/>
  <c r="M1349" i="1" s="1"/>
  <c r="N1349" i="1"/>
  <c r="L1349" i="1"/>
  <c r="O1348" i="1"/>
  <c r="M1348" i="1" s="1"/>
  <c r="N1348" i="1"/>
  <c r="L1348" i="1"/>
  <c r="O1347" i="1"/>
  <c r="M1347" i="1" s="1"/>
  <c r="N1347" i="1"/>
  <c r="L1347" i="1"/>
  <c r="O1346" i="1"/>
  <c r="M1346" i="1" s="1"/>
  <c r="N1346" i="1"/>
  <c r="L1346" i="1"/>
  <c r="O1345" i="1"/>
  <c r="M1345" i="1" s="1"/>
  <c r="N1345" i="1"/>
  <c r="L1345" i="1"/>
  <c r="O1344" i="1"/>
  <c r="M1344" i="1" s="1"/>
  <c r="N1344" i="1"/>
  <c r="L1344" i="1"/>
  <c r="O1343" i="1"/>
  <c r="M1343" i="1" s="1"/>
  <c r="N1343" i="1"/>
  <c r="L1343" i="1"/>
  <c r="O1342" i="1"/>
  <c r="M1342" i="1" s="1"/>
  <c r="N1342" i="1"/>
  <c r="L1342" i="1"/>
  <c r="O1341" i="1"/>
  <c r="M1341" i="1" s="1"/>
  <c r="N1341" i="1"/>
  <c r="L1341" i="1"/>
  <c r="O1340" i="1"/>
  <c r="M1340" i="1" s="1"/>
  <c r="N1340" i="1"/>
  <c r="L1340" i="1"/>
  <c r="O1339" i="1"/>
  <c r="M1339" i="1" s="1"/>
  <c r="N1339" i="1"/>
  <c r="L1339" i="1"/>
  <c r="O1338" i="1"/>
  <c r="M1338" i="1" s="1"/>
  <c r="N1338" i="1"/>
  <c r="L1338" i="1"/>
  <c r="O1337" i="1"/>
  <c r="N1337" i="1"/>
  <c r="M1337" i="1"/>
  <c r="L1337" i="1"/>
  <c r="O1336" i="1"/>
  <c r="M1336" i="1" s="1"/>
  <c r="N1336" i="1"/>
  <c r="L1336" i="1"/>
  <c r="O1335" i="1"/>
  <c r="M1335" i="1" s="1"/>
  <c r="N1335" i="1"/>
  <c r="L1335" i="1"/>
  <c r="O1334" i="1"/>
  <c r="M1334" i="1" s="1"/>
  <c r="N1334" i="1"/>
  <c r="L1334" i="1"/>
  <c r="O1333" i="1"/>
  <c r="M1333" i="1" s="1"/>
  <c r="N1333" i="1"/>
  <c r="L1333" i="1"/>
  <c r="O1332" i="1"/>
  <c r="M1332" i="1" s="1"/>
  <c r="N1332" i="1"/>
  <c r="L1332" i="1"/>
  <c r="O1331" i="1"/>
  <c r="M1331" i="1" s="1"/>
  <c r="N1331" i="1"/>
  <c r="L1331" i="1"/>
  <c r="O1330" i="1"/>
  <c r="M1330" i="1" s="1"/>
  <c r="N1330" i="1"/>
  <c r="L1330" i="1"/>
  <c r="O1329" i="1"/>
  <c r="N1329" i="1"/>
  <c r="M1329" i="1"/>
  <c r="L1329" i="1"/>
  <c r="O1328" i="1"/>
  <c r="M1328" i="1" s="1"/>
  <c r="N1328" i="1"/>
  <c r="L1328" i="1"/>
  <c r="O1327" i="1"/>
  <c r="M1327" i="1" s="1"/>
  <c r="N1327" i="1"/>
  <c r="L1327" i="1"/>
  <c r="O1326" i="1"/>
  <c r="M1326" i="1" s="1"/>
  <c r="N1326" i="1"/>
  <c r="L1326" i="1"/>
  <c r="O1325" i="1"/>
  <c r="M1325" i="1" s="1"/>
  <c r="N1325" i="1"/>
  <c r="L1325" i="1"/>
  <c r="O1324" i="1"/>
  <c r="M1324" i="1" s="1"/>
  <c r="N1324" i="1"/>
  <c r="L1324" i="1"/>
  <c r="O1323" i="1"/>
  <c r="M1323" i="1" s="1"/>
  <c r="N1323" i="1"/>
  <c r="L1323" i="1"/>
  <c r="O1322" i="1"/>
  <c r="M1322" i="1" s="1"/>
  <c r="N1322" i="1"/>
  <c r="L1322" i="1"/>
  <c r="O1321" i="1"/>
  <c r="M1321" i="1" s="1"/>
  <c r="N1321" i="1"/>
  <c r="L1321" i="1"/>
  <c r="O1320" i="1"/>
  <c r="M1320" i="1" s="1"/>
  <c r="N1320" i="1"/>
  <c r="L1320" i="1"/>
  <c r="O1319" i="1"/>
  <c r="N1319" i="1"/>
  <c r="M1319" i="1"/>
  <c r="L1319" i="1"/>
  <c r="O1318" i="1"/>
  <c r="M1318" i="1" s="1"/>
  <c r="N1318" i="1"/>
  <c r="L1318" i="1"/>
  <c r="O1317" i="1"/>
  <c r="M1317" i="1" s="1"/>
  <c r="N1317" i="1"/>
  <c r="L1317" i="1"/>
  <c r="O1316" i="1"/>
  <c r="M1316" i="1" s="1"/>
  <c r="N1316" i="1"/>
  <c r="L1316" i="1"/>
  <c r="O1315" i="1"/>
  <c r="N1315" i="1"/>
  <c r="M1315" i="1"/>
  <c r="L1315" i="1"/>
  <c r="O1314" i="1"/>
  <c r="M1314" i="1" s="1"/>
  <c r="N1314" i="1"/>
  <c r="L1314" i="1"/>
  <c r="O1313" i="1"/>
  <c r="M1313" i="1" s="1"/>
  <c r="N1313" i="1"/>
  <c r="L1313" i="1"/>
  <c r="O1312" i="1"/>
  <c r="M1312" i="1" s="1"/>
  <c r="N1312" i="1"/>
  <c r="L1312" i="1"/>
  <c r="O1311" i="1"/>
  <c r="M1311" i="1" s="1"/>
  <c r="N1311" i="1"/>
  <c r="L1311" i="1"/>
  <c r="O1310" i="1"/>
  <c r="M1310" i="1" s="1"/>
  <c r="N1310" i="1"/>
  <c r="L1310" i="1"/>
  <c r="O1309" i="1"/>
  <c r="M1309" i="1" s="1"/>
  <c r="N1309" i="1"/>
  <c r="L1309" i="1"/>
  <c r="O1308" i="1"/>
  <c r="M1308" i="1" s="1"/>
  <c r="N1308" i="1"/>
  <c r="L1308" i="1"/>
  <c r="O1307" i="1"/>
  <c r="M1307" i="1" s="1"/>
  <c r="N1307" i="1"/>
  <c r="L1307" i="1"/>
  <c r="O1306" i="1"/>
  <c r="M1306" i="1" s="1"/>
  <c r="N1306" i="1"/>
  <c r="L1306" i="1"/>
  <c r="O1305" i="1"/>
  <c r="N1305" i="1"/>
  <c r="M1305" i="1"/>
  <c r="L1305" i="1"/>
  <c r="O1304" i="1"/>
  <c r="M1304" i="1" s="1"/>
  <c r="N1304" i="1"/>
  <c r="L1304" i="1"/>
  <c r="O1303" i="1"/>
  <c r="M1303" i="1" s="1"/>
  <c r="N1303" i="1"/>
  <c r="L1303" i="1"/>
  <c r="O1302" i="1"/>
  <c r="M1302" i="1" s="1"/>
  <c r="N1302" i="1"/>
  <c r="L1302" i="1"/>
  <c r="O1301" i="1"/>
  <c r="M1301" i="1" s="1"/>
  <c r="N1301" i="1"/>
  <c r="L1301" i="1"/>
  <c r="O1300" i="1"/>
  <c r="M1300" i="1" s="1"/>
  <c r="N1300" i="1"/>
  <c r="L1300" i="1"/>
  <c r="O1299" i="1"/>
  <c r="M1299" i="1" s="1"/>
  <c r="N1299" i="1"/>
  <c r="L1299" i="1"/>
  <c r="O1298" i="1"/>
  <c r="M1298" i="1" s="1"/>
  <c r="N1298" i="1"/>
  <c r="L1298" i="1"/>
  <c r="O1297" i="1"/>
  <c r="N1297" i="1"/>
  <c r="M1297" i="1"/>
  <c r="L1297" i="1"/>
  <c r="O1296" i="1"/>
  <c r="M1296" i="1" s="1"/>
  <c r="N1296" i="1"/>
  <c r="L1296" i="1"/>
  <c r="O1295" i="1"/>
  <c r="M1295" i="1" s="1"/>
  <c r="N1295" i="1"/>
  <c r="L1295" i="1"/>
  <c r="O1294" i="1"/>
  <c r="M1294" i="1" s="1"/>
  <c r="N1294" i="1"/>
  <c r="L1294" i="1"/>
  <c r="O1293" i="1"/>
  <c r="M1293" i="1" s="1"/>
  <c r="N1293" i="1"/>
  <c r="L1293" i="1"/>
  <c r="O1292" i="1"/>
  <c r="M1292" i="1" s="1"/>
  <c r="N1292" i="1"/>
  <c r="L1292" i="1"/>
  <c r="O1291" i="1"/>
  <c r="M1291" i="1" s="1"/>
  <c r="N1291" i="1"/>
  <c r="L1291" i="1"/>
  <c r="O1290" i="1"/>
  <c r="M1290" i="1" s="1"/>
  <c r="N1290" i="1"/>
  <c r="L1290" i="1"/>
  <c r="O1289" i="1"/>
  <c r="M1289" i="1" s="1"/>
  <c r="N1289" i="1"/>
  <c r="L1289" i="1"/>
  <c r="O1288" i="1"/>
  <c r="M1288" i="1" s="1"/>
  <c r="N1288" i="1"/>
  <c r="L1288" i="1"/>
  <c r="O1287" i="1"/>
  <c r="N1287" i="1"/>
  <c r="M1287" i="1"/>
  <c r="L1287" i="1"/>
  <c r="O1286" i="1"/>
  <c r="M1286" i="1" s="1"/>
  <c r="N1286" i="1"/>
  <c r="L1286" i="1"/>
  <c r="O1285" i="1"/>
  <c r="M1285" i="1" s="1"/>
  <c r="N1285" i="1"/>
  <c r="L1285" i="1"/>
  <c r="O1284" i="1"/>
  <c r="M1284" i="1" s="1"/>
  <c r="N1284" i="1"/>
  <c r="L1284" i="1"/>
  <c r="O1283" i="1"/>
  <c r="M1283" i="1" s="1"/>
  <c r="N1283" i="1"/>
  <c r="L1283" i="1"/>
  <c r="O1282" i="1"/>
  <c r="M1282" i="1" s="1"/>
  <c r="N1282" i="1"/>
  <c r="L1282" i="1"/>
  <c r="O1281" i="1"/>
  <c r="M1281" i="1" s="1"/>
  <c r="N1281" i="1"/>
  <c r="L1281" i="1"/>
  <c r="O1280" i="1"/>
  <c r="M1280" i="1" s="1"/>
  <c r="N1280" i="1"/>
  <c r="L1280" i="1"/>
  <c r="O1279" i="1"/>
  <c r="M1279" i="1" s="1"/>
  <c r="N1279" i="1"/>
  <c r="L1279" i="1"/>
  <c r="O1278" i="1"/>
  <c r="M1278" i="1" s="1"/>
  <c r="N1278" i="1"/>
  <c r="L1278" i="1"/>
  <c r="O1277" i="1"/>
  <c r="M1277" i="1" s="1"/>
  <c r="N1277" i="1"/>
  <c r="L1277" i="1"/>
  <c r="O1276" i="1"/>
  <c r="M1276" i="1" s="1"/>
  <c r="N1276" i="1"/>
  <c r="L1276" i="1"/>
  <c r="O1275" i="1"/>
  <c r="M1275" i="1" s="1"/>
  <c r="N1275" i="1"/>
  <c r="L1275" i="1"/>
  <c r="O1274" i="1"/>
  <c r="M1274" i="1" s="1"/>
  <c r="N1274" i="1"/>
  <c r="L1274" i="1"/>
  <c r="O1273" i="1"/>
  <c r="N1273" i="1"/>
  <c r="M1273" i="1"/>
  <c r="L1273" i="1"/>
  <c r="O1272" i="1"/>
  <c r="M1272" i="1" s="1"/>
  <c r="N1272" i="1"/>
  <c r="L1272" i="1"/>
  <c r="O1271" i="1"/>
  <c r="M1271" i="1" s="1"/>
  <c r="N1271" i="1"/>
  <c r="L1271" i="1"/>
  <c r="O1270" i="1"/>
  <c r="M1270" i="1" s="1"/>
  <c r="N1270" i="1"/>
  <c r="L1270" i="1"/>
  <c r="O1269" i="1"/>
  <c r="M1269" i="1" s="1"/>
  <c r="N1269" i="1"/>
  <c r="L1269" i="1"/>
  <c r="O1268" i="1"/>
  <c r="M1268" i="1" s="1"/>
  <c r="N1268" i="1"/>
  <c r="L1268" i="1"/>
  <c r="O1267" i="1"/>
  <c r="M1267" i="1" s="1"/>
  <c r="N1267" i="1"/>
  <c r="L1267" i="1"/>
  <c r="O1266" i="1"/>
  <c r="M1266" i="1" s="1"/>
  <c r="N1266" i="1"/>
  <c r="L1266" i="1"/>
  <c r="O1265" i="1"/>
  <c r="N1265" i="1"/>
  <c r="M1265" i="1"/>
  <c r="L1265" i="1"/>
  <c r="O1264" i="1"/>
  <c r="M1264" i="1" s="1"/>
  <c r="N1264" i="1"/>
  <c r="L1264" i="1"/>
  <c r="O1263" i="1"/>
  <c r="M1263" i="1" s="1"/>
  <c r="N1263" i="1"/>
  <c r="L1263" i="1"/>
  <c r="O1262" i="1"/>
  <c r="M1262" i="1" s="1"/>
  <c r="N1262" i="1"/>
  <c r="L1262" i="1"/>
  <c r="O1261" i="1"/>
  <c r="M1261" i="1" s="1"/>
  <c r="N1261" i="1"/>
  <c r="L1261" i="1"/>
  <c r="O1260" i="1"/>
  <c r="M1260" i="1" s="1"/>
  <c r="N1260" i="1"/>
  <c r="L1260" i="1"/>
  <c r="O1259" i="1"/>
  <c r="M1259" i="1" s="1"/>
  <c r="N1259" i="1"/>
  <c r="L1259" i="1"/>
  <c r="O1258" i="1"/>
  <c r="M1258" i="1" s="1"/>
  <c r="N1258" i="1"/>
  <c r="L1258" i="1"/>
  <c r="O1257" i="1"/>
  <c r="M1257" i="1" s="1"/>
  <c r="N1257" i="1"/>
  <c r="L1257" i="1"/>
  <c r="O1256" i="1"/>
  <c r="M1256" i="1" s="1"/>
  <c r="N1256" i="1"/>
  <c r="L1256" i="1"/>
  <c r="O1255" i="1"/>
  <c r="N1255" i="1"/>
  <c r="M1255" i="1"/>
  <c r="L1255" i="1"/>
  <c r="O1254" i="1"/>
  <c r="M1254" i="1" s="1"/>
  <c r="N1254" i="1"/>
  <c r="L1254" i="1"/>
  <c r="O1253" i="1"/>
  <c r="M1253" i="1" s="1"/>
  <c r="N1253" i="1"/>
  <c r="L1253" i="1"/>
  <c r="O1252" i="1"/>
  <c r="M1252" i="1" s="1"/>
  <c r="N1252" i="1"/>
  <c r="L1252" i="1"/>
  <c r="O1251" i="1"/>
  <c r="N1251" i="1"/>
  <c r="M1251" i="1"/>
  <c r="L1251" i="1"/>
  <c r="O1250" i="1"/>
  <c r="M1250" i="1" s="1"/>
  <c r="N1250" i="1"/>
  <c r="L1250" i="1"/>
  <c r="O1249" i="1"/>
  <c r="M1249" i="1" s="1"/>
  <c r="N1249" i="1"/>
  <c r="L1249" i="1"/>
  <c r="O1248" i="1"/>
  <c r="M1248" i="1" s="1"/>
  <c r="N1248" i="1"/>
  <c r="L1248" i="1"/>
  <c r="O1247" i="1"/>
  <c r="M1247" i="1" s="1"/>
  <c r="N1247" i="1"/>
  <c r="L1247" i="1"/>
  <c r="O1246" i="1"/>
  <c r="M1246" i="1" s="1"/>
  <c r="N1246" i="1"/>
  <c r="L1246" i="1"/>
  <c r="O1245" i="1"/>
  <c r="M1245" i="1" s="1"/>
  <c r="N1245" i="1"/>
  <c r="L1245" i="1"/>
  <c r="O1244" i="1"/>
  <c r="M1244" i="1" s="1"/>
  <c r="N1244" i="1"/>
  <c r="L1244" i="1"/>
  <c r="O1243" i="1"/>
  <c r="M1243" i="1" s="1"/>
  <c r="N1243" i="1"/>
  <c r="L1243" i="1"/>
  <c r="O1242" i="1"/>
  <c r="M1242" i="1" s="1"/>
  <c r="N1242" i="1"/>
  <c r="L1242" i="1"/>
  <c r="O1241" i="1"/>
  <c r="N1241" i="1"/>
  <c r="M1241" i="1"/>
  <c r="L1241" i="1"/>
  <c r="O1240" i="1"/>
  <c r="M1240" i="1" s="1"/>
  <c r="N1240" i="1"/>
  <c r="L1240" i="1"/>
  <c r="O1239" i="1"/>
  <c r="M1239" i="1" s="1"/>
  <c r="N1239" i="1"/>
  <c r="L1239" i="1"/>
  <c r="O1238" i="1"/>
  <c r="M1238" i="1" s="1"/>
  <c r="N1238" i="1"/>
  <c r="L1238" i="1"/>
  <c r="O1237" i="1"/>
  <c r="M1237" i="1" s="1"/>
  <c r="N1237" i="1"/>
  <c r="L1237" i="1"/>
  <c r="O1236" i="1"/>
  <c r="M1236" i="1" s="1"/>
  <c r="N1236" i="1"/>
  <c r="L1236" i="1"/>
  <c r="O1235" i="1"/>
  <c r="M1235" i="1" s="1"/>
  <c r="N1235" i="1"/>
  <c r="L1235" i="1"/>
  <c r="O1234" i="1"/>
  <c r="M1234" i="1" s="1"/>
  <c r="N1234" i="1"/>
  <c r="L1234" i="1"/>
  <c r="O1233" i="1"/>
  <c r="N1233" i="1"/>
  <c r="M1233" i="1"/>
  <c r="L1233" i="1"/>
  <c r="O1232" i="1"/>
  <c r="M1232" i="1" s="1"/>
  <c r="N1232" i="1"/>
  <c r="L1232" i="1"/>
  <c r="O1231" i="1"/>
  <c r="M1231" i="1" s="1"/>
  <c r="N1231" i="1"/>
  <c r="L1231" i="1"/>
  <c r="O1230" i="1"/>
  <c r="M1230" i="1" s="1"/>
  <c r="N1230" i="1"/>
  <c r="L1230" i="1"/>
  <c r="O1229" i="1"/>
  <c r="M1229" i="1" s="1"/>
  <c r="N1229" i="1"/>
  <c r="L1229" i="1"/>
  <c r="O1228" i="1"/>
  <c r="M1228" i="1" s="1"/>
  <c r="N1228" i="1"/>
  <c r="L1228" i="1"/>
  <c r="O1227" i="1"/>
  <c r="M1227" i="1" s="1"/>
  <c r="N1227" i="1"/>
  <c r="L1227" i="1"/>
  <c r="O1226" i="1"/>
  <c r="M1226" i="1" s="1"/>
  <c r="N1226" i="1"/>
  <c r="L1226" i="1"/>
  <c r="O1225" i="1"/>
  <c r="M1225" i="1" s="1"/>
  <c r="N1225" i="1"/>
  <c r="L1225" i="1"/>
  <c r="O1224" i="1"/>
  <c r="M1224" i="1" s="1"/>
  <c r="N1224" i="1"/>
  <c r="L1224" i="1"/>
  <c r="O1223" i="1"/>
  <c r="N1223" i="1"/>
  <c r="M1223" i="1"/>
  <c r="L1223" i="1"/>
  <c r="O1222" i="1"/>
  <c r="M1222" i="1" s="1"/>
  <c r="N1222" i="1"/>
  <c r="L1222" i="1"/>
  <c r="O1221" i="1"/>
  <c r="M1221" i="1" s="1"/>
  <c r="N1221" i="1"/>
  <c r="L1221" i="1"/>
  <c r="O1220" i="1"/>
  <c r="M1220" i="1" s="1"/>
  <c r="N1220" i="1"/>
  <c r="L1220" i="1"/>
  <c r="O1219" i="1"/>
  <c r="N1219" i="1"/>
  <c r="M1219" i="1"/>
  <c r="L1219" i="1"/>
  <c r="O1218" i="1"/>
  <c r="M1218" i="1" s="1"/>
  <c r="N1218" i="1"/>
  <c r="L1218" i="1"/>
  <c r="O1217" i="1"/>
  <c r="M1217" i="1" s="1"/>
  <c r="N1217" i="1"/>
  <c r="L1217" i="1"/>
  <c r="O1216" i="1"/>
  <c r="M1216" i="1" s="1"/>
  <c r="N1216" i="1"/>
  <c r="L1216" i="1"/>
  <c r="O1215" i="1"/>
  <c r="M1215" i="1" s="1"/>
  <c r="N1215" i="1"/>
  <c r="L1215" i="1"/>
  <c r="O1214" i="1"/>
  <c r="M1214" i="1" s="1"/>
  <c r="N1214" i="1"/>
  <c r="L1214" i="1"/>
  <c r="O1213" i="1"/>
  <c r="M1213" i="1" s="1"/>
  <c r="N1213" i="1"/>
  <c r="L1213" i="1"/>
  <c r="O1212" i="1"/>
  <c r="M1212" i="1" s="1"/>
  <c r="N1212" i="1"/>
  <c r="L1212" i="1"/>
  <c r="O1211" i="1"/>
  <c r="M1211" i="1" s="1"/>
  <c r="N1211" i="1"/>
  <c r="L1211" i="1"/>
  <c r="O1210" i="1"/>
  <c r="M1210" i="1" s="1"/>
  <c r="N1210" i="1"/>
  <c r="L1210" i="1"/>
  <c r="O1209" i="1"/>
  <c r="N1209" i="1"/>
  <c r="M1209" i="1"/>
  <c r="L1209" i="1"/>
  <c r="O1208" i="1"/>
  <c r="M1208" i="1" s="1"/>
  <c r="N1208" i="1"/>
  <c r="L1208" i="1"/>
  <c r="O1207" i="1"/>
  <c r="M1207" i="1" s="1"/>
  <c r="N1207" i="1"/>
  <c r="L1207" i="1"/>
  <c r="O1206" i="1"/>
  <c r="M1206" i="1" s="1"/>
  <c r="N1206" i="1"/>
  <c r="L1206" i="1"/>
  <c r="O1205" i="1"/>
  <c r="M1205" i="1" s="1"/>
  <c r="N1205" i="1"/>
  <c r="L1205" i="1"/>
  <c r="O1204" i="1"/>
  <c r="M1204" i="1" s="1"/>
  <c r="N1204" i="1"/>
  <c r="L1204" i="1"/>
  <c r="O1203" i="1"/>
  <c r="M1203" i="1" s="1"/>
  <c r="N1203" i="1"/>
  <c r="L1203" i="1"/>
  <c r="O1202" i="1"/>
  <c r="M1202" i="1" s="1"/>
  <c r="N1202" i="1"/>
  <c r="L1202" i="1"/>
  <c r="O1201" i="1"/>
  <c r="N1201" i="1"/>
  <c r="M1201" i="1"/>
  <c r="L1201" i="1"/>
  <c r="O1200" i="1"/>
  <c r="M1200" i="1" s="1"/>
  <c r="N1200" i="1"/>
  <c r="L1200" i="1"/>
  <c r="O1199" i="1"/>
  <c r="M1199" i="1" s="1"/>
  <c r="N1199" i="1"/>
  <c r="L1199" i="1"/>
  <c r="O1198" i="1"/>
  <c r="M1198" i="1" s="1"/>
  <c r="N1198" i="1"/>
  <c r="L1198" i="1"/>
  <c r="O1197" i="1"/>
  <c r="M1197" i="1" s="1"/>
  <c r="N1197" i="1"/>
  <c r="L1197" i="1"/>
  <c r="O1196" i="1"/>
  <c r="M1196" i="1" s="1"/>
  <c r="N1196" i="1"/>
  <c r="L1196" i="1"/>
  <c r="O1195" i="1"/>
  <c r="M1195" i="1" s="1"/>
  <c r="N1195" i="1"/>
  <c r="L1195" i="1"/>
  <c r="O1194" i="1"/>
  <c r="M1194" i="1" s="1"/>
  <c r="N1194" i="1"/>
  <c r="L1194" i="1"/>
  <c r="O1193" i="1"/>
  <c r="M1193" i="1" s="1"/>
  <c r="N1193" i="1"/>
  <c r="L1193" i="1"/>
  <c r="O1192" i="1"/>
  <c r="M1192" i="1" s="1"/>
  <c r="N1192" i="1"/>
  <c r="L1192" i="1"/>
  <c r="O1191" i="1"/>
  <c r="N1191" i="1"/>
  <c r="M1191" i="1"/>
  <c r="L1191" i="1"/>
  <c r="O1190" i="1"/>
  <c r="M1190" i="1" s="1"/>
  <c r="N1190" i="1"/>
  <c r="L1190" i="1"/>
  <c r="O1189" i="1"/>
  <c r="M1189" i="1" s="1"/>
  <c r="N1189" i="1"/>
  <c r="L1189" i="1"/>
  <c r="O1188" i="1"/>
  <c r="M1188" i="1" s="1"/>
  <c r="N1188" i="1"/>
  <c r="L1188" i="1"/>
  <c r="O1187" i="1"/>
  <c r="M1187" i="1" s="1"/>
  <c r="N1187" i="1"/>
  <c r="L1187" i="1"/>
  <c r="O1186" i="1"/>
  <c r="M1186" i="1" s="1"/>
  <c r="N1186" i="1"/>
  <c r="L1186" i="1"/>
  <c r="O1185" i="1"/>
  <c r="M1185" i="1" s="1"/>
  <c r="N1185" i="1"/>
  <c r="L1185" i="1"/>
  <c r="O1184" i="1"/>
  <c r="M1184" i="1" s="1"/>
  <c r="N1184" i="1"/>
  <c r="L1184" i="1"/>
  <c r="O1183" i="1"/>
  <c r="M1183" i="1" s="1"/>
  <c r="N1183" i="1"/>
  <c r="L1183" i="1"/>
  <c r="O1182" i="1"/>
  <c r="M1182" i="1" s="1"/>
  <c r="N1182" i="1"/>
  <c r="L1182" i="1"/>
  <c r="O1181" i="1"/>
  <c r="M1181" i="1" s="1"/>
  <c r="N1181" i="1"/>
  <c r="L1181" i="1"/>
  <c r="O1180" i="1"/>
  <c r="M1180" i="1" s="1"/>
  <c r="N1180" i="1"/>
  <c r="L1180" i="1"/>
  <c r="O1179" i="1"/>
  <c r="M1179" i="1" s="1"/>
  <c r="N1179" i="1"/>
  <c r="L1179" i="1"/>
  <c r="O1178" i="1"/>
  <c r="M1178" i="1" s="1"/>
  <c r="N1178" i="1"/>
  <c r="L1178" i="1"/>
  <c r="O1177" i="1"/>
  <c r="N1177" i="1"/>
  <c r="M1177" i="1"/>
  <c r="L1177" i="1"/>
  <c r="O1176" i="1"/>
  <c r="M1176" i="1" s="1"/>
  <c r="N1176" i="1"/>
  <c r="L1176" i="1"/>
  <c r="O1175" i="1"/>
  <c r="M1175" i="1" s="1"/>
  <c r="N1175" i="1"/>
  <c r="L1175" i="1"/>
  <c r="O1174" i="1"/>
  <c r="M1174" i="1" s="1"/>
  <c r="N1174" i="1"/>
  <c r="L1174" i="1"/>
  <c r="O1173" i="1"/>
  <c r="M1173" i="1" s="1"/>
  <c r="N1173" i="1"/>
  <c r="L1173" i="1"/>
  <c r="O1172" i="1"/>
  <c r="M1172" i="1" s="1"/>
  <c r="N1172" i="1"/>
  <c r="L1172" i="1"/>
  <c r="O1171" i="1"/>
  <c r="M1171" i="1" s="1"/>
  <c r="N1171" i="1"/>
  <c r="L1171" i="1"/>
  <c r="O1170" i="1"/>
  <c r="M1170" i="1" s="1"/>
  <c r="N1170" i="1"/>
  <c r="L1170" i="1"/>
  <c r="O1169" i="1"/>
  <c r="N1169" i="1"/>
  <c r="M1169" i="1"/>
  <c r="L1169" i="1"/>
  <c r="O1168" i="1"/>
  <c r="M1168" i="1" s="1"/>
  <c r="N1168" i="1"/>
  <c r="L1168" i="1"/>
  <c r="O1167" i="1"/>
  <c r="M1167" i="1" s="1"/>
  <c r="N1167" i="1"/>
  <c r="L1167" i="1"/>
  <c r="O1166" i="1"/>
  <c r="M1166" i="1" s="1"/>
  <c r="N1166" i="1"/>
  <c r="L1166" i="1"/>
  <c r="O1165" i="1"/>
  <c r="M1165" i="1" s="1"/>
  <c r="N1165" i="1"/>
  <c r="L1165" i="1"/>
  <c r="O1164" i="1"/>
  <c r="M1164" i="1" s="1"/>
  <c r="N1164" i="1"/>
  <c r="L1164" i="1"/>
  <c r="O1163" i="1"/>
  <c r="M1163" i="1" s="1"/>
  <c r="N1163" i="1"/>
  <c r="L1163" i="1"/>
  <c r="O1162" i="1"/>
  <c r="M1162" i="1" s="1"/>
  <c r="N1162" i="1"/>
  <c r="L1162" i="1"/>
  <c r="O1161" i="1"/>
  <c r="M1161" i="1" s="1"/>
  <c r="N1161" i="1"/>
  <c r="L1161" i="1"/>
  <c r="O1160" i="1"/>
  <c r="M1160" i="1" s="1"/>
  <c r="N1160" i="1"/>
  <c r="L1160" i="1"/>
  <c r="O1159" i="1"/>
  <c r="N1159" i="1"/>
  <c r="M1159" i="1"/>
  <c r="L1159" i="1"/>
  <c r="O1158" i="1"/>
  <c r="M1158" i="1" s="1"/>
  <c r="N1158" i="1"/>
  <c r="L1158" i="1"/>
  <c r="O1157" i="1"/>
  <c r="M1157" i="1" s="1"/>
  <c r="N1157" i="1"/>
  <c r="L1157" i="1"/>
  <c r="O1156" i="1"/>
  <c r="M1156" i="1" s="1"/>
  <c r="N1156" i="1"/>
  <c r="L1156" i="1"/>
  <c r="O1155" i="1"/>
  <c r="N1155" i="1"/>
  <c r="M1155" i="1"/>
  <c r="L1155" i="1"/>
  <c r="O1154" i="1"/>
  <c r="M1154" i="1" s="1"/>
  <c r="N1154" i="1"/>
  <c r="L1154" i="1"/>
  <c r="O1153" i="1"/>
  <c r="M1153" i="1" s="1"/>
  <c r="N1153" i="1"/>
  <c r="L1153" i="1"/>
  <c r="O1152" i="1"/>
  <c r="M1152" i="1" s="1"/>
  <c r="N1152" i="1"/>
  <c r="L1152" i="1"/>
  <c r="O1151" i="1"/>
  <c r="M1151" i="1" s="1"/>
  <c r="N1151" i="1"/>
  <c r="L1151" i="1"/>
  <c r="O1150" i="1"/>
  <c r="M1150" i="1" s="1"/>
  <c r="N1150" i="1"/>
  <c r="L1150" i="1"/>
  <c r="O1149" i="1"/>
  <c r="M1149" i="1" s="1"/>
  <c r="N1149" i="1"/>
  <c r="L1149" i="1"/>
  <c r="O1148" i="1"/>
  <c r="M1148" i="1" s="1"/>
  <c r="N1148" i="1"/>
  <c r="L1148" i="1"/>
  <c r="O1147" i="1"/>
  <c r="M1147" i="1" s="1"/>
  <c r="N1147" i="1"/>
  <c r="L1147" i="1"/>
  <c r="O1146" i="1"/>
  <c r="M1146" i="1" s="1"/>
  <c r="N1146" i="1"/>
  <c r="L1146" i="1"/>
  <c r="O1145" i="1"/>
  <c r="N1145" i="1"/>
  <c r="M1145" i="1"/>
  <c r="L1145" i="1"/>
  <c r="O1144" i="1"/>
  <c r="M1144" i="1" s="1"/>
  <c r="N1144" i="1"/>
  <c r="L1144" i="1"/>
  <c r="O1143" i="1"/>
  <c r="M1143" i="1" s="1"/>
  <c r="N1143" i="1"/>
  <c r="L1143" i="1"/>
  <c r="O1142" i="1"/>
  <c r="M1142" i="1" s="1"/>
  <c r="N1142" i="1"/>
  <c r="L1142" i="1"/>
  <c r="O1141" i="1"/>
  <c r="M1141" i="1" s="1"/>
  <c r="N1141" i="1"/>
  <c r="L1141" i="1"/>
  <c r="O1140" i="1"/>
  <c r="M1140" i="1" s="1"/>
  <c r="N1140" i="1"/>
  <c r="L1140" i="1"/>
  <c r="O1139" i="1"/>
  <c r="N1139" i="1"/>
  <c r="M1139" i="1"/>
  <c r="L1139" i="1"/>
  <c r="O1138" i="1"/>
  <c r="M1138" i="1" s="1"/>
  <c r="N1138" i="1"/>
  <c r="L1138" i="1"/>
  <c r="O1137" i="1"/>
  <c r="M1137" i="1" s="1"/>
  <c r="N1137" i="1"/>
  <c r="L1137" i="1"/>
  <c r="O1136" i="1"/>
  <c r="M1136" i="1" s="1"/>
  <c r="N1136" i="1"/>
  <c r="L1136" i="1"/>
  <c r="O1135" i="1"/>
  <c r="N1135" i="1"/>
  <c r="M1135" i="1"/>
  <c r="L1135" i="1"/>
  <c r="O1134" i="1"/>
  <c r="M1134" i="1" s="1"/>
  <c r="N1134" i="1"/>
  <c r="L1134" i="1"/>
  <c r="O1133" i="1"/>
  <c r="M1133" i="1" s="1"/>
  <c r="N1133" i="1"/>
  <c r="L1133" i="1"/>
  <c r="O1132" i="1"/>
  <c r="M1132" i="1" s="1"/>
  <c r="N1132" i="1"/>
  <c r="L1132" i="1"/>
  <c r="O1131" i="1"/>
  <c r="N1131" i="1"/>
  <c r="M1131" i="1"/>
  <c r="L1131" i="1"/>
  <c r="O1130" i="1"/>
  <c r="M1130" i="1" s="1"/>
  <c r="N1130" i="1"/>
  <c r="L1130" i="1"/>
  <c r="O1129" i="1"/>
  <c r="N1129" i="1"/>
  <c r="M1129" i="1"/>
  <c r="L1129" i="1"/>
  <c r="O1128" i="1"/>
  <c r="M1128" i="1" s="1"/>
  <c r="N1128" i="1"/>
  <c r="L1128" i="1"/>
  <c r="O1127" i="1"/>
  <c r="M1127" i="1" s="1"/>
  <c r="N1127" i="1"/>
  <c r="L1127" i="1"/>
  <c r="O1126" i="1"/>
  <c r="M1126" i="1" s="1"/>
  <c r="N1126" i="1"/>
  <c r="L1126" i="1"/>
  <c r="O1125" i="1"/>
  <c r="M1125" i="1" s="1"/>
  <c r="N1125" i="1"/>
  <c r="L1125" i="1"/>
  <c r="O1124" i="1"/>
  <c r="M1124" i="1" s="1"/>
  <c r="N1124" i="1"/>
  <c r="L1124" i="1"/>
  <c r="O1123" i="1"/>
  <c r="M1123" i="1" s="1"/>
  <c r="N1123" i="1"/>
  <c r="L1123" i="1"/>
  <c r="O1122" i="1"/>
  <c r="M1122" i="1" s="1"/>
  <c r="N1122" i="1"/>
  <c r="L1122" i="1"/>
  <c r="O1121" i="1"/>
  <c r="M1121" i="1" s="1"/>
  <c r="N1121" i="1"/>
  <c r="L1121" i="1"/>
  <c r="O1120" i="1"/>
  <c r="M1120" i="1" s="1"/>
  <c r="N1120" i="1"/>
  <c r="L1120" i="1"/>
  <c r="O1119" i="1"/>
  <c r="N1119" i="1"/>
  <c r="M1119" i="1"/>
  <c r="L1119" i="1"/>
  <c r="O1118" i="1"/>
  <c r="M1118" i="1" s="1"/>
  <c r="N1118" i="1"/>
  <c r="L1118" i="1"/>
  <c r="O1117" i="1"/>
  <c r="N1117" i="1"/>
  <c r="M1117" i="1"/>
  <c r="L1117" i="1"/>
  <c r="O1116" i="1"/>
  <c r="M1116" i="1" s="1"/>
  <c r="N1116" i="1"/>
  <c r="L1116" i="1"/>
  <c r="O1115" i="1"/>
  <c r="M1115" i="1" s="1"/>
  <c r="N1115" i="1"/>
  <c r="L1115" i="1"/>
  <c r="O1114" i="1"/>
  <c r="M1114" i="1" s="1"/>
  <c r="N1114" i="1"/>
  <c r="L1114" i="1"/>
  <c r="O1113" i="1"/>
  <c r="N1113" i="1"/>
  <c r="M1113" i="1"/>
  <c r="L1113" i="1"/>
  <c r="O1112" i="1"/>
  <c r="M1112" i="1" s="1"/>
  <c r="N1112" i="1"/>
  <c r="L1112" i="1"/>
  <c r="O1111" i="1"/>
  <c r="M1111" i="1" s="1"/>
  <c r="N1111" i="1"/>
  <c r="L1111" i="1"/>
  <c r="O1110" i="1"/>
  <c r="M1110" i="1" s="1"/>
  <c r="N1110" i="1"/>
  <c r="L1110" i="1"/>
  <c r="O1109" i="1"/>
  <c r="M1109" i="1" s="1"/>
  <c r="N1109" i="1"/>
  <c r="L1109" i="1"/>
  <c r="O1108" i="1"/>
  <c r="M1108" i="1" s="1"/>
  <c r="N1108" i="1"/>
  <c r="L1108" i="1"/>
  <c r="O1107" i="1"/>
  <c r="N1107" i="1"/>
  <c r="M1107" i="1"/>
  <c r="L1107" i="1"/>
  <c r="O1106" i="1"/>
  <c r="M1106" i="1" s="1"/>
  <c r="N1106" i="1"/>
  <c r="L1106" i="1"/>
  <c r="O1105" i="1"/>
  <c r="M1105" i="1" s="1"/>
  <c r="N1105" i="1"/>
  <c r="L1105" i="1"/>
  <c r="O1104" i="1"/>
  <c r="M1104" i="1" s="1"/>
  <c r="N1104" i="1"/>
  <c r="L1104" i="1"/>
  <c r="O1103" i="1"/>
  <c r="N1103" i="1"/>
  <c r="M1103" i="1"/>
  <c r="L1103" i="1"/>
  <c r="O1102" i="1"/>
  <c r="M1102" i="1" s="1"/>
  <c r="N1102" i="1"/>
  <c r="L1102" i="1"/>
  <c r="O1101" i="1"/>
  <c r="N1101" i="1"/>
  <c r="M1101" i="1"/>
  <c r="L1101" i="1"/>
  <c r="O1100" i="1"/>
  <c r="M1100" i="1" s="1"/>
  <c r="N1100" i="1"/>
  <c r="L1100" i="1"/>
  <c r="O1099" i="1"/>
  <c r="M1099" i="1" s="1"/>
  <c r="N1099" i="1"/>
  <c r="L1099" i="1"/>
  <c r="O1098" i="1"/>
  <c r="M1098" i="1" s="1"/>
  <c r="N1098" i="1"/>
  <c r="L1098" i="1"/>
  <c r="O1097" i="1"/>
  <c r="N1097" i="1"/>
  <c r="M1097" i="1"/>
  <c r="L1097" i="1"/>
  <c r="O1096" i="1"/>
  <c r="M1096" i="1" s="1"/>
  <c r="N1096" i="1"/>
  <c r="L1096" i="1"/>
  <c r="O1095" i="1"/>
  <c r="M1095" i="1" s="1"/>
  <c r="N1095" i="1"/>
  <c r="L1095" i="1"/>
  <c r="O1094" i="1"/>
  <c r="M1094" i="1" s="1"/>
  <c r="N1094" i="1"/>
  <c r="L1094" i="1"/>
  <c r="O1093" i="1"/>
  <c r="M1093" i="1" s="1"/>
  <c r="N1093" i="1"/>
  <c r="L1093" i="1"/>
  <c r="O1092" i="1"/>
  <c r="M1092" i="1" s="1"/>
  <c r="N1092" i="1"/>
  <c r="L1092" i="1"/>
  <c r="O1091" i="1"/>
  <c r="M1091" i="1" s="1"/>
  <c r="N1091" i="1"/>
  <c r="L1091" i="1"/>
  <c r="O1090" i="1"/>
  <c r="M1090" i="1" s="1"/>
  <c r="N1090" i="1"/>
  <c r="L1090" i="1"/>
  <c r="O1089" i="1"/>
  <c r="M1089" i="1" s="1"/>
  <c r="N1089" i="1"/>
  <c r="L1089" i="1"/>
  <c r="O1088" i="1"/>
  <c r="M1088" i="1" s="1"/>
  <c r="N1088" i="1"/>
  <c r="L1088" i="1"/>
  <c r="O1087" i="1"/>
  <c r="N1087" i="1"/>
  <c r="M1087" i="1"/>
  <c r="L1087" i="1"/>
  <c r="O1086" i="1"/>
  <c r="M1086" i="1" s="1"/>
  <c r="N1086" i="1"/>
  <c r="L1086" i="1"/>
  <c r="O1085" i="1"/>
  <c r="M1085" i="1" s="1"/>
  <c r="N1085" i="1"/>
  <c r="L1085" i="1"/>
  <c r="O1084" i="1"/>
  <c r="M1084" i="1" s="1"/>
  <c r="N1084" i="1"/>
  <c r="L1084" i="1"/>
  <c r="O1083" i="1"/>
  <c r="M1083" i="1" s="1"/>
  <c r="N1083" i="1"/>
  <c r="L1083" i="1"/>
  <c r="O1082" i="1"/>
  <c r="M1082" i="1" s="1"/>
  <c r="N1082" i="1"/>
  <c r="L1082" i="1"/>
  <c r="O1081" i="1"/>
  <c r="M1081" i="1" s="1"/>
  <c r="N1081" i="1"/>
  <c r="L1081" i="1"/>
  <c r="O1080" i="1"/>
  <c r="M1080" i="1" s="1"/>
  <c r="N1080" i="1"/>
  <c r="L1080" i="1"/>
  <c r="O1079" i="1"/>
  <c r="M1079" i="1" s="1"/>
  <c r="N1079" i="1"/>
  <c r="L1079" i="1"/>
  <c r="O1078" i="1"/>
  <c r="M1078" i="1" s="1"/>
  <c r="N1078" i="1"/>
  <c r="L1078" i="1"/>
  <c r="O1077" i="1"/>
  <c r="N1077" i="1"/>
  <c r="M1077" i="1"/>
  <c r="L1077" i="1"/>
  <c r="O1076" i="1"/>
  <c r="M1076" i="1" s="1"/>
  <c r="N1076" i="1"/>
  <c r="L1076" i="1"/>
  <c r="O1075" i="1"/>
  <c r="N1075" i="1"/>
  <c r="M1075" i="1"/>
  <c r="L1075" i="1"/>
  <c r="O1074" i="1"/>
  <c r="M1074" i="1" s="1"/>
  <c r="N1074" i="1"/>
  <c r="L1074" i="1"/>
  <c r="O1073" i="1"/>
  <c r="M1073" i="1" s="1"/>
  <c r="N1073" i="1"/>
  <c r="L1073" i="1"/>
  <c r="O1072" i="1"/>
  <c r="M1072" i="1" s="1"/>
  <c r="N1072" i="1"/>
  <c r="L1072" i="1"/>
  <c r="O1071" i="1"/>
  <c r="N1071" i="1"/>
  <c r="M1071" i="1"/>
  <c r="L1071" i="1"/>
  <c r="O1070" i="1"/>
  <c r="M1070" i="1" s="1"/>
  <c r="N1070" i="1"/>
  <c r="L1070" i="1"/>
  <c r="O1069" i="1"/>
  <c r="M1069" i="1" s="1"/>
  <c r="N1069" i="1"/>
  <c r="L1069" i="1"/>
  <c r="O1068" i="1"/>
  <c r="M1068" i="1" s="1"/>
  <c r="N1068" i="1"/>
  <c r="L1068" i="1"/>
  <c r="O1067" i="1"/>
  <c r="M1067" i="1" s="1"/>
  <c r="N1067" i="1"/>
  <c r="L1067" i="1"/>
  <c r="O1066" i="1"/>
  <c r="M1066" i="1" s="1"/>
  <c r="N1066" i="1"/>
  <c r="L1066" i="1"/>
  <c r="O1065" i="1"/>
  <c r="M1065" i="1" s="1"/>
  <c r="N1065" i="1"/>
  <c r="L1065" i="1"/>
  <c r="O1064" i="1"/>
  <c r="M1064" i="1" s="1"/>
  <c r="N1064" i="1"/>
  <c r="L1064" i="1"/>
  <c r="O1063" i="1"/>
  <c r="M1063" i="1" s="1"/>
  <c r="N1063" i="1"/>
  <c r="L1063" i="1"/>
  <c r="O1062" i="1"/>
  <c r="M1062" i="1" s="1"/>
  <c r="N1062" i="1"/>
  <c r="L1062" i="1"/>
  <c r="O1061" i="1"/>
  <c r="N1061" i="1"/>
  <c r="M1061" i="1"/>
  <c r="L1061" i="1"/>
  <c r="O1060" i="1"/>
  <c r="M1060" i="1" s="1"/>
  <c r="N1060" i="1"/>
  <c r="L1060" i="1"/>
  <c r="O1059" i="1"/>
  <c r="N1059" i="1"/>
  <c r="M1059" i="1"/>
  <c r="L1059" i="1"/>
  <c r="O1058" i="1"/>
  <c r="M1058" i="1" s="1"/>
  <c r="N1058" i="1"/>
  <c r="L1058" i="1"/>
  <c r="O1057" i="1"/>
  <c r="M1057" i="1" s="1"/>
  <c r="N1057" i="1"/>
  <c r="L1057" i="1"/>
  <c r="O1056" i="1"/>
  <c r="M1056" i="1" s="1"/>
  <c r="N1056" i="1"/>
  <c r="L1056" i="1"/>
  <c r="O1055" i="1"/>
  <c r="N1055" i="1"/>
  <c r="M1055" i="1"/>
  <c r="L1055" i="1"/>
  <c r="O1054" i="1"/>
  <c r="M1054" i="1" s="1"/>
  <c r="N1054" i="1"/>
  <c r="L1054" i="1"/>
  <c r="O1053" i="1"/>
  <c r="M1053" i="1" s="1"/>
  <c r="N1053" i="1"/>
  <c r="L1053" i="1"/>
  <c r="O1052" i="1"/>
  <c r="M1052" i="1" s="1"/>
  <c r="N1052" i="1"/>
  <c r="L1052" i="1"/>
  <c r="O1051" i="1"/>
  <c r="M1051" i="1" s="1"/>
  <c r="N1051" i="1"/>
  <c r="L1051" i="1"/>
  <c r="O1050" i="1"/>
  <c r="M1050" i="1" s="1"/>
  <c r="N1050" i="1"/>
  <c r="L1050" i="1"/>
  <c r="O1049" i="1"/>
  <c r="M1049" i="1" s="1"/>
  <c r="N1049" i="1"/>
  <c r="L1049" i="1"/>
  <c r="O1048" i="1"/>
  <c r="M1048" i="1" s="1"/>
  <c r="N1048" i="1"/>
  <c r="L1048" i="1"/>
  <c r="O1047" i="1"/>
  <c r="M1047" i="1" s="1"/>
  <c r="N1047" i="1"/>
  <c r="L1047" i="1"/>
  <c r="O1046" i="1"/>
  <c r="M1046" i="1" s="1"/>
  <c r="N1046" i="1"/>
  <c r="L1046" i="1"/>
  <c r="O1045" i="1"/>
  <c r="M1045" i="1" s="1"/>
  <c r="N1045" i="1"/>
  <c r="L1045" i="1"/>
  <c r="O1044" i="1"/>
  <c r="M1044" i="1" s="1"/>
  <c r="N1044" i="1"/>
  <c r="L1044" i="1"/>
  <c r="O1043" i="1"/>
  <c r="M1043" i="1" s="1"/>
  <c r="N1043" i="1"/>
  <c r="L1043" i="1"/>
  <c r="O1042" i="1"/>
  <c r="M1042" i="1" s="1"/>
  <c r="N1042" i="1"/>
  <c r="L1042" i="1"/>
  <c r="O1041" i="1"/>
  <c r="M1041" i="1" s="1"/>
  <c r="N1041" i="1"/>
  <c r="L1041" i="1"/>
  <c r="O1040" i="1"/>
  <c r="M1040" i="1" s="1"/>
  <c r="N1040" i="1"/>
  <c r="L1040" i="1"/>
  <c r="O1039" i="1"/>
  <c r="N1039" i="1"/>
  <c r="M1039" i="1"/>
  <c r="L1039" i="1"/>
  <c r="O1038" i="1"/>
  <c r="M1038" i="1" s="1"/>
  <c r="N1038" i="1"/>
  <c r="L1038" i="1"/>
  <c r="O1037" i="1"/>
  <c r="M1037" i="1" s="1"/>
  <c r="N1037" i="1"/>
  <c r="L1037" i="1"/>
  <c r="O1036" i="1"/>
  <c r="M1036" i="1" s="1"/>
  <c r="N1036" i="1"/>
  <c r="L1036" i="1"/>
  <c r="O1035" i="1"/>
  <c r="M1035" i="1" s="1"/>
  <c r="N1035" i="1"/>
  <c r="L1035" i="1"/>
  <c r="O1034" i="1"/>
  <c r="M1034" i="1" s="1"/>
  <c r="N1034" i="1"/>
  <c r="L1034" i="1"/>
  <c r="O1033" i="1"/>
  <c r="M1033" i="1" s="1"/>
  <c r="N1033" i="1"/>
  <c r="L1033" i="1"/>
  <c r="O1032" i="1"/>
  <c r="M1032" i="1" s="1"/>
  <c r="N1032" i="1"/>
  <c r="L1032" i="1"/>
  <c r="O1031" i="1"/>
  <c r="M1031" i="1" s="1"/>
  <c r="N1031" i="1"/>
  <c r="L1031" i="1"/>
  <c r="O1030" i="1"/>
  <c r="M1030" i="1" s="1"/>
  <c r="N1030" i="1"/>
  <c r="L1030" i="1"/>
  <c r="O1029" i="1"/>
  <c r="N1029" i="1"/>
  <c r="M1029" i="1"/>
  <c r="L1029" i="1"/>
  <c r="O1028" i="1"/>
  <c r="M1028" i="1" s="1"/>
  <c r="N1028" i="1"/>
  <c r="L1028" i="1"/>
  <c r="O1027" i="1"/>
  <c r="N1027" i="1"/>
  <c r="M1027" i="1"/>
  <c r="L1027" i="1"/>
  <c r="O1026" i="1"/>
  <c r="M1026" i="1" s="1"/>
  <c r="N1026" i="1"/>
  <c r="L1026" i="1"/>
  <c r="O1025" i="1"/>
  <c r="M1025" i="1" s="1"/>
  <c r="N1025" i="1"/>
  <c r="L1025" i="1"/>
  <c r="O1024" i="1"/>
  <c r="M1024" i="1" s="1"/>
  <c r="N1024" i="1"/>
  <c r="L1024" i="1"/>
  <c r="O1023" i="1"/>
  <c r="N1023" i="1"/>
  <c r="M1023" i="1"/>
  <c r="L1023" i="1"/>
  <c r="O1022" i="1"/>
  <c r="M1022" i="1" s="1"/>
  <c r="N1022" i="1"/>
  <c r="L1022" i="1"/>
  <c r="O1021" i="1"/>
  <c r="M1021" i="1" s="1"/>
  <c r="N1021" i="1"/>
  <c r="L1021" i="1"/>
  <c r="O1020" i="1"/>
  <c r="M1020" i="1" s="1"/>
  <c r="N1020" i="1"/>
  <c r="L1020" i="1"/>
  <c r="O1019" i="1"/>
  <c r="M1019" i="1" s="1"/>
  <c r="N1019" i="1"/>
  <c r="L1019" i="1"/>
  <c r="O1018" i="1"/>
  <c r="M1018" i="1" s="1"/>
  <c r="N1018" i="1"/>
  <c r="L1018" i="1"/>
  <c r="O1017" i="1"/>
  <c r="M1017" i="1" s="1"/>
  <c r="N1017" i="1"/>
  <c r="L1017" i="1"/>
  <c r="O1016" i="1"/>
  <c r="M1016" i="1" s="1"/>
  <c r="N1016" i="1"/>
  <c r="L1016" i="1"/>
  <c r="O1015" i="1"/>
  <c r="M1015" i="1" s="1"/>
  <c r="N1015" i="1"/>
  <c r="L1015" i="1"/>
  <c r="O1014" i="1"/>
  <c r="M1014" i="1" s="1"/>
  <c r="N1014" i="1"/>
  <c r="L1014" i="1"/>
  <c r="O1013" i="1"/>
  <c r="N1013" i="1"/>
  <c r="M1013" i="1"/>
  <c r="L1013" i="1"/>
  <c r="O1012" i="1"/>
  <c r="M1012" i="1" s="1"/>
  <c r="N1012" i="1"/>
  <c r="L1012" i="1"/>
  <c r="O1011" i="1"/>
  <c r="N1011" i="1"/>
  <c r="M1011" i="1"/>
  <c r="L1011" i="1"/>
  <c r="O1010" i="1"/>
  <c r="M1010" i="1" s="1"/>
  <c r="N1010" i="1"/>
  <c r="L1010" i="1"/>
  <c r="O1009" i="1"/>
  <c r="N1009" i="1"/>
  <c r="M1009" i="1"/>
  <c r="L1009" i="1"/>
  <c r="O1008" i="1"/>
  <c r="M1008" i="1" s="1"/>
  <c r="N1008" i="1"/>
  <c r="L1008" i="1"/>
  <c r="O1007" i="1"/>
  <c r="N1007" i="1"/>
  <c r="M1007" i="1"/>
  <c r="L1007" i="1"/>
  <c r="O1006" i="1"/>
  <c r="M1006" i="1" s="1"/>
  <c r="N1006" i="1"/>
  <c r="L1006" i="1"/>
  <c r="O1005" i="1"/>
  <c r="M1005" i="1" s="1"/>
  <c r="N1005" i="1"/>
  <c r="L1005" i="1"/>
  <c r="O1004" i="1"/>
  <c r="M1004" i="1" s="1"/>
  <c r="N1004" i="1"/>
  <c r="L1004" i="1"/>
  <c r="O1003" i="1"/>
  <c r="N1003" i="1"/>
  <c r="M1003" i="1"/>
  <c r="L1003" i="1"/>
  <c r="O1002" i="1"/>
  <c r="M1002" i="1" s="1"/>
  <c r="N1002" i="1"/>
  <c r="L1002" i="1"/>
  <c r="O1001" i="1"/>
  <c r="M1001" i="1" s="1"/>
  <c r="N1001" i="1"/>
  <c r="L1001" i="1"/>
  <c r="O1000" i="1"/>
  <c r="M1000" i="1" s="1"/>
  <c r="N1000" i="1"/>
  <c r="L1000" i="1"/>
  <c r="O999" i="1"/>
  <c r="M999" i="1" s="1"/>
  <c r="N999" i="1"/>
  <c r="L999" i="1"/>
  <c r="O998" i="1"/>
  <c r="M998" i="1" s="1"/>
  <c r="N998" i="1"/>
  <c r="L998" i="1"/>
  <c r="O997" i="1"/>
  <c r="M997" i="1" s="1"/>
  <c r="N997" i="1"/>
  <c r="L997" i="1"/>
  <c r="O996" i="1"/>
  <c r="M996" i="1" s="1"/>
  <c r="N996" i="1"/>
  <c r="L996" i="1"/>
  <c r="O995" i="1"/>
  <c r="N995" i="1"/>
  <c r="M995" i="1"/>
  <c r="L995" i="1"/>
  <c r="O994" i="1"/>
  <c r="M994" i="1" s="1"/>
  <c r="N994" i="1"/>
  <c r="L994" i="1"/>
  <c r="O993" i="1"/>
  <c r="N993" i="1"/>
  <c r="M993" i="1"/>
  <c r="L993" i="1"/>
  <c r="O992" i="1"/>
  <c r="M992" i="1" s="1"/>
  <c r="N992" i="1"/>
  <c r="L992" i="1"/>
  <c r="O991" i="1"/>
  <c r="N991" i="1"/>
  <c r="M991" i="1"/>
  <c r="L991" i="1"/>
  <c r="O990" i="1"/>
  <c r="M990" i="1" s="1"/>
  <c r="N990" i="1"/>
  <c r="L990" i="1"/>
  <c r="O989" i="1"/>
  <c r="M989" i="1" s="1"/>
  <c r="N989" i="1"/>
  <c r="L989" i="1"/>
  <c r="O988" i="1"/>
  <c r="M988" i="1" s="1"/>
  <c r="N988" i="1"/>
  <c r="L988" i="1"/>
  <c r="O987" i="1"/>
  <c r="N987" i="1"/>
  <c r="M987" i="1"/>
  <c r="L987" i="1"/>
  <c r="O986" i="1"/>
  <c r="M986" i="1" s="1"/>
  <c r="N986" i="1"/>
  <c r="L986" i="1"/>
  <c r="O985" i="1"/>
  <c r="M985" i="1" s="1"/>
  <c r="N985" i="1"/>
  <c r="L985" i="1"/>
  <c r="O984" i="1"/>
  <c r="M984" i="1" s="1"/>
  <c r="N984" i="1"/>
  <c r="L984" i="1"/>
  <c r="O983" i="1"/>
  <c r="M983" i="1" s="1"/>
  <c r="N983" i="1"/>
  <c r="L983" i="1"/>
  <c r="O982" i="1"/>
  <c r="M982" i="1" s="1"/>
  <c r="N982" i="1"/>
  <c r="L982" i="1"/>
  <c r="O981" i="1"/>
  <c r="N981" i="1"/>
  <c r="M981" i="1"/>
  <c r="L981" i="1"/>
  <c r="O980" i="1"/>
  <c r="M980" i="1" s="1"/>
  <c r="N980" i="1"/>
  <c r="L980" i="1"/>
  <c r="O979" i="1"/>
  <c r="M979" i="1" s="1"/>
  <c r="N979" i="1"/>
  <c r="L979" i="1"/>
  <c r="O978" i="1"/>
  <c r="M978" i="1" s="1"/>
  <c r="N978" i="1"/>
  <c r="L978" i="1"/>
  <c r="O977" i="1"/>
  <c r="N977" i="1"/>
  <c r="M977" i="1"/>
  <c r="L977" i="1"/>
  <c r="O976" i="1"/>
  <c r="M976" i="1" s="1"/>
  <c r="N976" i="1"/>
  <c r="L976" i="1"/>
  <c r="O975" i="1"/>
  <c r="M975" i="1" s="1"/>
  <c r="N975" i="1"/>
  <c r="L975" i="1"/>
  <c r="O974" i="1"/>
  <c r="M974" i="1" s="1"/>
  <c r="N974" i="1"/>
  <c r="L974" i="1"/>
  <c r="O973" i="1"/>
  <c r="M973" i="1" s="1"/>
  <c r="N973" i="1"/>
  <c r="L973" i="1"/>
  <c r="O972" i="1"/>
  <c r="M972" i="1" s="1"/>
  <c r="N972" i="1"/>
  <c r="L972" i="1"/>
  <c r="O971" i="1"/>
  <c r="M971" i="1" s="1"/>
  <c r="N971" i="1"/>
  <c r="L971" i="1"/>
  <c r="O970" i="1"/>
  <c r="M970" i="1" s="1"/>
  <c r="N970" i="1"/>
  <c r="L970" i="1"/>
  <c r="O969" i="1"/>
  <c r="M969" i="1" s="1"/>
  <c r="N969" i="1"/>
  <c r="L969" i="1"/>
  <c r="O968" i="1"/>
  <c r="M968" i="1" s="1"/>
  <c r="N968" i="1"/>
  <c r="L968" i="1"/>
  <c r="O967" i="1"/>
  <c r="M967" i="1" s="1"/>
  <c r="N967" i="1"/>
  <c r="L967" i="1"/>
  <c r="O966" i="1"/>
  <c r="M966" i="1" s="1"/>
  <c r="N966" i="1"/>
  <c r="L966" i="1"/>
  <c r="O965" i="1"/>
  <c r="M965" i="1" s="1"/>
  <c r="N965" i="1"/>
  <c r="L965" i="1"/>
  <c r="O964" i="1"/>
  <c r="M964" i="1" s="1"/>
  <c r="N964" i="1"/>
  <c r="L964" i="1"/>
  <c r="O963" i="1"/>
  <c r="M963" i="1" s="1"/>
  <c r="N963" i="1"/>
  <c r="L963" i="1"/>
  <c r="O962" i="1"/>
  <c r="M962" i="1" s="1"/>
  <c r="N962" i="1"/>
  <c r="L962" i="1"/>
  <c r="O961" i="1"/>
  <c r="N961" i="1"/>
  <c r="M961" i="1"/>
  <c r="L961" i="1"/>
  <c r="O960" i="1"/>
  <c r="M960" i="1" s="1"/>
  <c r="N960" i="1"/>
  <c r="L960" i="1"/>
  <c r="O959" i="1"/>
  <c r="N959" i="1"/>
  <c r="M959" i="1"/>
  <c r="L959" i="1"/>
  <c r="O958" i="1"/>
  <c r="M958" i="1" s="1"/>
  <c r="N958" i="1"/>
  <c r="L958" i="1"/>
  <c r="O957" i="1"/>
  <c r="M957" i="1" s="1"/>
  <c r="N957" i="1"/>
  <c r="L957" i="1"/>
  <c r="O956" i="1"/>
  <c r="M956" i="1" s="1"/>
  <c r="N956" i="1"/>
  <c r="L956" i="1"/>
  <c r="O955" i="1"/>
  <c r="M955" i="1" s="1"/>
  <c r="N955" i="1"/>
  <c r="L955" i="1"/>
  <c r="O954" i="1"/>
  <c r="M954" i="1" s="1"/>
  <c r="N954" i="1"/>
  <c r="L954" i="1"/>
  <c r="O953" i="1"/>
  <c r="M953" i="1" s="1"/>
  <c r="N953" i="1"/>
  <c r="L953" i="1"/>
  <c r="O952" i="1"/>
  <c r="M952" i="1" s="1"/>
  <c r="N952" i="1"/>
  <c r="L952" i="1"/>
  <c r="O951" i="1"/>
  <c r="M951" i="1" s="1"/>
  <c r="N951" i="1"/>
  <c r="L951" i="1"/>
  <c r="O950" i="1"/>
  <c r="M950" i="1" s="1"/>
  <c r="N950" i="1"/>
  <c r="L950" i="1"/>
  <c r="O949" i="1"/>
  <c r="M949" i="1" s="1"/>
  <c r="N949" i="1"/>
  <c r="L949" i="1"/>
  <c r="O948" i="1"/>
  <c r="M948" i="1" s="1"/>
  <c r="N948" i="1"/>
  <c r="L948" i="1"/>
  <c r="O947" i="1"/>
  <c r="M947" i="1" s="1"/>
  <c r="N947" i="1"/>
  <c r="L947" i="1"/>
  <c r="O946" i="1"/>
  <c r="M946" i="1" s="1"/>
  <c r="N946" i="1"/>
  <c r="L946" i="1"/>
  <c r="O945" i="1"/>
  <c r="M945" i="1" s="1"/>
  <c r="N945" i="1"/>
  <c r="L945" i="1"/>
  <c r="O944" i="1"/>
  <c r="M944" i="1" s="1"/>
  <c r="N944" i="1"/>
  <c r="L944" i="1"/>
  <c r="O943" i="1"/>
  <c r="M943" i="1" s="1"/>
  <c r="N943" i="1"/>
  <c r="L943" i="1"/>
  <c r="O942" i="1"/>
  <c r="M942" i="1" s="1"/>
  <c r="N942" i="1"/>
  <c r="L942" i="1"/>
  <c r="O941" i="1"/>
  <c r="N941" i="1"/>
  <c r="M941" i="1"/>
  <c r="L941" i="1"/>
  <c r="O940" i="1"/>
  <c r="M940" i="1" s="1"/>
  <c r="N940" i="1"/>
  <c r="L940" i="1"/>
  <c r="O939" i="1"/>
  <c r="M939" i="1" s="1"/>
  <c r="N939" i="1"/>
  <c r="L939" i="1"/>
  <c r="O938" i="1"/>
  <c r="M938" i="1" s="1"/>
  <c r="N938" i="1"/>
  <c r="L938" i="1"/>
  <c r="O937" i="1"/>
  <c r="M937" i="1" s="1"/>
  <c r="N937" i="1"/>
  <c r="L937" i="1"/>
  <c r="O936" i="1"/>
  <c r="M936" i="1" s="1"/>
  <c r="N936" i="1"/>
  <c r="L936" i="1"/>
  <c r="O935" i="1"/>
  <c r="M935" i="1" s="1"/>
  <c r="N935" i="1"/>
  <c r="L935" i="1"/>
  <c r="O934" i="1"/>
  <c r="M934" i="1" s="1"/>
  <c r="N934" i="1"/>
  <c r="L934" i="1"/>
  <c r="O933" i="1"/>
  <c r="M933" i="1" s="1"/>
  <c r="N933" i="1"/>
  <c r="L933" i="1"/>
  <c r="O932" i="1"/>
  <c r="M932" i="1" s="1"/>
  <c r="N932" i="1"/>
  <c r="L932" i="1"/>
  <c r="O931" i="1"/>
  <c r="M931" i="1" s="1"/>
  <c r="N931" i="1"/>
  <c r="L931" i="1"/>
  <c r="O930" i="1"/>
  <c r="M930" i="1" s="1"/>
  <c r="N930" i="1"/>
  <c r="L930" i="1"/>
  <c r="O929" i="1"/>
  <c r="N929" i="1"/>
  <c r="M929" i="1"/>
  <c r="L929" i="1"/>
  <c r="O928" i="1"/>
  <c r="M928" i="1" s="1"/>
  <c r="N928" i="1"/>
  <c r="L928" i="1"/>
  <c r="O927" i="1"/>
  <c r="M927" i="1" s="1"/>
  <c r="N927" i="1"/>
  <c r="L927" i="1"/>
  <c r="O926" i="1"/>
  <c r="M926" i="1" s="1"/>
  <c r="N926" i="1"/>
  <c r="L926" i="1"/>
  <c r="O925" i="1"/>
  <c r="N925" i="1"/>
  <c r="M925" i="1"/>
  <c r="L925" i="1"/>
  <c r="O924" i="1"/>
  <c r="M924" i="1" s="1"/>
  <c r="N924" i="1"/>
  <c r="L924" i="1"/>
  <c r="O923" i="1"/>
  <c r="M923" i="1" s="1"/>
  <c r="N923" i="1"/>
  <c r="L923" i="1"/>
  <c r="O922" i="1"/>
  <c r="M922" i="1" s="1"/>
  <c r="N922" i="1"/>
  <c r="L922" i="1"/>
  <c r="O921" i="1"/>
  <c r="M921" i="1" s="1"/>
  <c r="N921" i="1"/>
  <c r="L921" i="1"/>
  <c r="O920" i="1"/>
  <c r="M920" i="1" s="1"/>
  <c r="N920" i="1"/>
  <c r="L920" i="1"/>
  <c r="O919" i="1"/>
  <c r="M919" i="1" s="1"/>
  <c r="N919" i="1"/>
  <c r="L919" i="1"/>
  <c r="O918" i="1"/>
  <c r="M918" i="1" s="1"/>
  <c r="N918" i="1"/>
  <c r="L918" i="1"/>
  <c r="O917" i="1"/>
  <c r="M917" i="1" s="1"/>
  <c r="N917" i="1"/>
  <c r="L917" i="1"/>
  <c r="O916" i="1"/>
  <c r="M916" i="1" s="1"/>
  <c r="N916" i="1"/>
  <c r="L916" i="1"/>
  <c r="O915" i="1"/>
  <c r="M915" i="1" s="1"/>
  <c r="N915" i="1"/>
  <c r="L915" i="1"/>
  <c r="O914" i="1"/>
  <c r="M914" i="1" s="1"/>
  <c r="N914" i="1"/>
  <c r="L914" i="1"/>
  <c r="O913" i="1"/>
  <c r="M913" i="1" s="1"/>
  <c r="N913" i="1"/>
  <c r="L913" i="1"/>
  <c r="O912" i="1"/>
  <c r="M912" i="1" s="1"/>
  <c r="N912" i="1"/>
  <c r="L912" i="1"/>
  <c r="O911" i="1"/>
  <c r="M911" i="1" s="1"/>
  <c r="N911" i="1"/>
  <c r="L911" i="1"/>
  <c r="O910" i="1"/>
  <c r="M910" i="1" s="1"/>
  <c r="N910" i="1"/>
  <c r="L910" i="1"/>
  <c r="O909" i="1"/>
  <c r="M909" i="1" s="1"/>
  <c r="N909" i="1"/>
  <c r="L909" i="1"/>
  <c r="O908" i="1"/>
  <c r="M908" i="1" s="1"/>
  <c r="N908" i="1"/>
  <c r="L908" i="1"/>
  <c r="O907" i="1"/>
  <c r="M907" i="1" s="1"/>
  <c r="N907" i="1"/>
  <c r="L907" i="1"/>
  <c r="O906" i="1"/>
  <c r="M906" i="1" s="1"/>
  <c r="N906" i="1"/>
  <c r="L906" i="1"/>
  <c r="O905" i="1"/>
  <c r="M905" i="1" s="1"/>
  <c r="N905" i="1"/>
  <c r="L905" i="1"/>
  <c r="O904" i="1"/>
  <c r="M904" i="1" s="1"/>
  <c r="N904" i="1"/>
  <c r="L904" i="1"/>
  <c r="O903" i="1"/>
  <c r="M903" i="1" s="1"/>
  <c r="N903" i="1"/>
  <c r="L903" i="1"/>
  <c r="O902" i="1"/>
  <c r="M902" i="1" s="1"/>
  <c r="N902" i="1"/>
  <c r="L902" i="1"/>
  <c r="O901" i="1"/>
  <c r="M901" i="1" s="1"/>
  <c r="N901" i="1"/>
  <c r="L901" i="1"/>
  <c r="O900" i="1"/>
  <c r="M900" i="1" s="1"/>
  <c r="N900" i="1"/>
  <c r="L900" i="1"/>
  <c r="O899" i="1"/>
  <c r="M899" i="1" s="1"/>
  <c r="N899" i="1"/>
  <c r="L899" i="1"/>
  <c r="O898" i="1"/>
  <c r="M898" i="1" s="1"/>
  <c r="N898" i="1"/>
  <c r="L898" i="1"/>
  <c r="O897" i="1"/>
  <c r="N897" i="1"/>
  <c r="M897" i="1"/>
  <c r="L897" i="1"/>
  <c r="O896" i="1"/>
  <c r="M896" i="1" s="1"/>
  <c r="N896" i="1"/>
  <c r="L896" i="1"/>
  <c r="O895" i="1"/>
  <c r="M895" i="1" s="1"/>
  <c r="N895" i="1"/>
  <c r="L895" i="1"/>
  <c r="O894" i="1"/>
  <c r="M894" i="1" s="1"/>
  <c r="N894" i="1"/>
  <c r="L894" i="1"/>
  <c r="O893" i="1"/>
  <c r="N893" i="1"/>
  <c r="M893" i="1"/>
  <c r="L893" i="1"/>
  <c r="O892" i="1"/>
  <c r="M892" i="1" s="1"/>
  <c r="N892" i="1"/>
  <c r="L892" i="1"/>
  <c r="O891" i="1"/>
  <c r="M891" i="1" s="1"/>
  <c r="N891" i="1"/>
  <c r="L891" i="1"/>
  <c r="O890" i="1"/>
  <c r="M890" i="1" s="1"/>
  <c r="N890" i="1"/>
  <c r="L890" i="1"/>
  <c r="O889" i="1"/>
  <c r="M889" i="1" s="1"/>
  <c r="N889" i="1"/>
  <c r="L889" i="1"/>
  <c r="O888" i="1"/>
  <c r="M888" i="1" s="1"/>
  <c r="N888" i="1"/>
  <c r="L888" i="1"/>
  <c r="O887" i="1"/>
  <c r="M887" i="1" s="1"/>
  <c r="N887" i="1"/>
  <c r="L887" i="1"/>
  <c r="O886" i="1"/>
  <c r="M886" i="1" s="1"/>
  <c r="N886" i="1"/>
  <c r="L886" i="1"/>
  <c r="O885" i="1"/>
  <c r="M885" i="1" s="1"/>
  <c r="N885" i="1"/>
  <c r="L885" i="1"/>
  <c r="O884" i="1"/>
  <c r="M884" i="1" s="1"/>
  <c r="N884" i="1"/>
  <c r="L884" i="1"/>
  <c r="O883" i="1"/>
  <c r="M883" i="1" s="1"/>
  <c r="N883" i="1"/>
  <c r="L883" i="1"/>
  <c r="O882" i="1"/>
  <c r="M882" i="1" s="1"/>
  <c r="N882" i="1"/>
  <c r="L882" i="1"/>
  <c r="O881" i="1"/>
  <c r="M881" i="1" s="1"/>
  <c r="N881" i="1"/>
  <c r="L881" i="1"/>
  <c r="O880" i="1"/>
  <c r="M880" i="1" s="1"/>
  <c r="N880" i="1"/>
  <c r="L880" i="1"/>
  <c r="O879" i="1"/>
  <c r="M879" i="1" s="1"/>
  <c r="N879" i="1"/>
  <c r="L879" i="1"/>
  <c r="O878" i="1"/>
  <c r="M878" i="1" s="1"/>
  <c r="N878" i="1"/>
  <c r="L878" i="1"/>
  <c r="O877" i="1"/>
  <c r="N877" i="1"/>
  <c r="M877" i="1"/>
  <c r="L877" i="1"/>
  <c r="O876" i="1"/>
  <c r="M876" i="1" s="1"/>
  <c r="N876" i="1"/>
  <c r="L876" i="1"/>
  <c r="O875" i="1"/>
  <c r="M875" i="1" s="1"/>
  <c r="N875" i="1"/>
  <c r="L875" i="1"/>
  <c r="O874" i="1"/>
  <c r="M874" i="1" s="1"/>
  <c r="N874" i="1"/>
  <c r="L874" i="1"/>
  <c r="O873" i="1"/>
  <c r="M873" i="1" s="1"/>
  <c r="N873" i="1"/>
  <c r="L873" i="1"/>
  <c r="O872" i="1"/>
  <c r="M872" i="1" s="1"/>
  <c r="N872" i="1"/>
  <c r="L872" i="1"/>
  <c r="O871" i="1"/>
  <c r="M871" i="1" s="1"/>
  <c r="N871" i="1"/>
  <c r="L871" i="1"/>
  <c r="O870" i="1"/>
  <c r="M870" i="1" s="1"/>
  <c r="N870" i="1"/>
  <c r="L870" i="1"/>
  <c r="O869" i="1"/>
  <c r="M869" i="1" s="1"/>
  <c r="N869" i="1"/>
  <c r="L869" i="1"/>
  <c r="O868" i="1"/>
  <c r="M868" i="1" s="1"/>
  <c r="N868" i="1"/>
  <c r="L868" i="1"/>
  <c r="O867" i="1"/>
  <c r="M867" i="1" s="1"/>
  <c r="N867" i="1"/>
  <c r="L867" i="1"/>
  <c r="O866" i="1"/>
  <c r="M866" i="1" s="1"/>
  <c r="N866" i="1"/>
  <c r="L866" i="1"/>
  <c r="O865" i="1"/>
  <c r="N865" i="1"/>
  <c r="M865" i="1"/>
  <c r="L865" i="1"/>
  <c r="O864" i="1"/>
  <c r="M864" i="1" s="1"/>
  <c r="N864" i="1"/>
  <c r="L864" i="1"/>
  <c r="O863" i="1"/>
  <c r="M863" i="1" s="1"/>
  <c r="N863" i="1"/>
  <c r="L863" i="1"/>
  <c r="O862" i="1"/>
  <c r="M862" i="1" s="1"/>
  <c r="N862" i="1"/>
  <c r="L862" i="1"/>
  <c r="O861" i="1"/>
  <c r="N861" i="1"/>
  <c r="M861" i="1"/>
  <c r="L861" i="1"/>
  <c r="O860" i="1"/>
  <c r="M860" i="1" s="1"/>
  <c r="N860" i="1"/>
  <c r="L860" i="1"/>
  <c r="O859" i="1"/>
  <c r="M859" i="1" s="1"/>
  <c r="N859" i="1"/>
  <c r="L859" i="1"/>
  <c r="O858" i="1"/>
  <c r="M858" i="1" s="1"/>
  <c r="N858" i="1"/>
  <c r="L858" i="1"/>
  <c r="O857" i="1"/>
  <c r="M857" i="1" s="1"/>
  <c r="N857" i="1"/>
  <c r="L857" i="1"/>
  <c r="O856" i="1"/>
  <c r="M856" i="1" s="1"/>
  <c r="N856" i="1"/>
  <c r="L856" i="1"/>
  <c r="O855" i="1"/>
  <c r="M855" i="1" s="1"/>
  <c r="N855" i="1"/>
  <c r="L855" i="1"/>
  <c r="O854" i="1"/>
  <c r="M854" i="1" s="1"/>
  <c r="N854" i="1"/>
  <c r="L854" i="1"/>
  <c r="O853" i="1"/>
  <c r="N853" i="1"/>
  <c r="M853" i="1"/>
  <c r="L853" i="1"/>
  <c r="O852" i="1"/>
  <c r="M852" i="1" s="1"/>
  <c r="N852" i="1"/>
  <c r="L852" i="1"/>
  <c r="O851" i="1"/>
  <c r="M851" i="1" s="1"/>
  <c r="N851" i="1"/>
  <c r="L851" i="1"/>
  <c r="O850" i="1"/>
  <c r="M850" i="1" s="1"/>
  <c r="N850" i="1"/>
  <c r="L850" i="1"/>
  <c r="O849" i="1"/>
  <c r="M849" i="1" s="1"/>
  <c r="N849" i="1"/>
  <c r="L849" i="1"/>
  <c r="O848" i="1"/>
  <c r="M848" i="1" s="1"/>
  <c r="N848" i="1"/>
  <c r="L848" i="1"/>
  <c r="O847" i="1"/>
  <c r="M847" i="1" s="1"/>
  <c r="N847" i="1"/>
  <c r="L847" i="1"/>
  <c r="O846" i="1"/>
  <c r="M846" i="1" s="1"/>
  <c r="N846" i="1"/>
  <c r="L846" i="1"/>
  <c r="O845" i="1"/>
  <c r="N845" i="1"/>
  <c r="M845" i="1"/>
  <c r="L845" i="1"/>
  <c r="O844" i="1"/>
  <c r="M844" i="1" s="1"/>
  <c r="N844" i="1"/>
  <c r="L844" i="1"/>
  <c r="O843" i="1"/>
  <c r="M843" i="1" s="1"/>
  <c r="N843" i="1"/>
  <c r="L843" i="1"/>
  <c r="O842" i="1"/>
  <c r="M842" i="1" s="1"/>
  <c r="N842" i="1"/>
  <c r="L842" i="1"/>
  <c r="O841" i="1"/>
  <c r="M841" i="1" s="1"/>
  <c r="N841" i="1"/>
  <c r="L841" i="1"/>
  <c r="O840" i="1"/>
  <c r="M840" i="1" s="1"/>
  <c r="N840" i="1"/>
  <c r="L840" i="1"/>
  <c r="O839" i="1"/>
  <c r="M839" i="1" s="1"/>
  <c r="N839" i="1"/>
  <c r="L839" i="1"/>
  <c r="O838" i="1"/>
  <c r="M838" i="1" s="1"/>
  <c r="N838" i="1"/>
  <c r="L838" i="1"/>
  <c r="O837" i="1"/>
  <c r="M837" i="1" s="1"/>
  <c r="N837" i="1"/>
  <c r="L837" i="1"/>
  <c r="O836" i="1"/>
  <c r="M836" i="1" s="1"/>
  <c r="N836" i="1"/>
  <c r="L836" i="1"/>
  <c r="O835" i="1"/>
  <c r="M835" i="1" s="1"/>
  <c r="N835" i="1"/>
  <c r="L835" i="1"/>
  <c r="O834" i="1"/>
  <c r="M834" i="1" s="1"/>
  <c r="N834" i="1"/>
  <c r="L834" i="1"/>
  <c r="O833" i="1"/>
  <c r="N833" i="1"/>
  <c r="M833" i="1"/>
  <c r="L833" i="1"/>
  <c r="O832" i="1"/>
  <c r="M832" i="1" s="1"/>
  <c r="N832" i="1"/>
  <c r="L832" i="1"/>
  <c r="O831" i="1"/>
  <c r="M831" i="1" s="1"/>
  <c r="N831" i="1"/>
  <c r="L831" i="1"/>
  <c r="O830" i="1"/>
  <c r="M830" i="1" s="1"/>
  <c r="N830" i="1"/>
  <c r="L830" i="1"/>
  <c r="O829" i="1"/>
  <c r="N829" i="1"/>
  <c r="M829" i="1"/>
  <c r="L829" i="1"/>
  <c r="O828" i="1"/>
  <c r="M828" i="1" s="1"/>
  <c r="N828" i="1"/>
  <c r="L828" i="1"/>
  <c r="O827" i="1"/>
  <c r="M827" i="1" s="1"/>
  <c r="N827" i="1"/>
  <c r="L827" i="1"/>
  <c r="O826" i="1"/>
  <c r="M826" i="1" s="1"/>
  <c r="N826" i="1"/>
  <c r="L826" i="1"/>
  <c r="O825" i="1"/>
  <c r="M825" i="1" s="1"/>
  <c r="N825" i="1"/>
  <c r="L825" i="1"/>
  <c r="O824" i="1"/>
  <c r="M824" i="1" s="1"/>
  <c r="N824" i="1"/>
  <c r="L824" i="1"/>
  <c r="O823" i="1"/>
  <c r="M823" i="1" s="1"/>
  <c r="N823" i="1"/>
  <c r="L823" i="1"/>
  <c r="O822" i="1"/>
  <c r="M822" i="1" s="1"/>
  <c r="N822" i="1"/>
  <c r="L822" i="1"/>
  <c r="O821" i="1"/>
  <c r="M821" i="1" s="1"/>
  <c r="N821" i="1"/>
  <c r="L821" i="1"/>
  <c r="O820" i="1"/>
  <c r="M820" i="1" s="1"/>
  <c r="N820" i="1"/>
  <c r="L820" i="1"/>
  <c r="O819" i="1"/>
  <c r="M819" i="1" s="1"/>
  <c r="N819" i="1"/>
  <c r="L819" i="1"/>
  <c r="O818" i="1"/>
  <c r="M818" i="1" s="1"/>
  <c r="N818" i="1"/>
  <c r="L818" i="1"/>
  <c r="O817" i="1"/>
  <c r="M817" i="1" s="1"/>
  <c r="N817" i="1"/>
  <c r="L817" i="1"/>
  <c r="O816" i="1"/>
  <c r="M816" i="1" s="1"/>
  <c r="N816" i="1"/>
  <c r="L816" i="1"/>
  <c r="O815" i="1"/>
  <c r="M815" i="1" s="1"/>
  <c r="N815" i="1"/>
  <c r="L815" i="1"/>
  <c r="O814" i="1"/>
  <c r="M814" i="1" s="1"/>
  <c r="N814" i="1"/>
  <c r="L814" i="1"/>
  <c r="O813" i="1"/>
  <c r="M813" i="1" s="1"/>
  <c r="N813" i="1"/>
  <c r="L813" i="1"/>
  <c r="O812" i="1"/>
  <c r="M812" i="1" s="1"/>
  <c r="N812" i="1"/>
  <c r="L812" i="1"/>
  <c r="O811" i="1"/>
  <c r="M811" i="1" s="1"/>
  <c r="N811" i="1"/>
  <c r="L811" i="1"/>
  <c r="O810" i="1"/>
  <c r="M810" i="1" s="1"/>
  <c r="N810" i="1"/>
  <c r="L810" i="1"/>
  <c r="O809" i="1"/>
  <c r="M809" i="1" s="1"/>
  <c r="N809" i="1"/>
  <c r="L809" i="1"/>
  <c r="O808" i="1"/>
  <c r="M808" i="1" s="1"/>
  <c r="N808" i="1"/>
  <c r="L808" i="1"/>
  <c r="O807" i="1"/>
  <c r="M807" i="1" s="1"/>
  <c r="N807" i="1"/>
  <c r="L807" i="1"/>
  <c r="O806" i="1"/>
  <c r="M806" i="1" s="1"/>
  <c r="N806" i="1"/>
  <c r="L806" i="1"/>
  <c r="O805" i="1"/>
  <c r="M805" i="1" s="1"/>
  <c r="N805" i="1"/>
  <c r="L805" i="1"/>
  <c r="O804" i="1"/>
  <c r="M804" i="1" s="1"/>
  <c r="N804" i="1"/>
  <c r="L804" i="1"/>
  <c r="O803" i="1"/>
  <c r="M803" i="1" s="1"/>
  <c r="N803" i="1"/>
  <c r="L803" i="1"/>
  <c r="O802" i="1"/>
  <c r="M802" i="1" s="1"/>
  <c r="N802" i="1"/>
  <c r="L802" i="1"/>
  <c r="O801" i="1"/>
  <c r="N801" i="1"/>
  <c r="M801" i="1"/>
  <c r="L801" i="1"/>
  <c r="O800" i="1"/>
  <c r="M800" i="1" s="1"/>
  <c r="N800" i="1"/>
  <c r="L800" i="1"/>
  <c r="O799" i="1"/>
  <c r="M799" i="1" s="1"/>
  <c r="N799" i="1"/>
  <c r="L799" i="1"/>
  <c r="O798" i="1"/>
  <c r="M798" i="1" s="1"/>
  <c r="N798" i="1"/>
  <c r="L798" i="1"/>
  <c r="O797" i="1"/>
  <c r="N797" i="1"/>
  <c r="M797" i="1"/>
  <c r="L797" i="1"/>
  <c r="O796" i="1"/>
  <c r="M796" i="1" s="1"/>
  <c r="N796" i="1"/>
  <c r="L796" i="1"/>
  <c r="O795" i="1"/>
  <c r="M795" i="1" s="1"/>
  <c r="N795" i="1"/>
  <c r="L795" i="1"/>
  <c r="O794" i="1"/>
  <c r="M794" i="1" s="1"/>
  <c r="N794" i="1"/>
  <c r="L794" i="1"/>
  <c r="O793" i="1"/>
  <c r="M793" i="1" s="1"/>
  <c r="N793" i="1"/>
  <c r="L793" i="1"/>
  <c r="O792" i="1"/>
  <c r="M792" i="1" s="1"/>
  <c r="N792" i="1"/>
  <c r="L792" i="1"/>
  <c r="O791" i="1"/>
  <c r="M791" i="1" s="1"/>
  <c r="N791" i="1"/>
  <c r="L791" i="1"/>
  <c r="O790" i="1"/>
  <c r="M790" i="1" s="1"/>
  <c r="N790" i="1"/>
  <c r="L790" i="1"/>
  <c r="O789" i="1"/>
  <c r="N789" i="1"/>
  <c r="M789" i="1"/>
  <c r="L789" i="1"/>
  <c r="O788" i="1"/>
  <c r="M788" i="1" s="1"/>
  <c r="N788" i="1"/>
  <c r="L788" i="1"/>
  <c r="O787" i="1"/>
  <c r="M787" i="1" s="1"/>
  <c r="N787" i="1"/>
  <c r="L787" i="1"/>
  <c r="O786" i="1"/>
  <c r="M786" i="1" s="1"/>
  <c r="N786" i="1"/>
  <c r="L786" i="1"/>
  <c r="O785" i="1"/>
  <c r="M785" i="1" s="1"/>
  <c r="N785" i="1"/>
  <c r="L785" i="1"/>
  <c r="O784" i="1"/>
  <c r="M784" i="1" s="1"/>
  <c r="N784" i="1"/>
  <c r="L784" i="1"/>
  <c r="O783" i="1"/>
  <c r="M783" i="1" s="1"/>
  <c r="N783" i="1"/>
  <c r="L783" i="1"/>
  <c r="O782" i="1"/>
  <c r="M782" i="1" s="1"/>
  <c r="N782" i="1"/>
  <c r="L782" i="1"/>
  <c r="O781" i="1"/>
  <c r="N781" i="1"/>
  <c r="M781" i="1"/>
  <c r="L781" i="1"/>
  <c r="O780" i="1"/>
  <c r="M780" i="1" s="1"/>
  <c r="N780" i="1"/>
  <c r="L780" i="1"/>
  <c r="O779" i="1"/>
  <c r="M779" i="1" s="1"/>
  <c r="N779" i="1"/>
  <c r="L779" i="1"/>
  <c r="O778" i="1"/>
  <c r="M778" i="1" s="1"/>
  <c r="N778" i="1"/>
  <c r="L778" i="1"/>
  <c r="O777" i="1"/>
  <c r="M777" i="1" s="1"/>
  <c r="N777" i="1"/>
  <c r="L777" i="1"/>
  <c r="O776" i="1"/>
  <c r="M776" i="1" s="1"/>
  <c r="N776" i="1"/>
  <c r="L776" i="1"/>
  <c r="O775" i="1"/>
  <c r="M775" i="1" s="1"/>
  <c r="N775" i="1"/>
  <c r="L775" i="1"/>
  <c r="O774" i="1"/>
  <c r="M774" i="1" s="1"/>
  <c r="N774" i="1"/>
  <c r="L774" i="1"/>
  <c r="O773" i="1"/>
  <c r="M773" i="1" s="1"/>
  <c r="N773" i="1"/>
  <c r="L773" i="1"/>
  <c r="O772" i="1"/>
  <c r="M772" i="1" s="1"/>
  <c r="N772" i="1"/>
  <c r="L772" i="1"/>
  <c r="O771" i="1"/>
  <c r="M771" i="1" s="1"/>
  <c r="N771" i="1"/>
  <c r="L771" i="1"/>
  <c r="O770" i="1"/>
  <c r="M770" i="1" s="1"/>
  <c r="N770" i="1"/>
  <c r="L770" i="1"/>
  <c r="O769" i="1"/>
  <c r="N769" i="1"/>
  <c r="M769" i="1"/>
  <c r="L769" i="1"/>
  <c r="O768" i="1"/>
  <c r="M768" i="1" s="1"/>
  <c r="N768" i="1"/>
  <c r="L768" i="1"/>
  <c r="O767" i="1"/>
  <c r="M767" i="1" s="1"/>
  <c r="N767" i="1"/>
  <c r="L767" i="1"/>
  <c r="O766" i="1"/>
  <c r="M766" i="1" s="1"/>
  <c r="N766" i="1"/>
  <c r="L766" i="1"/>
  <c r="O765" i="1"/>
  <c r="N765" i="1"/>
  <c r="M765" i="1"/>
  <c r="L765" i="1"/>
  <c r="O764" i="1"/>
  <c r="M764" i="1" s="1"/>
  <c r="N764" i="1"/>
  <c r="L764" i="1"/>
  <c r="O763" i="1"/>
  <c r="M763" i="1" s="1"/>
  <c r="N763" i="1"/>
  <c r="L763" i="1"/>
  <c r="O762" i="1"/>
  <c r="M762" i="1" s="1"/>
  <c r="N762" i="1"/>
  <c r="L762" i="1"/>
  <c r="O761" i="1"/>
  <c r="M761" i="1" s="1"/>
  <c r="N761" i="1"/>
  <c r="L761" i="1"/>
  <c r="O760" i="1"/>
  <c r="M760" i="1" s="1"/>
  <c r="N760" i="1"/>
  <c r="L760" i="1"/>
  <c r="O759" i="1"/>
  <c r="M759" i="1" s="1"/>
  <c r="N759" i="1"/>
  <c r="L759" i="1"/>
  <c r="O758" i="1"/>
  <c r="M758" i="1" s="1"/>
  <c r="N758" i="1"/>
  <c r="L758" i="1"/>
  <c r="O757" i="1"/>
  <c r="M757" i="1" s="1"/>
  <c r="N757" i="1"/>
  <c r="L757" i="1"/>
  <c r="O756" i="1"/>
  <c r="M756" i="1" s="1"/>
  <c r="N756" i="1"/>
  <c r="L756" i="1"/>
  <c r="O755" i="1"/>
  <c r="M755" i="1" s="1"/>
  <c r="N755" i="1"/>
  <c r="L755" i="1"/>
  <c r="O754" i="1"/>
  <c r="M754" i="1" s="1"/>
  <c r="N754" i="1"/>
  <c r="L754" i="1"/>
  <c r="O753" i="1"/>
  <c r="M753" i="1" s="1"/>
  <c r="N753" i="1"/>
  <c r="L753" i="1"/>
  <c r="O752" i="1"/>
  <c r="M752" i="1" s="1"/>
  <c r="N752" i="1"/>
  <c r="L752" i="1"/>
  <c r="O751" i="1"/>
  <c r="M751" i="1" s="1"/>
  <c r="N751" i="1"/>
  <c r="L751" i="1"/>
  <c r="O750" i="1"/>
  <c r="M750" i="1" s="1"/>
  <c r="N750" i="1"/>
  <c r="L750" i="1"/>
  <c r="O749" i="1"/>
  <c r="M749" i="1" s="1"/>
  <c r="N749" i="1"/>
  <c r="L749" i="1"/>
  <c r="O748" i="1"/>
  <c r="M748" i="1" s="1"/>
  <c r="N748" i="1"/>
  <c r="L748" i="1"/>
  <c r="O747" i="1"/>
  <c r="M747" i="1" s="1"/>
  <c r="N747" i="1"/>
  <c r="L747" i="1"/>
  <c r="O746" i="1"/>
  <c r="M746" i="1" s="1"/>
  <c r="N746" i="1"/>
  <c r="L746" i="1"/>
  <c r="O745" i="1"/>
  <c r="M745" i="1" s="1"/>
  <c r="N745" i="1"/>
  <c r="L745" i="1"/>
  <c r="O744" i="1"/>
  <c r="M744" i="1" s="1"/>
  <c r="N744" i="1"/>
  <c r="L744" i="1"/>
  <c r="O743" i="1"/>
  <c r="M743" i="1" s="1"/>
  <c r="N743" i="1"/>
  <c r="L743" i="1"/>
  <c r="O742" i="1"/>
  <c r="M742" i="1" s="1"/>
  <c r="N742" i="1"/>
  <c r="L742" i="1"/>
  <c r="O741" i="1"/>
  <c r="M741" i="1" s="1"/>
  <c r="N741" i="1"/>
  <c r="L741" i="1"/>
  <c r="O740" i="1"/>
  <c r="M740" i="1" s="1"/>
  <c r="N740" i="1"/>
  <c r="L740" i="1"/>
  <c r="O739" i="1"/>
  <c r="M739" i="1" s="1"/>
  <c r="N739" i="1"/>
  <c r="L739" i="1"/>
  <c r="O738" i="1"/>
  <c r="M738" i="1" s="1"/>
  <c r="N738" i="1"/>
  <c r="L738" i="1"/>
  <c r="O737" i="1"/>
  <c r="N737" i="1"/>
  <c r="M737" i="1"/>
  <c r="L737" i="1"/>
  <c r="O736" i="1"/>
  <c r="M736" i="1" s="1"/>
  <c r="N736" i="1"/>
  <c r="L736" i="1"/>
  <c r="O735" i="1"/>
  <c r="M735" i="1" s="1"/>
  <c r="N735" i="1"/>
  <c r="L735" i="1"/>
  <c r="O734" i="1"/>
  <c r="M734" i="1" s="1"/>
  <c r="N734" i="1"/>
  <c r="L734" i="1"/>
  <c r="O733" i="1"/>
  <c r="N733" i="1"/>
  <c r="M733" i="1"/>
  <c r="L733" i="1"/>
  <c r="O732" i="1"/>
  <c r="M732" i="1" s="1"/>
  <c r="N732" i="1"/>
  <c r="L732" i="1"/>
  <c r="O731" i="1"/>
  <c r="M731" i="1" s="1"/>
  <c r="N731" i="1"/>
  <c r="L731" i="1"/>
  <c r="O730" i="1"/>
  <c r="M730" i="1" s="1"/>
  <c r="N730" i="1"/>
  <c r="L730" i="1"/>
  <c r="O729" i="1"/>
  <c r="M729" i="1" s="1"/>
  <c r="N729" i="1"/>
  <c r="L729" i="1"/>
  <c r="O728" i="1"/>
  <c r="M728" i="1" s="1"/>
  <c r="N728" i="1"/>
  <c r="L728" i="1"/>
  <c r="O727" i="1"/>
  <c r="M727" i="1" s="1"/>
  <c r="N727" i="1"/>
  <c r="L727" i="1"/>
  <c r="O726" i="1"/>
  <c r="M726" i="1" s="1"/>
  <c r="N726" i="1"/>
  <c r="L726" i="1"/>
  <c r="O725" i="1"/>
  <c r="M725" i="1" s="1"/>
  <c r="N725" i="1"/>
  <c r="L725" i="1"/>
  <c r="O724" i="1"/>
  <c r="M724" i="1" s="1"/>
  <c r="N724" i="1"/>
  <c r="L724" i="1"/>
  <c r="O723" i="1"/>
  <c r="M723" i="1" s="1"/>
  <c r="N723" i="1"/>
  <c r="L723" i="1"/>
  <c r="O722" i="1"/>
  <c r="M722" i="1" s="1"/>
  <c r="N722" i="1"/>
  <c r="L722" i="1"/>
  <c r="O721" i="1"/>
  <c r="N721" i="1"/>
  <c r="M721" i="1"/>
  <c r="L721" i="1"/>
  <c r="O720" i="1"/>
  <c r="M720" i="1" s="1"/>
  <c r="N720" i="1"/>
  <c r="L720" i="1"/>
  <c r="O719" i="1"/>
  <c r="N719" i="1"/>
  <c r="M719" i="1"/>
  <c r="L719" i="1"/>
  <c r="O718" i="1"/>
  <c r="M718" i="1" s="1"/>
  <c r="N718" i="1"/>
  <c r="L718" i="1"/>
  <c r="O717" i="1"/>
  <c r="M717" i="1" s="1"/>
  <c r="N717" i="1"/>
  <c r="L717" i="1"/>
  <c r="O716" i="1"/>
  <c r="M716" i="1" s="1"/>
  <c r="N716" i="1"/>
  <c r="L716" i="1"/>
  <c r="O715" i="1"/>
  <c r="M715" i="1" s="1"/>
  <c r="N715" i="1"/>
  <c r="L715" i="1"/>
  <c r="O714" i="1"/>
  <c r="M714" i="1" s="1"/>
  <c r="N714" i="1"/>
  <c r="L714" i="1"/>
  <c r="O713" i="1"/>
  <c r="M713" i="1" s="1"/>
  <c r="N713" i="1"/>
  <c r="L713" i="1"/>
  <c r="O712" i="1"/>
  <c r="M712" i="1" s="1"/>
  <c r="N712" i="1"/>
  <c r="L712" i="1"/>
  <c r="O711" i="1"/>
  <c r="M711" i="1" s="1"/>
  <c r="N711" i="1"/>
  <c r="L711" i="1"/>
  <c r="O710" i="1"/>
  <c r="M710" i="1" s="1"/>
  <c r="N710" i="1"/>
  <c r="L710" i="1"/>
  <c r="O709" i="1"/>
  <c r="N709" i="1"/>
  <c r="M709" i="1"/>
  <c r="L709" i="1"/>
  <c r="O708" i="1"/>
  <c r="M708" i="1" s="1"/>
  <c r="N708" i="1"/>
  <c r="L708" i="1"/>
  <c r="O707" i="1"/>
  <c r="M707" i="1" s="1"/>
  <c r="N707" i="1"/>
  <c r="L707" i="1"/>
  <c r="O706" i="1"/>
  <c r="M706" i="1" s="1"/>
  <c r="N706" i="1"/>
  <c r="L706" i="1"/>
  <c r="O705" i="1"/>
  <c r="M705" i="1" s="1"/>
  <c r="N705" i="1"/>
  <c r="L705" i="1"/>
  <c r="O704" i="1"/>
  <c r="M704" i="1" s="1"/>
  <c r="N704" i="1"/>
  <c r="L704" i="1"/>
  <c r="O703" i="1"/>
  <c r="M703" i="1" s="1"/>
  <c r="N703" i="1"/>
  <c r="L703" i="1"/>
  <c r="O702" i="1"/>
  <c r="M702" i="1" s="1"/>
  <c r="N702" i="1"/>
  <c r="L702" i="1"/>
  <c r="O701" i="1"/>
  <c r="M701" i="1" s="1"/>
  <c r="N701" i="1"/>
  <c r="L701" i="1"/>
  <c r="O700" i="1"/>
  <c r="M700" i="1" s="1"/>
  <c r="N700" i="1"/>
  <c r="L700" i="1"/>
  <c r="O699" i="1"/>
  <c r="M699" i="1" s="1"/>
  <c r="N699" i="1"/>
  <c r="L699" i="1"/>
  <c r="O698" i="1"/>
  <c r="M698" i="1" s="1"/>
  <c r="N698" i="1"/>
  <c r="L698" i="1"/>
  <c r="O697" i="1"/>
  <c r="M697" i="1" s="1"/>
  <c r="N697" i="1"/>
  <c r="L697" i="1"/>
  <c r="O696" i="1"/>
  <c r="M696" i="1" s="1"/>
  <c r="N696" i="1"/>
  <c r="L696" i="1"/>
  <c r="O695" i="1"/>
  <c r="M695" i="1" s="1"/>
  <c r="N695" i="1"/>
  <c r="L695" i="1"/>
  <c r="O694" i="1"/>
  <c r="M694" i="1" s="1"/>
  <c r="N694" i="1"/>
  <c r="L694" i="1"/>
  <c r="O693" i="1"/>
  <c r="M693" i="1" s="1"/>
  <c r="N693" i="1"/>
  <c r="L693" i="1"/>
  <c r="O692" i="1"/>
  <c r="M692" i="1" s="1"/>
  <c r="N692" i="1"/>
  <c r="L692" i="1"/>
  <c r="O691" i="1"/>
  <c r="M691" i="1" s="1"/>
  <c r="N691" i="1"/>
  <c r="L691" i="1"/>
  <c r="O690" i="1"/>
  <c r="M690" i="1" s="1"/>
  <c r="N690" i="1"/>
  <c r="L690" i="1"/>
  <c r="O689" i="1"/>
  <c r="N689" i="1"/>
  <c r="M689" i="1"/>
  <c r="L689" i="1"/>
  <c r="O688" i="1"/>
  <c r="M688" i="1" s="1"/>
  <c r="N688" i="1"/>
  <c r="L688" i="1"/>
  <c r="O687" i="1"/>
  <c r="M687" i="1" s="1"/>
  <c r="N687" i="1"/>
  <c r="L687" i="1"/>
  <c r="O686" i="1"/>
  <c r="M686" i="1" s="1"/>
  <c r="N686" i="1"/>
  <c r="L686" i="1"/>
  <c r="O685" i="1"/>
  <c r="M685" i="1" s="1"/>
  <c r="N685" i="1"/>
  <c r="L685" i="1"/>
  <c r="O684" i="1"/>
  <c r="M684" i="1" s="1"/>
  <c r="N684" i="1"/>
  <c r="L684" i="1"/>
  <c r="O683" i="1"/>
  <c r="M683" i="1" s="1"/>
  <c r="N683" i="1"/>
  <c r="L683" i="1"/>
  <c r="O682" i="1"/>
  <c r="M682" i="1" s="1"/>
  <c r="N682" i="1"/>
  <c r="L682" i="1"/>
  <c r="O681" i="1"/>
  <c r="M681" i="1" s="1"/>
  <c r="N681" i="1"/>
  <c r="L681" i="1"/>
  <c r="O680" i="1"/>
  <c r="M680" i="1" s="1"/>
  <c r="N680" i="1"/>
  <c r="L680" i="1"/>
  <c r="O679" i="1"/>
  <c r="M679" i="1" s="1"/>
  <c r="N679" i="1"/>
  <c r="L679" i="1"/>
  <c r="O678" i="1"/>
  <c r="M678" i="1" s="1"/>
  <c r="N678" i="1"/>
  <c r="L678" i="1"/>
  <c r="O677" i="1"/>
  <c r="M677" i="1" s="1"/>
  <c r="N677" i="1"/>
  <c r="L677" i="1"/>
  <c r="O676" i="1"/>
  <c r="M676" i="1" s="1"/>
  <c r="N676" i="1"/>
  <c r="L676" i="1"/>
  <c r="O675" i="1"/>
  <c r="M675" i="1" s="1"/>
  <c r="N675" i="1"/>
  <c r="L675" i="1"/>
  <c r="O674" i="1"/>
  <c r="M674" i="1" s="1"/>
  <c r="N674" i="1"/>
  <c r="L674" i="1"/>
  <c r="O673" i="1"/>
  <c r="M673" i="1" s="1"/>
  <c r="N673" i="1"/>
  <c r="L673" i="1"/>
  <c r="O672" i="1"/>
  <c r="M672" i="1" s="1"/>
  <c r="N672" i="1"/>
  <c r="L672" i="1"/>
  <c r="O671" i="1"/>
  <c r="M671" i="1" s="1"/>
  <c r="N671" i="1"/>
  <c r="L671" i="1"/>
  <c r="O670" i="1"/>
  <c r="M670" i="1" s="1"/>
  <c r="N670" i="1"/>
  <c r="L670" i="1"/>
  <c r="O669" i="1"/>
  <c r="M669" i="1" s="1"/>
  <c r="N669" i="1"/>
  <c r="L669" i="1"/>
  <c r="O668" i="1"/>
  <c r="M668" i="1" s="1"/>
  <c r="N668" i="1"/>
  <c r="L668" i="1"/>
  <c r="O667" i="1"/>
  <c r="M667" i="1" s="1"/>
  <c r="N667" i="1"/>
  <c r="L667" i="1"/>
  <c r="O666" i="1"/>
  <c r="M666" i="1" s="1"/>
  <c r="N666" i="1"/>
  <c r="L666" i="1"/>
  <c r="O665" i="1"/>
  <c r="M665" i="1" s="1"/>
  <c r="N665" i="1"/>
  <c r="L665" i="1"/>
  <c r="O664" i="1"/>
  <c r="M664" i="1" s="1"/>
  <c r="N664" i="1"/>
  <c r="L664" i="1"/>
  <c r="O663" i="1"/>
  <c r="M663" i="1" s="1"/>
  <c r="N663" i="1"/>
  <c r="L663" i="1"/>
  <c r="O662" i="1"/>
  <c r="M662" i="1" s="1"/>
  <c r="N662" i="1"/>
  <c r="L662" i="1"/>
  <c r="O661" i="1"/>
  <c r="M661" i="1" s="1"/>
  <c r="N661" i="1"/>
  <c r="L661" i="1"/>
  <c r="O660" i="1"/>
  <c r="M660" i="1" s="1"/>
  <c r="N660" i="1"/>
  <c r="L660" i="1"/>
  <c r="O659" i="1"/>
  <c r="M659" i="1" s="1"/>
  <c r="N659" i="1"/>
  <c r="L659" i="1"/>
  <c r="O658" i="1"/>
  <c r="M658" i="1" s="1"/>
  <c r="N658" i="1"/>
  <c r="L658" i="1"/>
  <c r="O657" i="1"/>
  <c r="N657" i="1"/>
  <c r="M657" i="1"/>
  <c r="L657" i="1"/>
  <c r="O656" i="1"/>
  <c r="M656" i="1" s="1"/>
  <c r="N656" i="1"/>
  <c r="L656" i="1"/>
  <c r="O655" i="1"/>
  <c r="N655" i="1"/>
  <c r="M655" i="1"/>
  <c r="L655" i="1"/>
  <c r="O654" i="1"/>
  <c r="M654" i="1" s="1"/>
  <c r="N654" i="1"/>
  <c r="L654" i="1"/>
  <c r="O653" i="1"/>
  <c r="N653" i="1"/>
  <c r="M653" i="1"/>
  <c r="L653" i="1"/>
  <c r="O652" i="1"/>
  <c r="M652" i="1" s="1"/>
  <c r="N652" i="1"/>
  <c r="L652" i="1"/>
  <c r="O651" i="1"/>
  <c r="M651" i="1" s="1"/>
  <c r="N651" i="1"/>
  <c r="L651" i="1"/>
  <c r="O650" i="1"/>
  <c r="M650" i="1" s="1"/>
  <c r="N650" i="1"/>
  <c r="L650" i="1"/>
  <c r="O649" i="1"/>
  <c r="M649" i="1" s="1"/>
  <c r="N649" i="1"/>
  <c r="L649" i="1"/>
  <c r="O648" i="1"/>
  <c r="M648" i="1" s="1"/>
  <c r="N648" i="1"/>
  <c r="L648" i="1"/>
  <c r="O647" i="1"/>
  <c r="M647" i="1" s="1"/>
  <c r="N647" i="1"/>
  <c r="L647" i="1"/>
  <c r="O646" i="1"/>
  <c r="M646" i="1" s="1"/>
  <c r="N646" i="1"/>
  <c r="L646" i="1"/>
  <c r="O645" i="1"/>
  <c r="N645" i="1"/>
  <c r="M645" i="1"/>
  <c r="L645" i="1"/>
  <c r="O644" i="1"/>
  <c r="M644" i="1" s="1"/>
  <c r="N644" i="1"/>
  <c r="L644" i="1"/>
  <c r="O643" i="1"/>
  <c r="M643" i="1" s="1"/>
  <c r="N643" i="1"/>
  <c r="L643" i="1"/>
  <c r="O642" i="1"/>
  <c r="M642" i="1" s="1"/>
  <c r="N642" i="1"/>
  <c r="L642" i="1"/>
  <c r="O641" i="1"/>
  <c r="M641" i="1" s="1"/>
  <c r="N641" i="1"/>
  <c r="L641" i="1"/>
  <c r="O640" i="1"/>
  <c r="M640" i="1" s="1"/>
  <c r="N640" i="1"/>
  <c r="L640" i="1"/>
  <c r="O639" i="1"/>
  <c r="M639" i="1" s="1"/>
  <c r="N639" i="1"/>
  <c r="L639" i="1"/>
  <c r="O638" i="1"/>
  <c r="M638" i="1" s="1"/>
  <c r="N638" i="1"/>
  <c r="L638" i="1"/>
  <c r="O637" i="1"/>
  <c r="M637" i="1" s="1"/>
  <c r="N637" i="1"/>
  <c r="L637" i="1"/>
  <c r="O636" i="1"/>
  <c r="M636" i="1" s="1"/>
  <c r="N636" i="1"/>
  <c r="L636" i="1"/>
  <c r="O635" i="1"/>
  <c r="M635" i="1" s="1"/>
  <c r="N635" i="1"/>
  <c r="L635" i="1"/>
  <c r="O634" i="1"/>
  <c r="M634" i="1" s="1"/>
  <c r="N634" i="1"/>
  <c r="L634" i="1"/>
  <c r="O633" i="1"/>
  <c r="M633" i="1" s="1"/>
  <c r="N633" i="1"/>
  <c r="L633" i="1"/>
  <c r="O632" i="1"/>
  <c r="M632" i="1" s="1"/>
  <c r="N632" i="1"/>
  <c r="L632" i="1"/>
  <c r="O631" i="1"/>
  <c r="M631" i="1" s="1"/>
  <c r="N631" i="1"/>
  <c r="L631" i="1"/>
  <c r="O630" i="1"/>
  <c r="M630" i="1" s="1"/>
  <c r="N630" i="1"/>
  <c r="L630" i="1"/>
  <c r="O629" i="1"/>
  <c r="M629" i="1" s="1"/>
  <c r="N629" i="1"/>
  <c r="L629" i="1"/>
  <c r="O628" i="1"/>
  <c r="M628" i="1" s="1"/>
  <c r="N628" i="1"/>
  <c r="L628" i="1"/>
  <c r="O627" i="1"/>
  <c r="M627" i="1" s="1"/>
  <c r="N627" i="1"/>
  <c r="L627" i="1"/>
  <c r="O626" i="1"/>
  <c r="M626" i="1" s="1"/>
  <c r="N626" i="1"/>
  <c r="L626" i="1"/>
  <c r="O625" i="1"/>
  <c r="N625" i="1"/>
  <c r="M625" i="1"/>
  <c r="L625" i="1"/>
  <c r="O624" i="1"/>
  <c r="M624" i="1" s="1"/>
  <c r="N624" i="1"/>
  <c r="L624" i="1"/>
  <c r="O623" i="1"/>
  <c r="M623" i="1" s="1"/>
  <c r="N623" i="1"/>
  <c r="L623" i="1"/>
  <c r="O622" i="1"/>
  <c r="M622" i="1" s="1"/>
  <c r="N622" i="1"/>
  <c r="L622" i="1"/>
  <c r="O621" i="1"/>
  <c r="M621" i="1" s="1"/>
  <c r="N621" i="1"/>
  <c r="L621" i="1"/>
  <c r="O620" i="1"/>
  <c r="M620" i="1" s="1"/>
  <c r="N620" i="1"/>
  <c r="L620" i="1"/>
  <c r="O619" i="1"/>
  <c r="M619" i="1" s="1"/>
  <c r="N619" i="1"/>
  <c r="L619" i="1"/>
  <c r="O618" i="1"/>
  <c r="M618" i="1" s="1"/>
  <c r="N618" i="1"/>
  <c r="L618" i="1"/>
  <c r="O617" i="1"/>
  <c r="M617" i="1" s="1"/>
  <c r="N617" i="1"/>
  <c r="L617" i="1"/>
  <c r="O616" i="1"/>
  <c r="M616" i="1" s="1"/>
  <c r="N616" i="1"/>
  <c r="L616" i="1"/>
  <c r="O615" i="1"/>
  <c r="M615" i="1" s="1"/>
  <c r="N615" i="1"/>
  <c r="L615" i="1"/>
  <c r="O614" i="1"/>
  <c r="M614" i="1" s="1"/>
  <c r="N614" i="1"/>
  <c r="L614" i="1"/>
  <c r="O613" i="1"/>
  <c r="M613" i="1" s="1"/>
  <c r="N613" i="1"/>
  <c r="L613" i="1"/>
  <c r="O612" i="1"/>
  <c r="M612" i="1" s="1"/>
  <c r="N612" i="1"/>
  <c r="L612" i="1"/>
  <c r="O611" i="1"/>
  <c r="M611" i="1" s="1"/>
  <c r="N611" i="1"/>
  <c r="L611" i="1"/>
  <c r="O610" i="1"/>
  <c r="M610" i="1" s="1"/>
  <c r="N610" i="1"/>
  <c r="L610" i="1"/>
  <c r="O609" i="1"/>
  <c r="M609" i="1" s="1"/>
  <c r="N609" i="1"/>
  <c r="L609" i="1"/>
  <c r="O608" i="1"/>
  <c r="M608" i="1" s="1"/>
  <c r="N608" i="1"/>
  <c r="L608" i="1"/>
  <c r="O607" i="1"/>
  <c r="M607" i="1" s="1"/>
  <c r="N607" i="1"/>
  <c r="L607" i="1"/>
  <c r="O606" i="1"/>
  <c r="M606" i="1" s="1"/>
  <c r="N606" i="1"/>
  <c r="L606" i="1"/>
  <c r="O605" i="1"/>
  <c r="M605" i="1" s="1"/>
  <c r="N605" i="1"/>
  <c r="L605" i="1"/>
  <c r="O604" i="1"/>
  <c r="M604" i="1" s="1"/>
  <c r="N604" i="1"/>
  <c r="L604" i="1"/>
  <c r="O603" i="1"/>
  <c r="M603" i="1" s="1"/>
  <c r="N603" i="1"/>
  <c r="L603" i="1"/>
  <c r="O602" i="1"/>
  <c r="M602" i="1" s="1"/>
  <c r="N602" i="1"/>
  <c r="L602" i="1"/>
  <c r="O601" i="1"/>
  <c r="M601" i="1" s="1"/>
  <c r="N601" i="1"/>
  <c r="L601" i="1"/>
  <c r="O600" i="1"/>
  <c r="M600" i="1" s="1"/>
  <c r="N600" i="1"/>
  <c r="L600" i="1"/>
  <c r="O599" i="1"/>
  <c r="M599" i="1" s="1"/>
  <c r="N599" i="1"/>
  <c r="L599" i="1"/>
  <c r="O598" i="1"/>
  <c r="M598" i="1" s="1"/>
  <c r="N598" i="1"/>
  <c r="L598" i="1"/>
  <c r="O597" i="1"/>
  <c r="M597" i="1" s="1"/>
  <c r="N597" i="1"/>
  <c r="L597" i="1"/>
  <c r="O596" i="1"/>
  <c r="M596" i="1" s="1"/>
  <c r="N596" i="1"/>
  <c r="L596" i="1"/>
  <c r="O595" i="1"/>
  <c r="M595" i="1" s="1"/>
  <c r="N595" i="1"/>
  <c r="L595" i="1"/>
  <c r="O594" i="1"/>
  <c r="M594" i="1" s="1"/>
  <c r="N594" i="1"/>
  <c r="L594" i="1"/>
  <c r="O593" i="1"/>
  <c r="M593" i="1" s="1"/>
  <c r="N593" i="1"/>
  <c r="L593" i="1"/>
  <c r="O592" i="1"/>
  <c r="M592" i="1" s="1"/>
  <c r="N592" i="1"/>
  <c r="L592" i="1"/>
  <c r="O591" i="1"/>
  <c r="N591" i="1"/>
  <c r="M591" i="1"/>
  <c r="L591" i="1"/>
  <c r="O590" i="1"/>
  <c r="M590" i="1" s="1"/>
  <c r="N590" i="1"/>
  <c r="L590" i="1"/>
  <c r="O589" i="1"/>
  <c r="N589" i="1"/>
  <c r="M589" i="1"/>
  <c r="L589" i="1"/>
  <c r="O588" i="1"/>
  <c r="M588" i="1" s="1"/>
  <c r="N588" i="1"/>
  <c r="L588" i="1"/>
  <c r="O587" i="1"/>
  <c r="M587" i="1" s="1"/>
  <c r="N587" i="1"/>
  <c r="L587" i="1"/>
  <c r="O586" i="1"/>
  <c r="M586" i="1" s="1"/>
  <c r="N586" i="1"/>
  <c r="L586" i="1"/>
  <c r="O585" i="1"/>
  <c r="M585" i="1" s="1"/>
  <c r="N585" i="1"/>
  <c r="L585" i="1"/>
  <c r="O584" i="1"/>
  <c r="M584" i="1" s="1"/>
  <c r="N584" i="1"/>
  <c r="L584" i="1"/>
  <c r="O583" i="1"/>
  <c r="M583" i="1" s="1"/>
  <c r="N583" i="1"/>
  <c r="L583" i="1"/>
  <c r="O582" i="1"/>
  <c r="M582" i="1" s="1"/>
  <c r="N582" i="1"/>
  <c r="L582" i="1"/>
  <c r="O581" i="1"/>
  <c r="M581" i="1" s="1"/>
  <c r="N581" i="1"/>
  <c r="L581" i="1"/>
  <c r="O580" i="1"/>
  <c r="M580" i="1" s="1"/>
  <c r="N580" i="1"/>
  <c r="L580" i="1"/>
  <c r="O579" i="1"/>
  <c r="M579" i="1" s="1"/>
  <c r="N579" i="1"/>
  <c r="L579" i="1"/>
  <c r="O578" i="1"/>
  <c r="M578" i="1" s="1"/>
  <c r="N578" i="1"/>
  <c r="L578" i="1"/>
  <c r="O577" i="1"/>
  <c r="M577" i="1" s="1"/>
  <c r="N577" i="1"/>
  <c r="L577" i="1"/>
  <c r="O576" i="1"/>
  <c r="M576" i="1" s="1"/>
  <c r="N576" i="1"/>
  <c r="L576" i="1"/>
  <c r="O575" i="1"/>
  <c r="M575" i="1" s="1"/>
  <c r="N575" i="1"/>
  <c r="L575" i="1"/>
  <c r="O574" i="1"/>
  <c r="M574" i="1" s="1"/>
  <c r="N574" i="1"/>
  <c r="L574" i="1"/>
  <c r="O573" i="1"/>
  <c r="M573" i="1" s="1"/>
  <c r="N573" i="1"/>
  <c r="L573" i="1"/>
  <c r="O572" i="1"/>
  <c r="M572" i="1" s="1"/>
  <c r="N572" i="1"/>
  <c r="L572" i="1"/>
  <c r="O571" i="1"/>
  <c r="M571" i="1" s="1"/>
  <c r="N571" i="1"/>
  <c r="L571" i="1"/>
  <c r="O570" i="1"/>
  <c r="M570" i="1" s="1"/>
  <c r="N570" i="1"/>
  <c r="L570" i="1"/>
  <c r="O569" i="1"/>
  <c r="M569" i="1" s="1"/>
  <c r="N569" i="1"/>
  <c r="L569" i="1"/>
  <c r="O568" i="1"/>
  <c r="M568" i="1" s="1"/>
  <c r="N568" i="1"/>
  <c r="L568" i="1"/>
  <c r="O567" i="1"/>
  <c r="M567" i="1" s="1"/>
  <c r="N567" i="1"/>
  <c r="L567" i="1"/>
  <c r="O566" i="1"/>
  <c r="M566" i="1" s="1"/>
  <c r="N566" i="1"/>
  <c r="L566" i="1"/>
  <c r="O565" i="1"/>
  <c r="M565" i="1" s="1"/>
  <c r="N565" i="1"/>
  <c r="L565" i="1"/>
  <c r="O564" i="1"/>
  <c r="M564" i="1" s="1"/>
  <c r="N564" i="1"/>
  <c r="L564" i="1"/>
  <c r="O563" i="1"/>
  <c r="M563" i="1" s="1"/>
  <c r="N563" i="1"/>
  <c r="L563" i="1"/>
  <c r="O562" i="1"/>
  <c r="M562" i="1" s="1"/>
  <c r="N562" i="1"/>
  <c r="L562" i="1"/>
  <c r="O561" i="1"/>
  <c r="N561" i="1"/>
  <c r="M561" i="1"/>
  <c r="L561" i="1"/>
  <c r="O560" i="1"/>
  <c r="M560" i="1" s="1"/>
  <c r="N560" i="1"/>
  <c r="L560" i="1"/>
  <c r="O559" i="1"/>
  <c r="M559" i="1" s="1"/>
  <c r="N559" i="1"/>
  <c r="L559" i="1"/>
  <c r="O558" i="1"/>
  <c r="M558" i="1" s="1"/>
  <c r="N558" i="1"/>
  <c r="L558" i="1"/>
  <c r="O557" i="1"/>
  <c r="N557" i="1"/>
  <c r="M557" i="1"/>
  <c r="L557" i="1"/>
  <c r="O556" i="1"/>
  <c r="M556" i="1" s="1"/>
  <c r="N556" i="1"/>
  <c r="L556" i="1"/>
  <c r="O555" i="1"/>
  <c r="M555" i="1" s="1"/>
  <c r="N555" i="1"/>
  <c r="L555" i="1"/>
  <c r="O554" i="1"/>
  <c r="M554" i="1" s="1"/>
  <c r="N554" i="1"/>
  <c r="L554" i="1"/>
  <c r="O553" i="1"/>
  <c r="M553" i="1" s="1"/>
  <c r="N553" i="1"/>
  <c r="L553" i="1"/>
  <c r="O552" i="1"/>
  <c r="M552" i="1" s="1"/>
  <c r="N552" i="1"/>
  <c r="L552" i="1"/>
  <c r="O551" i="1"/>
  <c r="M551" i="1" s="1"/>
  <c r="N551" i="1"/>
  <c r="L551" i="1"/>
  <c r="O550" i="1"/>
  <c r="M550" i="1" s="1"/>
  <c r="N550" i="1"/>
  <c r="L550" i="1"/>
  <c r="O549" i="1"/>
  <c r="M549" i="1" s="1"/>
  <c r="N549" i="1"/>
  <c r="L549" i="1"/>
  <c r="O548" i="1"/>
  <c r="M548" i="1" s="1"/>
  <c r="N548" i="1"/>
  <c r="L548" i="1"/>
  <c r="O547" i="1"/>
  <c r="M547" i="1" s="1"/>
  <c r="N547" i="1"/>
  <c r="L547" i="1"/>
  <c r="O546" i="1"/>
  <c r="M546" i="1" s="1"/>
  <c r="N546" i="1"/>
  <c r="L546" i="1"/>
  <c r="O545" i="1"/>
  <c r="M545" i="1" s="1"/>
  <c r="N545" i="1"/>
  <c r="L545" i="1"/>
  <c r="O544" i="1"/>
  <c r="M544" i="1" s="1"/>
  <c r="N544" i="1"/>
  <c r="L544" i="1"/>
  <c r="O543" i="1"/>
  <c r="M543" i="1" s="1"/>
  <c r="N543" i="1"/>
  <c r="L543" i="1"/>
  <c r="O542" i="1"/>
  <c r="M542" i="1" s="1"/>
  <c r="N542" i="1"/>
  <c r="L542" i="1"/>
  <c r="O541" i="1"/>
  <c r="M541" i="1" s="1"/>
  <c r="N541" i="1"/>
  <c r="L541" i="1"/>
  <c r="O540" i="1"/>
  <c r="M540" i="1" s="1"/>
  <c r="N540" i="1"/>
  <c r="L540" i="1"/>
  <c r="O539" i="1"/>
  <c r="M539" i="1" s="1"/>
  <c r="N539" i="1"/>
  <c r="L539" i="1"/>
  <c r="O538" i="1"/>
  <c r="M538" i="1" s="1"/>
  <c r="N538" i="1"/>
  <c r="L538" i="1"/>
  <c r="O537" i="1"/>
  <c r="M537" i="1" s="1"/>
  <c r="N537" i="1"/>
  <c r="L537" i="1"/>
  <c r="O536" i="1"/>
  <c r="M536" i="1" s="1"/>
  <c r="N536" i="1"/>
  <c r="L536" i="1"/>
  <c r="O535" i="1"/>
  <c r="M535" i="1" s="1"/>
  <c r="N535" i="1"/>
  <c r="L535" i="1"/>
  <c r="O534" i="1"/>
  <c r="M534" i="1" s="1"/>
  <c r="N534" i="1"/>
  <c r="L534" i="1"/>
  <c r="O533" i="1"/>
  <c r="M533" i="1" s="1"/>
  <c r="N533" i="1"/>
  <c r="L533" i="1"/>
  <c r="O532" i="1"/>
  <c r="M532" i="1" s="1"/>
  <c r="N532" i="1"/>
  <c r="L532" i="1"/>
  <c r="O531" i="1"/>
  <c r="M531" i="1" s="1"/>
  <c r="N531" i="1"/>
  <c r="L531" i="1"/>
  <c r="O530" i="1"/>
  <c r="M530" i="1" s="1"/>
  <c r="N530" i="1"/>
  <c r="L530" i="1"/>
  <c r="O529" i="1"/>
  <c r="M529" i="1" s="1"/>
  <c r="N529" i="1"/>
  <c r="L529" i="1"/>
  <c r="O528" i="1"/>
  <c r="M528" i="1" s="1"/>
  <c r="N528" i="1"/>
  <c r="L528" i="1"/>
  <c r="O527" i="1"/>
  <c r="M527" i="1" s="1"/>
  <c r="N527" i="1"/>
  <c r="L527" i="1"/>
  <c r="O526" i="1"/>
  <c r="M526" i="1" s="1"/>
  <c r="N526" i="1"/>
  <c r="L526" i="1"/>
  <c r="O525" i="1"/>
  <c r="M525" i="1" s="1"/>
  <c r="N525" i="1"/>
  <c r="L525" i="1"/>
  <c r="O524" i="1"/>
  <c r="M524" i="1" s="1"/>
  <c r="N524" i="1"/>
  <c r="L524" i="1"/>
  <c r="O523" i="1"/>
  <c r="M523" i="1" s="1"/>
  <c r="N523" i="1"/>
  <c r="L523" i="1"/>
  <c r="O522" i="1"/>
  <c r="M522" i="1" s="1"/>
  <c r="N522" i="1"/>
  <c r="L522" i="1"/>
  <c r="O521" i="1"/>
  <c r="M521" i="1" s="1"/>
  <c r="N521" i="1"/>
  <c r="L521" i="1"/>
  <c r="O520" i="1"/>
  <c r="M520" i="1" s="1"/>
  <c r="N520" i="1"/>
  <c r="L520" i="1"/>
  <c r="O519" i="1"/>
  <c r="M519" i="1" s="1"/>
  <c r="N519" i="1"/>
  <c r="L519" i="1"/>
  <c r="O518" i="1"/>
  <c r="M518" i="1" s="1"/>
  <c r="N518" i="1"/>
  <c r="L518" i="1"/>
  <c r="O517" i="1"/>
  <c r="M517" i="1" s="1"/>
  <c r="N517" i="1"/>
  <c r="L517" i="1"/>
  <c r="O516" i="1"/>
  <c r="M516" i="1" s="1"/>
  <c r="N516" i="1"/>
  <c r="L516" i="1"/>
  <c r="O515" i="1"/>
  <c r="M515" i="1" s="1"/>
  <c r="N515" i="1"/>
  <c r="L515" i="1"/>
  <c r="O514" i="1"/>
  <c r="M514" i="1" s="1"/>
  <c r="N514" i="1"/>
  <c r="L514" i="1"/>
  <c r="O513" i="1"/>
  <c r="M513" i="1" s="1"/>
  <c r="N513" i="1"/>
  <c r="L513" i="1"/>
  <c r="O512" i="1"/>
  <c r="M512" i="1" s="1"/>
  <c r="N512" i="1"/>
  <c r="L512" i="1"/>
  <c r="O511" i="1"/>
  <c r="M511" i="1" s="1"/>
  <c r="N511" i="1"/>
  <c r="L511" i="1"/>
  <c r="O510" i="1"/>
  <c r="M510" i="1" s="1"/>
  <c r="N510" i="1"/>
  <c r="L510" i="1"/>
  <c r="O509" i="1"/>
  <c r="M509" i="1" s="1"/>
  <c r="N509" i="1"/>
  <c r="L509" i="1"/>
  <c r="O508" i="1"/>
  <c r="M508" i="1" s="1"/>
  <c r="N508" i="1"/>
  <c r="L508" i="1"/>
  <c r="O507" i="1"/>
  <c r="M507" i="1" s="1"/>
  <c r="N507" i="1"/>
  <c r="L507" i="1"/>
  <c r="O506" i="1"/>
  <c r="M506" i="1" s="1"/>
  <c r="N506" i="1"/>
  <c r="L506" i="1"/>
  <c r="O505" i="1"/>
  <c r="M505" i="1" s="1"/>
  <c r="N505" i="1"/>
  <c r="L505" i="1"/>
  <c r="O504" i="1"/>
  <c r="M504" i="1" s="1"/>
  <c r="N504" i="1"/>
  <c r="L504" i="1"/>
  <c r="O503" i="1"/>
  <c r="M503" i="1" s="1"/>
  <c r="N503" i="1"/>
  <c r="L503" i="1"/>
  <c r="O502" i="1"/>
  <c r="M502" i="1" s="1"/>
  <c r="N502" i="1"/>
  <c r="L502" i="1"/>
  <c r="O501" i="1"/>
  <c r="M501" i="1" s="1"/>
  <c r="N501" i="1"/>
  <c r="L501" i="1"/>
  <c r="O500" i="1"/>
  <c r="M500" i="1" s="1"/>
  <c r="N500" i="1"/>
  <c r="L500" i="1"/>
  <c r="O499" i="1"/>
  <c r="M499" i="1" s="1"/>
  <c r="N499" i="1"/>
  <c r="L499" i="1"/>
  <c r="O498" i="1"/>
  <c r="M498" i="1" s="1"/>
  <c r="N498" i="1"/>
  <c r="L498" i="1"/>
  <c r="O497" i="1"/>
  <c r="M497" i="1" s="1"/>
  <c r="N497" i="1"/>
  <c r="L497" i="1"/>
  <c r="O496" i="1"/>
  <c r="M496" i="1" s="1"/>
  <c r="N496" i="1"/>
  <c r="L496" i="1"/>
  <c r="O495" i="1"/>
  <c r="M495" i="1" s="1"/>
  <c r="N495" i="1"/>
  <c r="L495" i="1"/>
  <c r="O494" i="1"/>
  <c r="M494" i="1" s="1"/>
  <c r="N494" i="1"/>
  <c r="L494" i="1"/>
  <c r="O493" i="1"/>
  <c r="M493" i="1" s="1"/>
  <c r="N493" i="1"/>
  <c r="L493" i="1"/>
  <c r="O492" i="1"/>
  <c r="M492" i="1" s="1"/>
  <c r="N492" i="1"/>
  <c r="L492" i="1"/>
  <c r="O491" i="1"/>
  <c r="M491" i="1" s="1"/>
  <c r="N491" i="1"/>
  <c r="L491" i="1"/>
  <c r="O490" i="1"/>
  <c r="M490" i="1" s="1"/>
  <c r="N490" i="1"/>
  <c r="L490" i="1"/>
  <c r="O489" i="1"/>
  <c r="M489" i="1" s="1"/>
  <c r="N489" i="1"/>
  <c r="L489" i="1"/>
  <c r="O488" i="1"/>
  <c r="M488" i="1" s="1"/>
  <c r="N488" i="1"/>
  <c r="L488" i="1"/>
  <c r="O487" i="1"/>
  <c r="M487" i="1" s="1"/>
  <c r="N487" i="1"/>
  <c r="L487" i="1"/>
  <c r="O486" i="1"/>
  <c r="M486" i="1" s="1"/>
  <c r="N486" i="1"/>
  <c r="L486" i="1"/>
  <c r="O485" i="1"/>
  <c r="M485" i="1" s="1"/>
  <c r="N485" i="1"/>
  <c r="L485" i="1"/>
  <c r="O484" i="1"/>
  <c r="M484" i="1" s="1"/>
  <c r="N484" i="1"/>
  <c r="L484" i="1"/>
  <c r="O483" i="1"/>
  <c r="M483" i="1" s="1"/>
  <c r="N483" i="1"/>
  <c r="L483" i="1"/>
  <c r="O482" i="1"/>
  <c r="M482" i="1" s="1"/>
  <c r="N482" i="1"/>
  <c r="L482" i="1"/>
  <c r="O481" i="1"/>
  <c r="M481" i="1" s="1"/>
  <c r="N481" i="1"/>
  <c r="L481" i="1"/>
  <c r="O480" i="1"/>
  <c r="M480" i="1" s="1"/>
  <c r="N480" i="1"/>
  <c r="L480" i="1"/>
  <c r="O479" i="1"/>
  <c r="M479" i="1" s="1"/>
  <c r="N479" i="1"/>
  <c r="L479" i="1"/>
  <c r="O478" i="1"/>
  <c r="M478" i="1" s="1"/>
  <c r="N478" i="1"/>
  <c r="L478" i="1"/>
  <c r="O477" i="1"/>
  <c r="M477" i="1" s="1"/>
  <c r="N477" i="1"/>
  <c r="L477" i="1"/>
  <c r="O476" i="1"/>
  <c r="M476" i="1" s="1"/>
  <c r="N476" i="1"/>
  <c r="L476" i="1"/>
  <c r="O475" i="1"/>
  <c r="M475" i="1" s="1"/>
  <c r="N475" i="1"/>
  <c r="L475" i="1"/>
  <c r="O474" i="1"/>
  <c r="M474" i="1" s="1"/>
  <c r="N474" i="1"/>
  <c r="L474" i="1"/>
  <c r="O473" i="1"/>
  <c r="M473" i="1" s="1"/>
  <c r="N473" i="1"/>
  <c r="L473" i="1"/>
  <c r="O472" i="1"/>
  <c r="M472" i="1" s="1"/>
  <c r="N472" i="1"/>
  <c r="L472" i="1"/>
  <c r="O471" i="1"/>
  <c r="M471" i="1" s="1"/>
  <c r="N471" i="1"/>
  <c r="L471" i="1"/>
  <c r="O470" i="1"/>
  <c r="M470" i="1" s="1"/>
  <c r="N470" i="1"/>
  <c r="L470" i="1"/>
  <c r="O469" i="1"/>
  <c r="M469" i="1" s="1"/>
  <c r="N469" i="1"/>
  <c r="L469" i="1"/>
  <c r="O468" i="1"/>
  <c r="M468" i="1" s="1"/>
  <c r="N468" i="1"/>
  <c r="L468" i="1"/>
  <c r="O467" i="1"/>
  <c r="M467" i="1" s="1"/>
  <c r="N467" i="1"/>
  <c r="L467" i="1"/>
  <c r="O466" i="1"/>
  <c r="M466" i="1" s="1"/>
  <c r="N466" i="1"/>
  <c r="L466" i="1"/>
  <c r="O465" i="1"/>
  <c r="M465" i="1" s="1"/>
  <c r="N465" i="1"/>
  <c r="L465" i="1"/>
  <c r="O464" i="1"/>
  <c r="M464" i="1" s="1"/>
  <c r="N464" i="1"/>
  <c r="L464" i="1"/>
  <c r="O463" i="1"/>
  <c r="M463" i="1" s="1"/>
  <c r="N463" i="1"/>
  <c r="L463" i="1"/>
  <c r="O462" i="1"/>
  <c r="M462" i="1" s="1"/>
  <c r="N462" i="1"/>
  <c r="L462" i="1"/>
  <c r="O461" i="1"/>
  <c r="M461" i="1" s="1"/>
  <c r="N461" i="1"/>
  <c r="L461" i="1"/>
  <c r="O460" i="1"/>
  <c r="M460" i="1" s="1"/>
  <c r="N460" i="1"/>
  <c r="L460" i="1"/>
  <c r="O459" i="1"/>
  <c r="M459" i="1" s="1"/>
  <c r="N459" i="1"/>
  <c r="L459" i="1"/>
  <c r="O458" i="1"/>
  <c r="M458" i="1" s="1"/>
  <c r="N458" i="1"/>
  <c r="L458" i="1"/>
  <c r="O457" i="1"/>
  <c r="M457" i="1" s="1"/>
  <c r="N457" i="1"/>
  <c r="L457" i="1"/>
  <c r="O456" i="1"/>
  <c r="M456" i="1" s="1"/>
  <c r="N456" i="1"/>
  <c r="L456" i="1"/>
  <c r="O455" i="1"/>
  <c r="M455" i="1" s="1"/>
  <c r="N455" i="1"/>
  <c r="L455" i="1"/>
  <c r="O454" i="1"/>
  <c r="M454" i="1" s="1"/>
  <c r="N454" i="1"/>
  <c r="L454" i="1"/>
  <c r="O453" i="1"/>
  <c r="M453" i="1" s="1"/>
  <c r="N453" i="1"/>
  <c r="L453" i="1"/>
  <c r="O452" i="1"/>
  <c r="M452" i="1" s="1"/>
  <c r="N452" i="1"/>
  <c r="L452" i="1"/>
  <c r="O451" i="1"/>
  <c r="M451" i="1" s="1"/>
  <c r="N451" i="1"/>
  <c r="L451" i="1"/>
  <c r="O450" i="1"/>
  <c r="M450" i="1" s="1"/>
  <c r="N450" i="1"/>
  <c r="L450" i="1"/>
  <c r="O449" i="1"/>
  <c r="M449" i="1" s="1"/>
  <c r="N449" i="1"/>
  <c r="L449" i="1"/>
  <c r="O448" i="1"/>
  <c r="M448" i="1" s="1"/>
  <c r="N448" i="1"/>
  <c r="L448" i="1"/>
  <c r="O447" i="1"/>
  <c r="M447" i="1" s="1"/>
  <c r="N447" i="1"/>
  <c r="L447" i="1"/>
  <c r="O446" i="1"/>
  <c r="M446" i="1" s="1"/>
  <c r="N446" i="1"/>
  <c r="L446" i="1"/>
  <c r="O445" i="1"/>
  <c r="M445" i="1" s="1"/>
  <c r="N445" i="1"/>
  <c r="L445" i="1"/>
  <c r="O444" i="1"/>
  <c r="M444" i="1" s="1"/>
  <c r="N444" i="1"/>
  <c r="L444" i="1"/>
  <c r="O443" i="1"/>
  <c r="M443" i="1" s="1"/>
  <c r="N443" i="1"/>
  <c r="L443" i="1"/>
  <c r="O442" i="1"/>
  <c r="M442" i="1" s="1"/>
  <c r="N442" i="1"/>
  <c r="L442" i="1"/>
  <c r="O441" i="1"/>
  <c r="M441" i="1" s="1"/>
  <c r="N441" i="1"/>
  <c r="L441" i="1"/>
  <c r="O440" i="1"/>
  <c r="M440" i="1" s="1"/>
  <c r="N440" i="1"/>
  <c r="L440" i="1"/>
  <c r="O439" i="1"/>
  <c r="M439" i="1" s="1"/>
  <c r="N439" i="1"/>
  <c r="L439" i="1"/>
  <c r="O438" i="1"/>
  <c r="M438" i="1" s="1"/>
  <c r="N438" i="1"/>
  <c r="L438" i="1"/>
  <c r="O437" i="1"/>
  <c r="M437" i="1" s="1"/>
  <c r="N437" i="1"/>
  <c r="L437" i="1"/>
  <c r="O436" i="1"/>
  <c r="M436" i="1" s="1"/>
  <c r="N436" i="1"/>
  <c r="L436" i="1"/>
  <c r="O435" i="1"/>
  <c r="M435" i="1" s="1"/>
  <c r="N435" i="1"/>
  <c r="L435" i="1"/>
  <c r="O434" i="1"/>
  <c r="M434" i="1" s="1"/>
  <c r="N434" i="1"/>
  <c r="L434" i="1"/>
  <c r="O433" i="1"/>
  <c r="M433" i="1" s="1"/>
  <c r="N433" i="1"/>
  <c r="L433" i="1"/>
  <c r="O432" i="1"/>
  <c r="M432" i="1" s="1"/>
  <c r="N432" i="1"/>
  <c r="L432" i="1"/>
  <c r="O431" i="1"/>
  <c r="M431" i="1" s="1"/>
  <c r="N431" i="1"/>
  <c r="L431" i="1"/>
  <c r="O430" i="1"/>
  <c r="M430" i="1" s="1"/>
  <c r="N430" i="1"/>
  <c r="L430" i="1"/>
  <c r="O429" i="1"/>
  <c r="M429" i="1" s="1"/>
  <c r="N429" i="1"/>
  <c r="L429" i="1"/>
  <c r="O428" i="1"/>
  <c r="M428" i="1" s="1"/>
  <c r="N428" i="1"/>
  <c r="L428" i="1"/>
  <c r="O427" i="1"/>
  <c r="M427" i="1" s="1"/>
  <c r="N427" i="1"/>
  <c r="L427" i="1"/>
  <c r="O426" i="1"/>
  <c r="M426" i="1" s="1"/>
  <c r="N426" i="1"/>
  <c r="L426" i="1"/>
  <c r="O425" i="1"/>
  <c r="M425" i="1" s="1"/>
  <c r="N425" i="1"/>
  <c r="L425" i="1"/>
  <c r="O424" i="1"/>
  <c r="M424" i="1" s="1"/>
  <c r="N424" i="1"/>
  <c r="L424" i="1"/>
  <c r="O423" i="1"/>
  <c r="M423" i="1" s="1"/>
  <c r="N423" i="1"/>
  <c r="L423" i="1"/>
  <c r="O422" i="1"/>
  <c r="M422" i="1" s="1"/>
  <c r="N422" i="1"/>
  <c r="L422" i="1"/>
  <c r="O421" i="1"/>
  <c r="M421" i="1" s="1"/>
  <c r="N421" i="1"/>
  <c r="L421" i="1"/>
  <c r="O420" i="1"/>
  <c r="M420" i="1" s="1"/>
  <c r="N420" i="1"/>
  <c r="L420" i="1"/>
  <c r="O419" i="1"/>
  <c r="M419" i="1" s="1"/>
  <c r="N419" i="1"/>
  <c r="L419" i="1"/>
  <c r="O418" i="1"/>
  <c r="M418" i="1" s="1"/>
  <c r="N418" i="1"/>
  <c r="L418" i="1"/>
  <c r="O417" i="1"/>
  <c r="M417" i="1" s="1"/>
  <c r="N417" i="1"/>
  <c r="L417" i="1"/>
  <c r="O416" i="1"/>
  <c r="M416" i="1" s="1"/>
  <c r="N416" i="1"/>
  <c r="L416" i="1"/>
  <c r="O415" i="1"/>
  <c r="M415" i="1" s="1"/>
  <c r="N415" i="1"/>
  <c r="L415" i="1"/>
  <c r="O414" i="1"/>
  <c r="M414" i="1" s="1"/>
  <c r="N414" i="1"/>
  <c r="L414" i="1"/>
  <c r="O413" i="1"/>
  <c r="M413" i="1" s="1"/>
  <c r="N413" i="1"/>
  <c r="L413" i="1"/>
  <c r="O412" i="1"/>
  <c r="M412" i="1" s="1"/>
  <c r="N412" i="1"/>
  <c r="L412" i="1"/>
  <c r="O411" i="1"/>
  <c r="M411" i="1" s="1"/>
  <c r="N411" i="1"/>
  <c r="L411" i="1"/>
  <c r="O410" i="1"/>
  <c r="M410" i="1" s="1"/>
  <c r="N410" i="1"/>
  <c r="L410" i="1"/>
  <c r="O409" i="1"/>
  <c r="M409" i="1" s="1"/>
  <c r="N409" i="1"/>
  <c r="L409" i="1"/>
  <c r="O408" i="1"/>
  <c r="M408" i="1" s="1"/>
  <c r="N408" i="1"/>
  <c r="L408" i="1"/>
  <c r="O407" i="1"/>
  <c r="M407" i="1" s="1"/>
  <c r="N407" i="1"/>
  <c r="L407" i="1"/>
  <c r="O406" i="1"/>
  <c r="M406" i="1" s="1"/>
  <c r="N406" i="1"/>
  <c r="L406" i="1"/>
  <c r="O405" i="1"/>
  <c r="M405" i="1" s="1"/>
  <c r="N405" i="1"/>
  <c r="L405" i="1"/>
  <c r="O404" i="1"/>
  <c r="M404" i="1" s="1"/>
  <c r="N404" i="1"/>
  <c r="L404" i="1"/>
  <c r="O403" i="1"/>
  <c r="M403" i="1" s="1"/>
  <c r="N403" i="1"/>
  <c r="L403" i="1"/>
  <c r="O402" i="1"/>
  <c r="M402" i="1" s="1"/>
  <c r="N402" i="1"/>
  <c r="L402" i="1"/>
  <c r="O401" i="1"/>
  <c r="M401" i="1" s="1"/>
  <c r="N401" i="1"/>
  <c r="L401" i="1"/>
  <c r="O400" i="1"/>
  <c r="M400" i="1" s="1"/>
  <c r="N400" i="1"/>
  <c r="L400" i="1"/>
  <c r="O399" i="1"/>
  <c r="M399" i="1" s="1"/>
  <c r="N399" i="1"/>
  <c r="L399" i="1"/>
  <c r="O398" i="1"/>
  <c r="M398" i="1" s="1"/>
  <c r="N398" i="1"/>
  <c r="L398" i="1"/>
  <c r="O397" i="1"/>
  <c r="M397" i="1" s="1"/>
  <c r="N397" i="1"/>
  <c r="L397" i="1"/>
  <c r="O396" i="1"/>
  <c r="M396" i="1" s="1"/>
  <c r="N396" i="1"/>
  <c r="L396" i="1"/>
  <c r="O395" i="1"/>
  <c r="M395" i="1" s="1"/>
  <c r="N395" i="1"/>
  <c r="L395" i="1"/>
  <c r="O394" i="1"/>
  <c r="M394" i="1" s="1"/>
  <c r="N394" i="1"/>
  <c r="L394" i="1"/>
  <c r="O393" i="1"/>
  <c r="M393" i="1" s="1"/>
  <c r="N393" i="1"/>
  <c r="L393" i="1"/>
  <c r="O392" i="1"/>
  <c r="M392" i="1" s="1"/>
  <c r="N392" i="1"/>
  <c r="L392" i="1"/>
  <c r="O391" i="1"/>
  <c r="M391" i="1" s="1"/>
  <c r="N391" i="1"/>
  <c r="L391" i="1"/>
  <c r="O390" i="1"/>
  <c r="M390" i="1" s="1"/>
  <c r="N390" i="1"/>
  <c r="L390" i="1"/>
  <c r="O389" i="1"/>
  <c r="M389" i="1" s="1"/>
  <c r="N389" i="1"/>
  <c r="L389" i="1"/>
  <c r="O388" i="1"/>
  <c r="M388" i="1" s="1"/>
  <c r="N388" i="1"/>
  <c r="L388" i="1"/>
  <c r="O387" i="1"/>
  <c r="M387" i="1" s="1"/>
  <c r="N387" i="1"/>
  <c r="L387" i="1"/>
  <c r="O386" i="1"/>
  <c r="M386" i="1" s="1"/>
  <c r="N386" i="1"/>
  <c r="L386" i="1"/>
  <c r="O385" i="1"/>
  <c r="M385" i="1" s="1"/>
  <c r="N385" i="1"/>
  <c r="L385" i="1"/>
  <c r="O384" i="1"/>
  <c r="M384" i="1" s="1"/>
  <c r="N384" i="1"/>
  <c r="L384" i="1"/>
  <c r="O383" i="1"/>
  <c r="M383" i="1" s="1"/>
  <c r="N383" i="1"/>
  <c r="L383" i="1"/>
  <c r="O382" i="1"/>
  <c r="M382" i="1" s="1"/>
  <c r="N382" i="1"/>
  <c r="L382" i="1"/>
  <c r="O381" i="1"/>
  <c r="M381" i="1" s="1"/>
  <c r="N381" i="1"/>
  <c r="L381" i="1"/>
  <c r="O380" i="1"/>
  <c r="M380" i="1" s="1"/>
  <c r="N380" i="1"/>
  <c r="L380" i="1"/>
  <c r="O379" i="1"/>
  <c r="M379" i="1" s="1"/>
  <c r="N379" i="1"/>
  <c r="L379" i="1"/>
  <c r="O378" i="1"/>
  <c r="M378" i="1" s="1"/>
  <c r="N378" i="1"/>
  <c r="L378" i="1"/>
  <c r="O377" i="1"/>
  <c r="M377" i="1" s="1"/>
  <c r="N377" i="1"/>
  <c r="L377" i="1"/>
  <c r="O376" i="1"/>
  <c r="M376" i="1" s="1"/>
  <c r="N376" i="1"/>
  <c r="L376" i="1"/>
  <c r="O375" i="1"/>
  <c r="M375" i="1" s="1"/>
  <c r="N375" i="1"/>
  <c r="L375" i="1"/>
  <c r="O374" i="1"/>
  <c r="M374" i="1" s="1"/>
  <c r="N374" i="1"/>
  <c r="L374" i="1"/>
  <c r="O373" i="1"/>
  <c r="M373" i="1" s="1"/>
  <c r="N373" i="1"/>
  <c r="L373" i="1"/>
  <c r="O372" i="1"/>
  <c r="M372" i="1" s="1"/>
  <c r="N372" i="1"/>
  <c r="L372" i="1"/>
  <c r="O371" i="1"/>
  <c r="M371" i="1" s="1"/>
  <c r="N371" i="1"/>
  <c r="L371" i="1"/>
  <c r="O370" i="1"/>
  <c r="M370" i="1" s="1"/>
  <c r="N370" i="1"/>
  <c r="L370" i="1"/>
  <c r="O369" i="1"/>
  <c r="M369" i="1" s="1"/>
  <c r="N369" i="1"/>
  <c r="L369" i="1"/>
  <c r="O368" i="1"/>
  <c r="M368" i="1" s="1"/>
  <c r="N368" i="1"/>
  <c r="L368" i="1"/>
  <c r="O367" i="1"/>
  <c r="M367" i="1" s="1"/>
  <c r="N367" i="1"/>
  <c r="L367" i="1"/>
  <c r="O366" i="1"/>
  <c r="M366" i="1" s="1"/>
  <c r="N366" i="1"/>
  <c r="L366" i="1"/>
  <c r="O365" i="1"/>
  <c r="M365" i="1" s="1"/>
  <c r="N365" i="1"/>
  <c r="L365" i="1"/>
  <c r="O364" i="1"/>
  <c r="M364" i="1" s="1"/>
  <c r="N364" i="1"/>
  <c r="L364" i="1"/>
  <c r="O363" i="1"/>
  <c r="M363" i="1" s="1"/>
  <c r="N363" i="1"/>
  <c r="L363" i="1"/>
  <c r="O362" i="1"/>
  <c r="M362" i="1" s="1"/>
  <c r="N362" i="1"/>
  <c r="L362" i="1"/>
  <c r="O361" i="1"/>
  <c r="M361" i="1" s="1"/>
  <c r="N361" i="1"/>
  <c r="L361" i="1"/>
  <c r="O360" i="1"/>
  <c r="M360" i="1" s="1"/>
  <c r="N360" i="1"/>
  <c r="L360" i="1"/>
  <c r="O359" i="1"/>
  <c r="M359" i="1" s="1"/>
  <c r="N359" i="1"/>
  <c r="L359" i="1"/>
  <c r="O358" i="1"/>
  <c r="M358" i="1" s="1"/>
  <c r="N358" i="1"/>
  <c r="L358" i="1"/>
  <c r="O357" i="1"/>
  <c r="M357" i="1" s="1"/>
  <c r="N357" i="1"/>
  <c r="L357" i="1"/>
  <c r="O356" i="1"/>
  <c r="M356" i="1" s="1"/>
  <c r="N356" i="1"/>
  <c r="L356" i="1"/>
  <c r="O355" i="1"/>
  <c r="M355" i="1" s="1"/>
  <c r="N355" i="1"/>
  <c r="L355" i="1"/>
  <c r="O354" i="1"/>
  <c r="M354" i="1" s="1"/>
  <c r="N354" i="1"/>
  <c r="L354" i="1"/>
  <c r="O353" i="1"/>
  <c r="M353" i="1" s="1"/>
  <c r="N353" i="1"/>
  <c r="L353" i="1"/>
  <c r="O352" i="1"/>
  <c r="M352" i="1" s="1"/>
  <c r="N352" i="1"/>
  <c r="L352" i="1"/>
  <c r="O351" i="1"/>
  <c r="M351" i="1" s="1"/>
  <c r="N351" i="1"/>
  <c r="L351" i="1"/>
  <c r="O350" i="1"/>
  <c r="M350" i="1" s="1"/>
  <c r="N350" i="1"/>
  <c r="L350" i="1"/>
  <c r="O349" i="1"/>
  <c r="M349" i="1" s="1"/>
  <c r="N349" i="1"/>
  <c r="L349" i="1"/>
  <c r="O348" i="1"/>
  <c r="M348" i="1" s="1"/>
  <c r="N348" i="1"/>
  <c r="L348" i="1"/>
  <c r="O347" i="1"/>
  <c r="M347" i="1" s="1"/>
  <c r="N347" i="1"/>
  <c r="L347" i="1"/>
  <c r="O346" i="1"/>
  <c r="M346" i="1" s="1"/>
  <c r="N346" i="1"/>
  <c r="L346" i="1"/>
  <c r="O345" i="1"/>
  <c r="M345" i="1" s="1"/>
  <c r="N345" i="1"/>
  <c r="L345" i="1"/>
  <c r="O344" i="1"/>
  <c r="M344" i="1" s="1"/>
  <c r="N344" i="1"/>
  <c r="L344" i="1"/>
  <c r="O343" i="1"/>
  <c r="M343" i="1" s="1"/>
  <c r="N343" i="1"/>
  <c r="L343" i="1"/>
  <c r="O342" i="1"/>
  <c r="M342" i="1" s="1"/>
  <c r="N342" i="1"/>
  <c r="L342" i="1"/>
  <c r="O341" i="1"/>
  <c r="M341" i="1" s="1"/>
  <c r="N341" i="1"/>
  <c r="L341" i="1"/>
  <c r="O340" i="1"/>
  <c r="M340" i="1" s="1"/>
  <c r="N340" i="1"/>
  <c r="L340" i="1"/>
  <c r="O339" i="1"/>
  <c r="M339" i="1" s="1"/>
  <c r="N339" i="1"/>
  <c r="L339" i="1"/>
  <c r="O338" i="1"/>
  <c r="M338" i="1" s="1"/>
  <c r="N338" i="1"/>
  <c r="L338" i="1"/>
  <c r="O337" i="1"/>
  <c r="M337" i="1" s="1"/>
  <c r="N337" i="1"/>
  <c r="L337" i="1"/>
  <c r="O336" i="1"/>
  <c r="M336" i="1" s="1"/>
  <c r="N336" i="1"/>
  <c r="L336" i="1"/>
  <c r="O335" i="1"/>
  <c r="M335" i="1" s="1"/>
  <c r="N335" i="1"/>
  <c r="L335" i="1"/>
  <c r="O334" i="1"/>
  <c r="M334" i="1" s="1"/>
  <c r="N334" i="1"/>
  <c r="L334" i="1"/>
  <c r="O333" i="1"/>
  <c r="M333" i="1" s="1"/>
  <c r="N333" i="1"/>
  <c r="L333" i="1"/>
  <c r="O332" i="1"/>
  <c r="M332" i="1" s="1"/>
  <c r="N332" i="1"/>
  <c r="L332" i="1"/>
  <c r="O331" i="1"/>
  <c r="M331" i="1" s="1"/>
  <c r="N331" i="1"/>
  <c r="L331" i="1"/>
  <c r="O330" i="1"/>
  <c r="M330" i="1" s="1"/>
  <c r="N330" i="1"/>
  <c r="L330" i="1"/>
  <c r="O329" i="1"/>
  <c r="M329" i="1" s="1"/>
  <c r="N329" i="1"/>
  <c r="L329" i="1"/>
  <c r="O328" i="1"/>
  <c r="M328" i="1" s="1"/>
  <c r="N328" i="1"/>
  <c r="L328" i="1"/>
  <c r="O327" i="1"/>
  <c r="M327" i="1" s="1"/>
  <c r="N327" i="1"/>
  <c r="L327" i="1"/>
  <c r="O326" i="1"/>
  <c r="M326" i="1" s="1"/>
  <c r="N326" i="1"/>
  <c r="L326" i="1"/>
  <c r="O325" i="1"/>
  <c r="M325" i="1" s="1"/>
  <c r="N325" i="1"/>
  <c r="L325" i="1"/>
  <c r="O324" i="1"/>
  <c r="M324" i="1" s="1"/>
  <c r="N324" i="1"/>
  <c r="L324" i="1"/>
  <c r="O323" i="1"/>
  <c r="M323" i="1" s="1"/>
  <c r="N323" i="1"/>
  <c r="L323" i="1"/>
  <c r="O322" i="1"/>
  <c r="M322" i="1" s="1"/>
  <c r="N322" i="1"/>
  <c r="L322" i="1"/>
  <c r="O321" i="1"/>
  <c r="M321" i="1" s="1"/>
  <c r="N321" i="1"/>
  <c r="L321" i="1"/>
  <c r="O320" i="1"/>
  <c r="M320" i="1" s="1"/>
  <c r="N320" i="1"/>
  <c r="L320" i="1"/>
  <c r="O319" i="1"/>
  <c r="M319" i="1" s="1"/>
  <c r="N319" i="1"/>
  <c r="L319" i="1"/>
  <c r="O318" i="1"/>
  <c r="M318" i="1" s="1"/>
  <c r="N318" i="1"/>
  <c r="L318" i="1"/>
  <c r="O317" i="1"/>
  <c r="M317" i="1" s="1"/>
  <c r="N317" i="1"/>
  <c r="L317" i="1"/>
  <c r="O316" i="1"/>
  <c r="M316" i="1" s="1"/>
  <c r="N316" i="1"/>
  <c r="L316" i="1"/>
  <c r="O315" i="1"/>
  <c r="M315" i="1" s="1"/>
  <c r="N315" i="1"/>
  <c r="L315" i="1"/>
  <c r="O314" i="1"/>
  <c r="M314" i="1" s="1"/>
  <c r="N314" i="1"/>
  <c r="L314" i="1"/>
  <c r="O313" i="1"/>
  <c r="M313" i="1" s="1"/>
  <c r="N313" i="1"/>
  <c r="L313" i="1"/>
  <c r="O312" i="1"/>
  <c r="M312" i="1" s="1"/>
  <c r="N312" i="1"/>
  <c r="L312" i="1"/>
  <c r="O311" i="1"/>
  <c r="M311" i="1" s="1"/>
  <c r="N311" i="1"/>
  <c r="L311" i="1"/>
  <c r="O310" i="1"/>
  <c r="M310" i="1" s="1"/>
  <c r="N310" i="1"/>
  <c r="L310" i="1"/>
  <c r="O309" i="1"/>
  <c r="M309" i="1" s="1"/>
  <c r="N309" i="1"/>
  <c r="L309" i="1"/>
  <c r="O308" i="1"/>
  <c r="M308" i="1" s="1"/>
  <c r="N308" i="1"/>
  <c r="L308" i="1"/>
  <c r="O307" i="1"/>
  <c r="M307" i="1" s="1"/>
  <c r="N307" i="1"/>
  <c r="L307" i="1"/>
  <c r="O306" i="1"/>
  <c r="M306" i="1" s="1"/>
  <c r="N306" i="1"/>
  <c r="L306" i="1"/>
  <c r="O305" i="1"/>
  <c r="M305" i="1" s="1"/>
  <c r="N305" i="1"/>
  <c r="L305" i="1"/>
  <c r="O304" i="1"/>
  <c r="M304" i="1" s="1"/>
  <c r="N304" i="1"/>
  <c r="L304" i="1"/>
  <c r="O303" i="1"/>
  <c r="M303" i="1" s="1"/>
  <c r="N303" i="1"/>
  <c r="L303" i="1"/>
  <c r="O302" i="1"/>
  <c r="M302" i="1" s="1"/>
  <c r="N302" i="1"/>
  <c r="L302" i="1"/>
  <c r="O301" i="1"/>
  <c r="M301" i="1" s="1"/>
  <c r="N301" i="1"/>
  <c r="L301" i="1"/>
  <c r="O300" i="1"/>
  <c r="M300" i="1" s="1"/>
  <c r="N300" i="1"/>
  <c r="L300" i="1"/>
  <c r="O299" i="1"/>
  <c r="M299" i="1" s="1"/>
  <c r="N299" i="1"/>
  <c r="L299" i="1"/>
  <c r="O298" i="1"/>
  <c r="M298" i="1" s="1"/>
  <c r="N298" i="1"/>
  <c r="L298" i="1"/>
  <c r="O297" i="1"/>
  <c r="M297" i="1" s="1"/>
  <c r="N297" i="1"/>
  <c r="L297" i="1"/>
  <c r="O296" i="1"/>
  <c r="M296" i="1" s="1"/>
  <c r="N296" i="1"/>
  <c r="L296" i="1"/>
  <c r="O295" i="1"/>
  <c r="M295" i="1" s="1"/>
  <c r="N295" i="1"/>
  <c r="L295" i="1"/>
  <c r="O294" i="1"/>
  <c r="M294" i="1" s="1"/>
  <c r="N294" i="1"/>
  <c r="L294" i="1"/>
  <c r="O293" i="1"/>
  <c r="M293" i="1" s="1"/>
  <c r="N293" i="1"/>
  <c r="L293" i="1"/>
  <c r="O292" i="1"/>
  <c r="M292" i="1" s="1"/>
  <c r="N292" i="1"/>
  <c r="L292" i="1"/>
  <c r="O291" i="1"/>
  <c r="M291" i="1" s="1"/>
  <c r="N291" i="1"/>
  <c r="L291" i="1"/>
  <c r="O290" i="1"/>
  <c r="M290" i="1" s="1"/>
  <c r="N290" i="1"/>
  <c r="L290" i="1"/>
  <c r="O289" i="1"/>
  <c r="M289" i="1" s="1"/>
  <c r="N289" i="1"/>
  <c r="L289" i="1"/>
  <c r="O288" i="1"/>
  <c r="M288" i="1" s="1"/>
  <c r="N288" i="1"/>
  <c r="L288" i="1"/>
  <c r="O287" i="1"/>
  <c r="M287" i="1" s="1"/>
  <c r="N287" i="1"/>
  <c r="L287" i="1"/>
  <c r="O286" i="1"/>
  <c r="M286" i="1" s="1"/>
  <c r="N286" i="1"/>
  <c r="L286" i="1"/>
  <c r="O285" i="1"/>
  <c r="M285" i="1" s="1"/>
  <c r="N285" i="1"/>
  <c r="L285" i="1"/>
  <c r="O284" i="1"/>
  <c r="M284" i="1" s="1"/>
  <c r="N284" i="1"/>
  <c r="L284" i="1"/>
  <c r="O283" i="1"/>
  <c r="M283" i="1" s="1"/>
  <c r="N283" i="1"/>
  <c r="L283" i="1"/>
  <c r="O282" i="1"/>
  <c r="M282" i="1" s="1"/>
  <c r="N282" i="1"/>
  <c r="L282" i="1"/>
  <c r="O281" i="1"/>
  <c r="M281" i="1" s="1"/>
  <c r="N281" i="1"/>
  <c r="L281" i="1"/>
  <c r="O280" i="1"/>
  <c r="M280" i="1" s="1"/>
  <c r="N280" i="1"/>
  <c r="L280" i="1"/>
  <c r="O279" i="1"/>
  <c r="M279" i="1" s="1"/>
  <c r="N279" i="1"/>
  <c r="L279" i="1"/>
  <c r="O278" i="1"/>
  <c r="M278" i="1" s="1"/>
  <c r="N278" i="1"/>
  <c r="L278" i="1"/>
  <c r="O277" i="1"/>
  <c r="M277" i="1" s="1"/>
  <c r="N277" i="1"/>
  <c r="L277" i="1"/>
  <c r="O276" i="1"/>
  <c r="M276" i="1" s="1"/>
  <c r="N276" i="1"/>
  <c r="L276" i="1"/>
  <c r="O275" i="1"/>
  <c r="M275" i="1" s="1"/>
  <c r="N275" i="1"/>
  <c r="L275" i="1"/>
  <c r="O274" i="1"/>
  <c r="M274" i="1" s="1"/>
  <c r="N274" i="1"/>
  <c r="L274" i="1"/>
  <c r="O273" i="1"/>
  <c r="M273" i="1" s="1"/>
  <c r="N273" i="1"/>
  <c r="L273" i="1"/>
  <c r="O272" i="1"/>
  <c r="M272" i="1" s="1"/>
  <c r="N272" i="1"/>
  <c r="L272" i="1"/>
  <c r="O271" i="1"/>
  <c r="M271" i="1" s="1"/>
  <c r="N271" i="1"/>
  <c r="L271" i="1"/>
  <c r="O270" i="1"/>
  <c r="M270" i="1" s="1"/>
  <c r="N270" i="1"/>
  <c r="L270" i="1"/>
  <c r="O269" i="1"/>
  <c r="M269" i="1" s="1"/>
  <c r="N269" i="1"/>
  <c r="L269" i="1"/>
  <c r="O268" i="1"/>
  <c r="M268" i="1" s="1"/>
  <c r="N268" i="1"/>
  <c r="L268" i="1"/>
  <c r="O267" i="1"/>
  <c r="M267" i="1" s="1"/>
  <c r="N267" i="1"/>
  <c r="L267" i="1"/>
  <c r="O266" i="1"/>
  <c r="M266" i="1" s="1"/>
  <c r="N266" i="1"/>
  <c r="L266" i="1"/>
  <c r="O265" i="1"/>
  <c r="M265" i="1" s="1"/>
  <c r="N265" i="1"/>
  <c r="L265" i="1"/>
  <c r="O264" i="1"/>
  <c r="M264" i="1" s="1"/>
  <c r="N264" i="1"/>
  <c r="L264" i="1"/>
  <c r="O263" i="1"/>
  <c r="M263" i="1" s="1"/>
  <c r="N263" i="1"/>
  <c r="L263" i="1"/>
  <c r="O262" i="1"/>
  <c r="M262" i="1" s="1"/>
  <c r="N262" i="1"/>
  <c r="L262" i="1"/>
  <c r="O261" i="1"/>
  <c r="M261" i="1" s="1"/>
  <c r="N261" i="1"/>
  <c r="L261" i="1"/>
  <c r="O260" i="1"/>
  <c r="M260" i="1" s="1"/>
  <c r="N260" i="1"/>
  <c r="L260" i="1"/>
  <c r="O259" i="1"/>
  <c r="M259" i="1" s="1"/>
  <c r="N259" i="1"/>
  <c r="L259" i="1"/>
  <c r="O258" i="1"/>
  <c r="M258" i="1" s="1"/>
  <c r="N258" i="1"/>
  <c r="L258" i="1"/>
  <c r="O257" i="1"/>
  <c r="M257" i="1" s="1"/>
  <c r="N257" i="1"/>
  <c r="L257" i="1"/>
  <c r="O256" i="1"/>
  <c r="M256" i="1" s="1"/>
  <c r="N256" i="1"/>
  <c r="L256" i="1"/>
  <c r="O255" i="1"/>
  <c r="M255" i="1" s="1"/>
  <c r="N255" i="1"/>
  <c r="L255" i="1"/>
  <c r="O254" i="1"/>
  <c r="M254" i="1" s="1"/>
  <c r="N254" i="1"/>
  <c r="L254" i="1"/>
  <c r="O253" i="1"/>
  <c r="M253" i="1" s="1"/>
  <c r="N253" i="1"/>
  <c r="L253" i="1"/>
  <c r="O252" i="1"/>
  <c r="M252" i="1" s="1"/>
  <c r="N252" i="1"/>
  <c r="L252" i="1"/>
  <c r="O251" i="1"/>
  <c r="M251" i="1" s="1"/>
  <c r="N251" i="1"/>
  <c r="L251" i="1"/>
  <c r="O250" i="1"/>
  <c r="M250" i="1" s="1"/>
  <c r="N250" i="1"/>
  <c r="L250" i="1"/>
  <c r="O249" i="1"/>
  <c r="M249" i="1" s="1"/>
  <c r="N249" i="1"/>
  <c r="L249" i="1"/>
  <c r="O248" i="1"/>
  <c r="M248" i="1" s="1"/>
  <c r="N248" i="1"/>
  <c r="L248" i="1"/>
  <c r="O247" i="1"/>
  <c r="M247" i="1" s="1"/>
  <c r="N247" i="1"/>
  <c r="L247" i="1"/>
  <c r="O246" i="1"/>
  <c r="M246" i="1" s="1"/>
  <c r="N246" i="1"/>
  <c r="L246" i="1"/>
  <c r="O245" i="1"/>
  <c r="M245" i="1" s="1"/>
  <c r="N245" i="1"/>
  <c r="L245" i="1"/>
  <c r="O244" i="1"/>
  <c r="M244" i="1" s="1"/>
  <c r="N244" i="1"/>
  <c r="L244" i="1"/>
  <c r="O243" i="1"/>
  <c r="M243" i="1" s="1"/>
  <c r="N243" i="1"/>
  <c r="L243" i="1"/>
  <c r="O242" i="1"/>
  <c r="M242" i="1" s="1"/>
  <c r="N242" i="1"/>
  <c r="L242" i="1"/>
  <c r="O241" i="1"/>
  <c r="M241" i="1" s="1"/>
  <c r="N241" i="1"/>
  <c r="L241" i="1"/>
  <c r="O240" i="1"/>
  <c r="M240" i="1" s="1"/>
  <c r="N240" i="1"/>
  <c r="L240" i="1"/>
  <c r="O239" i="1"/>
  <c r="M239" i="1" s="1"/>
  <c r="N239" i="1"/>
  <c r="L239" i="1"/>
  <c r="O238" i="1"/>
  <c r="M238" i="1" s="1"/>
  <c r="N238" i="1"/>
  <c r="L238" i="1"/>
  <c r="O237" i="1"/>
  <c r="M237" i="1" s="1"/>
  <c r="N237" i="1"/>
  <c r="L237" i="1"/>
  <c r="O236" i="1"/>
  <c r="M236" i="1" s="1"/>
  <c r="N236" i="1"/>
  <c r="L236" i="1"/>
  <c r="O235" i="1"/>
  <c r="M235" i="1" s="1"/>
  <c r="N235" i="1"/>
  <c r="L235" i="1"/>
  <c r="O234" i="1"/>
  <c r="M234" i="1" s="1"/>
  <c r="N234" i="1"/>
  <c r="L234" i="1"/>
  <c r="O233" i="1"/>
  <c r="M233" i="1" s="1"/>
  <c r="N233" i="1"/>
  <c r="L233" i="1"/>
  <c r="O232" i="1"/>
  <c r="M232" i="1" s="1"/>
  <c r="N232" i="1"/>
  <c r="L232" i="1"/>
  <c r="O231" i="1"/>
  <c r="M231" i="1" s="1"/>
  <c r="N231" i="1"/>
  <c r="L231" i="1"/>
  <c r="O230" i="1"/>
  <c r="M230" i="1" s="1"/>
  <c r="N230" i="1"/>
  <c r="L230" i="1"/>
  <c r="O229" i="1"/>
  <c r="M229" i="1" s="1"/>
  <c r="N229" i="1"/>
  <c r="L229" i="1"/>
  <c r="O228" i="1"/>
  <c r="M228" i="1" s="1"/>
  <c r="N228" i="1"/>
  <c r="L228" i="1"/>
  <c r="O227" i="1"/>
  <c r="M227" i="1" s="1"/>
  <c r="N227" i="1"/>
  <c r="L227" i="1"/>
  <c r="O226" i="1"/>
  <c r="M226" i="1" s="1"/>
  <c r="N226" i="1"/>
  <c r="L226" i="1"/>
  <c r="O225" i="1"/>
  <c r="M225" i="1" s="1"/>
  <c r="N225" i="1"/>
  <c r="L225" i="1"/>
  <c r="O224" i="1"/>
  <c r="M224" i="1" s="1"/>
  <c r="N224" i="1"/>
  <c r="L224" i="1"/>
  <c r="O223" i="1"/>
  <c r="M223" i="1" s="1"/>
  <c r="N223" i="1"/>
  <c r="L223" i="1"/>
  <c r="O222" i="1"/>
  <c r="M222" i="1" s="1"/>
  <c r="N222" i="1"/>
  <c r="L222" i="1"/>
  <c r="O221" i="1"/>
  <c r="M221" i="1" s="1"/>
  <c r="N221" i="1"/>
  <c r="L221" i="1"/>
  <c r="O220" i="1"/>
  <c r="M220" i="1" s="1"/>
  <c r="N220" i="1"/>
  <c r="L220" i="1"/>
  <c r="O219" i="1"/>
  <c r="M219" i="1" s="1"/>
  <c r="N219" i="1"/>
  <c r="L219" i="1"/>
  <c r="O218" i="1"/>
  <c r="M218" i="1" s="1"/>
  <c r="N218" i="1"/>
  <c r="L218" i="1"/>
  <c r="O217" i="1"/>
  <c r="M217" i="1" s="1"/>
  <c r="N217" i="1"/>
  <c r="L217" i="1"/>
  <c r="O216" i="1"/>
  <c r="M216" i="1" s="1"/>
  <c r="N216" i="1"/>
  <c r="L216" i="1"/>
  <c r="O215" i="1"/>
  <c r="M215" i="1" s="1"/>
  <c r="N215" i="1"/>
  <c r="L215" i="1"/>
  <c r="O214" i="1"/>
  <c r="M214" i="1" s="1"/>
  <c r="N214" i="1"/>
  <c r="L214" i="1"/>
  <c r="O213" i="1"/>
  <c r="M213" i="1" s="1"/>
  <c r="N213" i="1"/>
  <c r="L213" i="1"/>
  <c r="O212" i="1"/>
  <c r="M212" i="1" s="1"/>
  <c r="N212" i="1"/>
  <c r="L212" i="1"/>
  <c r="O211" i="1"/>
  <c r="M211" i="1" s="1"/>
  <c r="N211" i="1"/>
  <c r="L211" i="1"/>
  <c r="O210" i="1"/>
  <c r="M210" i="1" s="1"/>
  <c r="N210" i="1"/>
  <c r="L210" i="1"/>
  <c r="O209" i="1"/>
  <c r="M209" i="1" s="1"/>
  <c r="N209" i="1"/>
  <c r="L209" i="1"/>
  <c r="O208" i="1"/>
  <c r="M208" i="1" s="1"/>
  <c r="N208" i="1"/>
  <c r="L208" i="1"/>
  <c r="O207" i="1"/>
  <c r="M207" i="1" s="1"/>
  <c r="N207" i="1"/>
  <c r="L207" i="1"/>
  <c r="O206" i="1"/>
  <c r="M206" i="1" s="1"/>
  <c r="N206" i="1"/>
  <c r="L206" i="1"/>
  <c r="O205" i="1"/>
  <c r="M205" i="1" s="1"/>
  <c r="N205" i="1"/>
  <c r="L205" i="1"/>
  <c r="O204" i="1"/>
  <c r="M204" i="1" s="1"/>
  <c r="N204" i="1"/>
  <c r="L204" i="1"/>
  <c r="O203" i="1"/>
  <c r="M203" i="1" s="1"/>
  <c r="N203" i="1"/>
  <c r="L203" i="1"/>
  <c r="O202" i="1"/>
  <c r="M202" i="1" s="1"/>
  <c r="N202" i="1"/>
  <c r="L202" i="1"/>
  <c r="O201" i="1"/>
  <c r="M201" i="1" s="1"/>
  <c r="N201" i="1"/>
  <c r="L201" i="1"/>
  <c r="O200" i="1"/>
  <c r="M200" i="1" s="1"/>
  <c r="N200" i="1"/>
  <c r="L200" i="1"/>
  <c r="O199" i="1"/>
  <c r="M199" i="1" s="1"/>
  <c r="N199" i="1"/>
  <c r="L199" i="1"/>
  <c r="O198" i="1"/>
  <c r="M198" i="1" s="1"/>
  <c r="N198" i="1"/>
  <c r="L198" i="1"/>
  <c r="O197" i="1"/>
  <c r="M197" i="1" s="1"/>
  <c r="N197" i="1"/>
  <c r="L197" i="1"/>
  <c r="O196" i="1"/>
  <c r="M196" i="1" s="1"/>
  <c r="N196" i="1"/>
  <c r="L196" i="1"/>
  <c r="O195" i="1"/>
  <c r="M195" i="1" s="1"/>
  <c r="N195" i="1"/>
  <c r="L195" i="1"/>
  <c r="O194" i="1"/>
  <c r="M194" i="1" s="1"/>
  <c r="N194" i="1"/>
  <c r="L194" i="1"/>
  <c r="O193" i="1"/>
  <c r="M193" i="1" s="1"/>
  <c r="N193" i="1"/>
  <c r="L193" i="1"/>
  <c r="O192" i="1"/>
  <c r="M192" i="1" s="1"/>
  <c r="N192" i="1"/>
  <c r="L192" i="1"/>
  <c r="O191" i="1"/>
  <c r="M191" i="1" s="1"/>
  <c r="N191" i="1"/>
  <c r="L191" i="1"/>
  <c r="O190" i="1"/>
  <c r="M190" i="1" s="1"/>
  <c r="N190" i="1"/>
  <c r="L190" i="1"/>
  <c r="O189" i="1"/>
  <c r="M189" i="1" s="1"/>
  <c r="N189" i="1"/>
  <c r="L189" i="1"/>
  <c r="O188" i="1"/>
  <c r="M188" i="1" s="1"/>
  <c r="N188" i="1"/>
  <c r="L188" i="1"/>
  <c r="O187" i="1"/>
  <c r="M187" i="1" s="1"/>
  <c r="N187" i="1"/>
  <c r="L187" i="1"/>
  <c r="O186" i="1"/>
  <c r="M186" i="1" s="1"/>
  <c r="N186" i="1"/>
  <c r="L186" i="1"/>
  <c r="O185" i="1"/>
  <c r="M185" i="1" s="1"/>
  <c r="N185" i="1"/>
  <c r="L185" i="1"/>
  <c r="O184" i="1"/>
  <c r="M184" i="1" s="1"/>
  <c r="N184" i="1"/>
  <c r="L184" i="1"/>
  <c r="O183" i="1"/>
  <c r="M183" i="1" s="1"/>
  <c r="N183" i="1"/>
  <c r="L183" i="1"/>
  <c r="O182" i="1"/>
  <c r="M182" i="1" s="1"/>
  <c r="N182" i="1"/>
  <c r="L182" i="1"/>
  <c r="O181" i="1"/>
  <c r="M181" i="1" s="1"/>
  <c r="N181" i="1"/>
  <c r="L181" i="1"/>
  <c r="O180" i="1"/>
  <c r="M180" i="1" s="1"/>
  <c r="N180" i="1"/>
  <c r="L180" i="1"/>
  <c r="O179" i="1"/>
  <c r="M179" i="1" s="1"/>
  <c r="N179" i="1"/>
  <c r="L179" i="1"/>
  <c r="O178" i="1"/>
  <c r="M178" i="1" s="1"/>
  <c r="N178" i="1"/>
  <c r="L178" i="1"/>
  <c r="O177" i="1"/>
  <c r="N177" i="1"/>
  <c r="M177" i="1"/>
  <c r="L177" i="1"/>
  <c r="O176" i="1"/>
  <c r="M176" i="1" s="1"/>
  <c r="N176" i="1"/>
  <c r="L176" i="1"/>
  <c r="O175" i="1"/>
  <c r="M175" i="1" s="1"/>
  <c r="N175" i="1"/>
  <c r="L175" i="1"/>
  <c r="O174" i="1"/>
  <c r="M174" i="1" s="1"/>
  <c r="N174" i="1"/>
  <c r="L174" i="1"/>
  <c r="O173" i="1"/>
  <c r="M173" i="1" s="1"/>
  <c r="N173" i="1"/>
  <c r="L173" i="1"/>
  <c r="O172" i="1"/>
  <c r="M172" i="1" s="1"/>
  <c r="N172" i="1"/>
  <c r="L172" i="1"/>
  <c r="O171" i="1"/>
  <c r="N171" i="1"/>
  <c r="M171" i="1"/>
  <c r="L171" i="1"/>
  <c r="O170" i="1"/>
  <c r="M170" i="1" s="1"/>
  <c r="N170" i="1"/>
  <c r="L170" i="1"/>
  <c r="O169" i="1"/>
  <c r="N169" i="1"/>
  <c r="M169" i="1"/>
  <c r="L169" i="1"/>
  <c r="O168" i="1"/>
  <c r="M168" i="1" s="1"/>
  <c r="N168" i="1"/>
  <c r="L168" i="1"/>
  <c r="O167" i="1"/>
  <c r="M167" i="1" s="1"/>
  <c r="N167" i="1"/>
  <c r="L167" i="1"/>
  <c r="O166" i="1"/>
  <c r="M166" i="1" s="1"/>
  <c r="N166" i="1"/>
  <c r="L166" i="1"/>
  <c r="O165" i="1"/>
  <c r="M165" i="1" s="1"/>
  <c r="N165" i="1"/>
  <c r="L165" i="1"/>
  <c r="O164" i="1"/>
  <c r="M164" i="1" s="1"/>
  <c r="N164" i="1"/>
  <c r="L164" i="1"/>
  <c r="O163" i="1"/>
  <c r="M163" i="1" s="1"/>
  <c r="N163" i="1"/>
  <c r="L163" i="1"/>
  <c r="O162" i="1"/>
  <c r="M162" i="1" s="1"/>
  <c r="N162" i="1"/>
  <c r="L162" i="1"/>
  <c r="O161" i="1"/>
  <c r="M161" i="1" s="1"/>
  <c r="N161" i="1"/>
  <c r="L161" i="1"/>
  <c r="O160" i="1"/>
  <c r="M160" i="1" s="1"/>
  <c r="N160" i="1"/>
  <c r="L160" i="1"/>
  <c r="O159" i="1"/>
  <c r="M159" i="1" s="1"/>
  <c r="N159" i="1"/>
  <c r="L159" i="1"/>
  <c r="O158" i="1"/>
  <c r="M158" i="1" s="1"/>
  <c r="N158" i="1"/>
  <c r="L158" i="1"/>
  <c r="O157" i="1"/>
  <c r="M157" i="1" s="1"/>
  <c r="N157" i="1"/>
  <c r="L157" i="1"/>
  <c r="O156" i="1"/>
  <c r="M156" i="1" s="1"/>
  <c r="N156" i="1"/>
  <c r="L156" i="1"/>
  <c r="O155" i="1"/>
  <c r="N155" i="1"/>
  <c r="M155" i="1"/>
  <c r="L155" i="1"/>
  <c r="O154" i="1"/>
  <c r="M154" i="1" s="1"/>
  <c r="N154" i="1"/>
  <c r="L154" i="1"/>
  <c r="O153" i="1"/>
  <c r="N153" i="1"/>
  <c r="M153" i="1"/>
  <c r="L153" i="1"/>
  <c r="O152" i="1"/>
  <c r="M152" i="1" s="1"/>
  <c r="N152" i="1"/>
  <c r="L152" i="1"/>
  <c r="O151" i="1"/>
  <c r="M151" i="1" s="1"/>
  <c r="N151" i="1"/>
  <c r="L151" i="1"/>
  <c r="O150" i="1"/>
  <c r="M150" i="1" s="1"/>
  <c r="N150" i="1"/>
  <c r="L150" i="1"/>
  <c r="O149" i="1"/>
  <c r="M149" i="1" s="1"/>
  <c r="N149" i="1"/>
  <c r="L149" i="1"/>
  <c r="O148" i="1"/>
  <c r="M148" i="1" s="1"/>
  <c r="N148" i="1"/>
  <c r="L148" i="1"/>
  <c r="O147" i="1"/>
  <c r="M147" i="1" s="1"/>
  <c r="N147" i="1"/>
  <c r="L147" i="1"/>
  <c r="O146" i="1"/>
  <c r="M146" i="1" s="1"/>
  <c r="N146" i="1"/>
  <c r="L146" i="1"/>
  <c r="O145" i="1"/>
  <c r="N145" i="1"/>
  <c r="M145" i="1"/>
  <c r="L145" i="1"/>
  <c r="O144" i="1"/>
  <c r="M144" i="1" s="1"/>
  <c r="N144" i="1"/>
  <c r="L144" i="1"/>
  <c r="O143" i="1"/>
  <c r="M143" i="1" s="1"/>
  <c r="N143" i="1"/>
  <c r="L143" i="1"/>
  <c r="O142" i="1"/>
  <c r="M142" i="1" s="1"/>
  <c r="N142" i="1"/>
  <c r="L142" i="1"/>
  <c r="O141" i="1"/>
  <c r="M141" i="1" s="1"/>
  <c r="N141" i="1"/>
  <c r="L141" i="1"/>
  <c r="O140" i="1"/>
  <c r="M140" i="1" s="1"/>
  <c r="N140" i="1"/>
  <c r="L140" i="1"/>
  <c r="O139" i="1"/>
  <c r="N139" i="1"/>
  <c r="M139" i="1"/>
  <c r="L139" i="1"/>
  <c r="O138" i="1"/>
  <c r="M138" i="1" s="1"/>
  <c r="N138" i="1"/>
  <c r="L138" i="1"/>
  <c r="O137" i="1"/>
  <c r="M137" i="1" s="1"/>
  <c r="N137" i="1"/>
  <c r="L137" i="1"/>
  <c r="O136" i="1"/>
  <c r="M136" i="1" s="1"/>
  <c r="N136" i="1"/>
  <c r="L136" i="1"/>
  <c r="O135" i="1"/>
  <c r="M135" i="1" s="1"/>
  <c r="N135" i="1"/>
  <c r="L135" i="1"/>
  <c r="O134" i="1"/>
  <c r="M134" i="1" s="1"/>
  <c r="N134" i="1"/>
  <c r="L134" i="1"/>
  <c r="O133" i="1"/>
  <c r="M133" i="1" s="1"/>
  <c r="N133" i="1"/>
  <c r="L133" i="1"/>
  <c r="O132" i="1"/>
  <c r="M132" i="1" s="1"/>
  <c r="N132" i="1"/>
  <c r="L132" i="1"/>
  <c r="O131" i="1"/>
  <c r="M131" i="1" s="1"/>
  <c r="N131" i="1"/>
  <c r="L131" i="1"/>
  <c r="O130" i="1"/>
  <c r="M130" i="1" s="1"/>
  <c r="N130" i="1"/>
  <c r="L130" i="1"/>
  <c r="O129" i="1"/>
  <c r="M129" i="1" s="1"/>
  <c r="N129" i="1"/>
  <c r="L129" i="1"/>
  <c r="O128" i="1"/>
  <c r="M128" i="1" s="1"/>
  <c r="N128" i="1"/>
  <c r="L128" i="1"/>
  <c r="O127" i="1"/>
  <c r="M127" i="1" s="1"/>
  <c r="N127" i="1"/>
  <c r="L127" i="1"/>
  <c r="O126" i="1"/>
  <c r="M126" i="1" s="1"/>
  <c r="N126" i="1"/>
  <c r="L126" i="1"/>
  <c r="O125" i="1"/>
  <c r="M125" i="1" s="1"/>
  <c r="N125" i="1"/>
  <c r="L125" i="1"/>
  <c r="O124" i="1"/>
  <c r="M124" i="1" s="1"/>
  <c r="N124" i="1"/>
  <c r="L124" i="1"/>
  <c r="O123" i="1"/>
  <c r="N123" i="1"/>
  <c r="M123" i="1"/>
  <c r="L123" i="1"/>
  <c r="O122" i="1"/>
  <c r="M122" i="1" s="1"/>
  <c r="N122" i="1"/>
  <c r="L122" i="1"/>
  <c r="O121" i="1"/>
  <c r="N121" i="1"/>
  <c r="M121" i="1"/>
  <c r="L121" i="1"/>
  <c r="O120" i="1"/>
  <c r="M120" i="1" s="1"/>
  <c r="N120" i="1"/>
  <c r="L120" i="1"/>
  <c r="O119" i="1"/>
  <c r="M119" i="1" s="1"/>
  <c r="N119" i="1"/>
  <c r="L119" i="1"/>
  <c r="O118" i="1"/>
  <c r="M118" i="1" s="1"/>
  <c r="N118" i="1"/>
  <c r="L118" i="1"/>
  <c r="O117" i="1"/>
  <c r="M117" i="1" s="1"/>
  <c r="N117" i="1"/>
  <c r="L117" i="1"/>
  <c r="O116" i="1"/>
  <c r="M116" i="1" s="1"/>
  <c r="N116" i="1"/>
  <c r="L116" i="1"/>
  <c r="O115" i="1"/>
  <c r="M115" i="1" s="1"/>
  <c r="N115" i="1"/>
  <c r="L115" i="1"/>
  <c r="O114" i="1"/>
  <c r="M114" i="1" s="1"/>
  <c r="N114" i="1"/>
  <c r="L114" i="1"/>
  <c r="O113" i="1"/>
  <c r="N113" i="1"/>
  <c r="M113" i="1"/>
  <c r="L113" i="1"/>
  <c r="O112" i="1"/>
  <c r="M112" i="1" s="1"/>
  <c r="N112" i="1"/>
  <c r="L112" i="1"/>
  <c r="O111" i="1"/>
  <c r="M111" i="1" s="1"/>
  <c r="N111" i="1"/>
  <c r="L111" i="1"/>
  <c r="O110" i="1"/>
  <c r="M110" i="1" s="1"/>
  <c r="N110" i="1"/>
  <c r="L110" i="1"/>
  <c r="O109" i="1"/>
  <c r="M109" i="1" s="1"/>
  <c r="N109" i="1"/>
  <c r="L109" i="1"/>
  <c r="O108" i="1"/>
  <c r="M108" i="1" s="1"/>
  <c r="N108" i="1"/>
  <c r="L108" i="1"/>
  <c r="O107" i="1"/>
  <c r="N107" i="1"/>
  <c r="M107" i="1"/>
  <c r="L107" i="1"/>
  <c r="O106" i="1"/>
  <c r="M106" i="1" s="1"/>
  <c r="N106" i="1"/>
  <c r="L106" i="1"/>
  <c r="O105" i="1"/>
  <c r="N105" i="1"/>
  <c r="M105" i="1"/>
  <c r="L105" i="1"/>
  <c r="O104" i="1"/>
  <c r="M104" i="1" s="1"/>
  <c r="N104" i="1"/>
  <c r="L104" i="1"/>
  <c r="O103" i="1"/>
  <c r="M103" i="1" s="1"/>
  <c r="N103" i="1"/>
  <c r="L103" i="1"/>
  <c r="O102" i="1"/>
  <c r="M102" i="1" s="1"/>
  <c r="N102" i="1"/>
  <c r="L102" i="1"/>
  <c r="O101" i="1"/>
  <c r="M101" i="1" s="1"/>
  <c r="N101" i="1"/>
  <c r="L101" i="1"/>
  <c r="O100" i="1"/>
  <c r="M100" i="1" s="1"/>
  <c r="N100" i="1"/>
  <c r="L100" i="1"/>
  <c r="O99" i="1"/>
  <c r="M99" i="1" s="1"/>
  <c r="N99" i="1"/>
  <c r="L99" i="1"/>
  <c r="O98" i="1"/>
  <c r="M98" i="1" s="1"/>
  <c r="N98" i="1"/>
  <c r="L98" i="1"/>
  <c r="O97" i="1"/>
  <c r="M97" i="1" s="1"/>
  <c r="N97" i="1"/>
  <c r="L97" i="1"/>
  <c r="O96" i="1"/>
  <c r="M96" i="1" s="1"/>
  <c r="N96" i="1"/>
  <c r="L96" i="1"/>
  <c r="O95" i="1"/>
  <c r="M95" i="1" s="1"/>
  <c r="N95" i="1"/>
  <c r="L95" i="1"/>
  <c r="O94" i="1"/>
  <c r="M94" i="1" s="1"/>
  <c r="N94" i="1"/>
  <c r="L94" i="1"/>
  <c r="O93" i="1"/>
  <c r="M93" i="1" s="1"/>
  <c r="N93" i="1"/>
  <c r="L93" i="1"/>
  <c r="O92" i="1"/>
  <c r="M92" i="1" s="1"/>
  <c r="N92" i="1"/>
  <c r="L92" i="1"/>
  <c r="O91" i="1"/>
  <c r="N91" i="1"/>
  <c r="M91" i="1"/>
  <c r="L91" i="1"/>
  <c r="O90" i="1"/>
  <c r="M90" i="1" s="1"/>
  <c r="N90" i="1"/>
  <c r="L90" i="1"/>
  <c r="O89" i="1"/>
  <c r="N89" i="1"/>
  <c r="M89" i="1"/>
  <c r="L89" i="1"/>
  <c r="O88" i="1"/>
  <c r="M88" i="1" s="1"/>
  <c r="N88" i="1"/>
  <c r="L88" i="1"/>
  <c r="O87" i="1"/>
  <c r="M87" i="1" s="1"/>
  <c r="N87" i="1"/>
  <c r="L87" i="1"/>
  <c r="O86" i="1"/>
  <c r="M86" i="1" s="1"/>
  <c r="N86" i="1"/>
  <c r="L86" i="1"/>
  <c r="O85" i="1"/>
  <c r="M85" i="1" s="1"/>
  <c r="N85" i="1"/>
  <c r="L85" i="1"/>
  <c r="O84" i="1"/>
  <c r="M84" i="1" s="1"/>
  <c r="N84" i="1"/>
  <c r="L84" i="1"/>
  <c r="O83" i="1"/>
  <c r="M83" i="1" s="1"/>
  <c r="N83" i="1"/>
  <c r="L83" i="1"/>
  <c r="O82" i="1"/>
  <c r="M82" i="1" s="1"/>
  <c r="N82" i="1"/>
  <c r="L82" i="1"/>
  <c r="O81" i="1"/>
  <c r="N81" i="1"/>
  <c r="M81" i="1"/>
  <c r="L81" i="1"/>
  <c r="O80" i="1"/>
  <c r="M80" i="1" s="1"/>
  <c r="N80" i="1"/>
  <c r="L80" i="1"/>
  <c r="O79" i="1"/>
  <c r="M79" i="1" s="1"/>
  <c r="N79" i="1"/>
  <c r="L79" i="1"/>
  <c r="O78" i="1"/>
  <c r="M78" i="1" s="1"/>
  <c r="N78" i="1"/>
  <c r="L78" i="1"/>
  <c r="O77" i="1"/>
  <c r="M77" i="1" s="1"/>
  <c r="N77" i="1"/>
  <c r="L77" i="1"/>
  <c r="O76" i="1"/>
  <c r="M76" i="1" s="1"/>
  <c r="N76" i="1"/>
  <c r="L76" i="1"/>
  <c r="O75" i="1"/>
  <c r="N75" i="1"/>
  <c r="M75" i="1"/>
  <c r="L75" i="1"/>
  <c r="O74" i="1"/>
  <c r="M74" i="1" s="1"/>
  <c r="N74" i="1"/>
  <c r="L74" i="1"/>
  <c r="O73" i="1"/>
  <c r="N73" i="1"/>
  <c r="M73" i="1"/>
  <c r="L73" i="1"/>
  <c r="O72" i="1"/>
  <c r="M72" i="1" s="1"/>
  <c r="N72" i="1"/>
  <c r="L72" i="1"/>
  <c r="O71" i="1"/>
  <c r="M71" i="1" s="1"/>
  <c r="N71" i="1"/>
  <c r="L71" i="1"/>
  <c r="O70" i="1"/>
  <c r="M70" i="1" s="1"/>
  <c r="N70" i="1"/>
  <c r="L70" i="1"/>
  <c r="O69" i="1"/>
  <c r="M69" i="1" s="1"/>
  <c r="N69" i="1"/>
  <c r="L69" i="1"/>
  <c r="O68" i="1"/>
  <c r="M68" i="1" s="1"/>
  <c r="N68" i="1"/>
  <c r="L68" i="1"/>
  <c r="O67" i="1"/>
  <c r="M67" i="1" s="1"/>
  <c r="N67" i="1"/>
  <c r="L67" i="1"/>
  <c r="O66" i="1"/>
  <c r="M66" i="1" s="1"/>
  <c r="N66" i="1"/>
  <c r="L66" i="1"/>
  <c r="O65" i="1"/>
  <c r="M65" i="1" s="1"/>
  <c r="N65" i="1"/>
  <c r="L65" i="1"/>
  <c r="O64" i="1"/>
  <c r="M64" i="1" s="1"/>
  <c r="N64" i="1"/>
  <c r="L64" i="1"/>
  <c r="O63" i="1"/>
  <c r="M63" i="1" s="1"/>
  <c r="N63" i="1"/>
  <c r="L63" i="1"/>
  <c r="O62" i="1"/>
  <c r="M62" i="1" s="1"/>
  <c r="N62" i="1"/>
  <c r="L62" i="1"/>
  <c r="O61" i="1"/>
  <c r="M61" i="1" s="1"/>
  <c r="N61" i="1"/>
  <c r="L61" i="1"/>
  <c r="O60" i="1"/>
  <c r="M60" i="1" s="1"/>
  <c r="N60" i="1"/>
  <c r="L60" i="1"/>
  <c r="O59" i="1"/>
  <c r="N59" i="1"/>
  <c r="M59" i="1"/>
  <c r="L59" i="1"/>
  <c r="O58" i="1"/>
  <c r="M58" i="1" s="1"/>
  <c r="N58" i="1"/>
  <c r="L58" i="1"/>
  <c r="O57" i="1"/>
  <c r="N57" i="1"/>
  <c r="M57" i="1"/>
  <c r="L57" i="1"/>
  <c r="O56" i="1"/>
  <c r="M56" i="1" s="1"/>
  <c r="N56" i="1"/>
  <c r="L56" i="1"/>
  <c r="O55" i="1"/>
  <c r="M55" i="1" s="1"/>
  <c r="N55" i="1"/>
  <c r="L55" i="1"/>
  <c r="O54" i="1"/>
  <c r="M54" i="1" s="1"/>
  <c r="N54" i="1"/>
  <c r="L54" i="1"/>
  <c r="O53" i="1"/>
  <c r="M53" i="1" s="1"/>
  <c r="N53" i="1"/>
  <c r="L53" i="1"/>
  <c r="O52" i="1"/>
  <c r="M52" i="1" s="1"/>
  <c r="N52" i="1"/>
  <c r="L52" i="1"/>
  <c r="O51" i="1"/>
  <c r="M51" i="1" s="1"/>
  <c r="N51" i="1"/>
  <c r="L51" i="1"/>
  <c r="O50" i="1"/>
  <c r="M50" i="1" s="1"/>
  <c r="N50" i="1"/>
  <c r="L50" i="1"/>
  <c r="O49" i="1"/>
  <c r="N49" i="1"/>
  <c r="M49" i="1"/>
  <c r="L49" i="1"/>
  <c r="O48" i="1"/>
  <c r="M48" i="1" s="1"/>
  <c r="N48" i="1"/>
  <c r="L48" i="1"/>
  <c r="O47" i="1"/>
  <c r="M47" i="1" s="1"/>
  <c r="N47" i="1"/>
  <c r="L47" i="1"/>
  <c r="O46" i="1"/>
  <c r="M46" i="1" s="1"/>
  <c r="N46" i="1"/>
  <c r="L46" i="1"/>
  <c r="O45" i="1"/>
  <c r="M45" i="1" s="1"/>
  <c r="N45" i="1"/>
  <c r="L45" i="1"/>
  <c r="O44" i="1"/>
  <c r="M44" i="1" s="1"/>
  <c r="N44" i="1"/>
  <c r="L44" i="1"/>
  <c r="O43" i="1"/>
  <c r="N43" i="1"/>
  <c r="M43" i="1"/>
  <c r="L43" i="1"/>
  <c r="O42" i="1"/>
  <c r="M42" i="1" s="1"/>
  <c r="N42" i="1"/>
  <c r="L42" i="1"/>
  <c r="O41" i="1"/>
  <c r="M41" i="1" s="1"/>
  <c r="N41" i="1"/>
  <c r="L41" i="1"/>
  <c r="O40" i="1"/>
  <c r="M40" i="1" s="1"/>
  <c r="N40" i="1"/>
  <c r="L40" i="1"/>
  <c r="O39" i="1"/>
  <c r="N39" i="1"/>
  <c r="M39" i="1"/>
  <c r="L39" i="1"/>
  <c r="O38" i="1"/>
  <c r="M38" i="1" s="1"/>
  <c r="N38" i="1"/>
  <c r="L38" i="1"/>
  <c r="O37" i="1"/>
  <c r="M37" i="1" s="1"/>
  <c r="N37" i="1"/>
  <c r="L37" i="1"/>
  <c r="O36" i="1"/>
  <c r="M36" i="1" s="1"/>
  <c r="N36" i="1"/>
  <c r="L36" i="1"/>
  <c r="O35" i="1"/>
  <c r="M35" i="1" s="1"/>
  <c r="N35" i="1"/>
  <c r="L35" i="1"/>
  <c r="O34" i="1"/>
  <c r="M34" i="1" s="1"/>
  <c r="N34" i="1"/>
  <c r="L34" i="1"/>
  <c r="O33" i="1"/>
  <c r="M33" i="1" s="1"/>
  <c r="N33" i="1"/>
  <c r="L33" i="1"/>
  <c r="O32" i="1"/>
  <c r="M32" i="1" s="1"/>
  <c r="N32" i="1"/>
  <c r="L32" i="1"/>
  <c r="O31" i="1"/>
  <c r="M31" i="1" s="1"/>
  <c r="N31" i="1"/>
  <c r="L31" i="1"/>
  <c r="O30" i="1"/>
  <c r="M30" i="1" s="1"/>
  <c r="N30" i="1"/>
  <c r="L30" i="1"/>
  <c r="O29" i="1"/>
  <c r="M29" i="1" s="1"/>
  <c r="N29" i="1"/>
  <c r="L29" i="1"/>
  <c r="O28" i="1"/>
  <c r="M28" i="1" s="1"/>
  <c r="N28" i="1"/>
  <c r="L28" i="1"/>
  <c r="O27" i="1"/>
  <c r="N27" i="1"/>
  <c r="M27" i="1"/>
  <c r="L27" i="1"/>
  <c r="O26" i="1"/>
  <c r="M26" i="1" s="1"/>
  <c r="N26" i="1"/>
  <c r="L26" i="1"/>
  <c r="O25" i="1"/>
  <c r="N25" i="1"/>
  <c r="M25" i="1"/>
  <c r="L25" i="1"/>
  <c r="O24" i="1"/>
  <c r="M24" i="1" s="1"/>
  <c r="N24" i="1"/>
  <c r="L24" i="1"/>
  <c r="O23" i="1"/>
  <c r="M23" i="1" s="1"/>
  <c r="N23" i="1"/>
  <c r="L23" i="1"/>
  <c r="O22" i="1"/>
  <c r="M22" i="1" s="1"/>
  <c r="N22" i="1"/>
  <c r="L22" i="1"/>
  <c r="O21" i="1"/>
  <c r="M21" i="1" s="1"/>
  <c r="N21" i="1"/>
  <c r="L21" i="1"/>
  <c r="O20" i="1"/>
  <c r="M20" i="1" s="1"/>
  <c r="N20" i="1"/>
  <c r="L20" i="1"/>
  <c r="O19" i="1"/>
  <c r="M19" i="1" s="1"/>
  <c r="N19" i="1"/>
  <c r="L19" i="1"/>
  <c r="O18" i="1"/>
  <c r="M18" i="1" s="1"/>
  <c r="N18" i="1"/>
  <c r="L18" i="1"/>
  <c r="O17" i="1"/>
  <c r="N17" i="1"/>
  <c r="M17" i="1"/>
  <c r="L17" i="1"/>
  <c r="O16" i="1"/>
  <c r="M16" i="1" s="1"/>
  <c r="N16" i="1"/>
  <c r="L16" i="1"/>
  <c r="O15" i="1"/>
  <c r="M15" i="1" s="1"/>
  <c r="N15" i="1"/>
  <c r="L15" i="1"/>
  <c r="O14" i="1"/>
  <c r="M14" i="1" s="1"/>
  <c r="N14" i="1"/>
  <c r="L14" i="1"/>
  <c r="O13" i="1"/>
  <c r="M13" i="1" s="1"/>
  <c r="N13" i="1"/>
  <c r="L13" i="1"/>
  <c r="O12" i="1"/>
  <c r="M12" i="1" s="1"/>
  <c r="N12" i="1"/>
  <c r="L12" i="1"/>
  <c r="O11" i="1"/>
  <c r="N11" i="1"/>
  <c r="M11" i="1"/>
  <c r="L11" i="1"/>
  <c r="O10" i="1"/>
  <c r="M10" i="1" s="1"/>
  <c r="N10" i="1"/>
  <c r="L10" i="1"/>
  <c r="O9" i="1"/>
  <c r="N9" i="1"/>
  <c r="M9" i="1"/>
  <c r="L9" i="1"/>
  <c r="O8" i="1"/>
  <c r="M8" i="1" s="1"/>
  <c r="N8" i="1"/>
  <c r="L8" i="1"/>
  <c r="O7" i="1"/>
  <c r="N7" i="1"/>
  <c r="M7" i="1"/>
  <c r="L7" i="1"/>
  <c r="O6" i="1"/>
  <c r="M6" i="1" s="1"/>
  <c r="N6" i="1"/>
  <c r="L6" i="1"/>
  <c r="O5" i="1"/>
  <c r="M5" i="1" s="1"/>
  <c r="N5" i="1"/>
  <c r="L5" i="1"/>
  <c r="O4" i="1"/>
  <c r="M4" i="1" s="1"/>
  <c r="N4" i="1"/>
  <c r="L4" i="1"/>
  <c r="O3" i="1"/>
  <c r="M3" i="1" s="1"/>
  <c r="N3" i="1"/>
  <c r="L3" i="1"/>
  <c r="O2" i="1"/>
  <c r="M2" i="1" s="1"/>
  <c r="N2" i="1"/>
  <c r="L2" i="1"/>
</calcChain>
</file>

<file path=xl/sharedStrings.xml><?xml version="1.0" encoding="utf-8"?>
<sst xmlns="http://schemas.openxmlformats.org/spreadsheetml/2006/main" count="8601" uniqueCount="8601">
  <si>
    <t>Accession</t>
  </si>
  <si>
    <t>Gene</t>
  </si>
  <si>
    <t>q value</t>
  </si>
  <si>
    <t>log2 ratio (KO/WT)</t>
  </si>
  <si>
    <t>P value</t>
  </si>
  <si>
    <t>Q9CR42</t>
  </si>
  <si>
    <t>ANKR1</t>
  </si>
  <si>
    <t>P47934</t>
  </si>
  <si>
    <t>CACP</t>
  </si>
  <si>
    <t>Q9Z0U1</t>
  </si>
  <si>
    <t>ZO2</t>
  </si>
  <si>
    <t>Q8R0Y8</t>
  </si>
  <si>
    <t>S2542</t>
  </si>
  <si>
    <t>P14824</t>
  </si>
  <si>
    <t>ANXA6</t>
  </si>
  <si>
    <t>Q9JI39</t>
  </si>
  <si>
    <t>ABCBA</t>
  </si>
  <si>
    <t>Q8K124</t>
  </si>
  <si>
    <t>PKHO2</t>
  </si>
  <si>
    <t>P56501</t>
  </si>
  <si>
    <t>UCP3</t>
  </si>
  <si>
    <t>P17182</t>
  </si>
  <si>
    <t>ENOA</t>
  </si>
  <si>
    <t>Q62188</t>
  </si>
  <si>
    <t>DPYL3</t>
  </si>
  <si>
    <t>Q9R045</t>
  </si>
  <si>
    <t>ANGL2</t>
  </si>
  <si>
    <t>Q8BMK4</t>
  </si>
  <si>
    <t>CKAP4</t>
  </si>
  <si>
    <t>P85094</t>
  </si>
  <si>
    <t>ISC2A</t>
  </si>
  <si>
    <t>Q9Z1Y4</t>
  </si>
  <si>
    <t>TRIP6</t>
  </si>
  <si>
    <t>Q8BWB1</t>
  </si>
  <si>
    <t>SYP2L</t>
  </si>
  <si>
    <t>Q9CRB8</t>
  </si>
  <si>
    <t>MTFP1</t>
  </si>
  <si>
    <t>Q9Z1E4</t>
  </si>
  <si>
    <t>GYS1</t>
  </si>
  <si>
    <t>Q9CZX8</t>
  </si>
  <si>
    <t>RS19</t>
  </si>
  <si>
    <t>P61014</t>
  </si>
  <si>
    <t>PPLA</t>
  </si>
  <si>
    <t>Q2TPA8</t>
  </si>
  <si>
    <t>HSDL2</t>
  </si>
  <si>
    <t>Q8R164</t>
  </si>
  <si>
    <t>BPHL</t>
  </si>
  <si>
    <t>Q8C0E3</t>
  </si>
  <si>
    <t>TRI47</t>
  </si>
  <si>
    <t>Q3UH66</t>
  </si>
  <si>
    <t>WNK2</t>
  </si>
  <si>
    <t>P62852</t>
  </si>
  <si>
    <t>RS25</t>
  </si>
  <si>
    <t>P07310</t>
  </si>
  <si>
    <t>KCRM</t>
  </si>
  <si>
    <t>Q04899</t>
  </si>
  <si>
    <t>CDK18</t>
  </si>
  <si>
    <t>Q8BXN7</t>
  </si>
  <si>
    <t>PPM1K</t>
  </si>
  <si>
    <t>Q920Q8</t>
  </si>
  <si>
    <t>NS1BP</t>
  </si>
  <si>
    <t>O88447</t>
  </si>
  <si>
    <t>KLC1</t>
  </si>
  <si>
    <t>Q9D7X3</t>
  </si>
  <si>
    <t>DUS3</t>
  </si>
  <si>
    <t>Q9DCX2</t>
  </si>
  <si>
    <t>ATP5H</t>
  </si>
  <si>
    <t>F8VPU2</t>
  </si>
  <si>
    <t>FARP1</t>
  </si>
  <si>
    <t>Q9DCZ4</t>
  </si>
  <si>
    <t>MIC26</t>
  </si>
  <si>
    <t>Q8BK72</t>
  </si>
  <si>
    <t>RT27</t>
  </si>
  <si>
    <t>Q8BH95</t>
  </si>
  <si>
    <t>ECHM</t>
  </si>
  <si>
    <t>Q9DCW4</t>
  </si>
  <si>
    <t>ETFB</t>
  </si>
  <si>
    <t>O88986</t>
  </si>
  <si>
    <t>KBL</t>
  </si>
  <si>
    <t>Q9DBV4</t>
  </si>
  <si>
    <t>MXRA8</t>
  </si>
  <si>
    <t>Q9D1Q6</t>
  </si>
  <si>
    <t>ERP44</t>
  </si>
  <si>
    <t>P42125</t>
  </si>
  <si>
    <t>ECI1</t>
  </si>
  <si>
    <t>P62274</t>
  </si>
  <si>
    <t>RS29</t>
  </si>
  <si>
    <t>Q60714</t>
  </si>
  <si>
    <t>S27A1</t>
  </si>
  <si>
    <t>Q99NB1</t>
  </si>
  <si>
    <t>ACS2L</t>
  </si>
  <si>
    <t>Q9CQF3</t>
  </si>
  <si>
    <t>CPSF5</t>
  </si>
  <si>
    <t>Q99P88</t>
  </si>
  <si>
    <t>NU155</t>
  </si>
  <si>
    <t>Q60598</t>
  </si>
  <si>
    <t>SRC8</t>
  </si>
  <si>
    <t>Q91YR1</t>
  </si>
  <si>
    <t>TWF1</t>
  </si>
  <si>
    <t>Q8BWT1</t>
  </si>
  <si>
    <t>THIM</t>
  </si>
  <si>
    <t>Q9WUB3</t>
  </si>
  <si>
    <t>PYGM</t>
  </si>
  <si>
    <t>Q810J8</t>
  </si>
  <si>
    <t>ZFYV1</t>
  </si>
  <si>
    <t>P04247</t>
  </si>
  <si>
    <t>MYG</t>
  </si>
  <si>
    <t>O35680</t>
  </si>
  <si>
    <t>RT12</t>
  </si>
  <si>
    <t>Q9WUA5</t>
  </si>
  <si>
    <t>EPM2A</t>
  </si>
  <si>
    <t>Q6PB44</t>
  </si>
  <si>
    <t>PTN23</t>
  </si>
  <si>
    <t>O08553</t>
  </si>
  <si>
    <t>DPYL2</t>
  </si>
  <si>
    <t>Q8BIK4</t>
  </si>
  <si>
    <t>DOCK9</t>
  </si>
  <si>
    <t>Q99KI0</t>
  </si>
  <si>
    <t>ACON</t>
  </si>
  <si>
    <t>P53995</t>
  </si>
  <si>
    <t>APC1</t>
  </si>
  <si>
    <t>Q9DCM2</t>
  </si>
  <si>
    <t>GSTK1</t>
  </si>
  <si>
    <t>P61750</t>
  </si>
  <si>
    <t>ARF4</t>
  </si>
  <si>
    <t>Q9WUR2</t>
  </si>
  <si>
    <t>ECI2</t>
  </si>
  <si>
    <t>Q9D1R1</t>
  </si>
  <si>
    <t>T126B</t>
  </si>
  <si>
    <t>Q3UTJ2</t>
  </si>
  <si>
    <t>SRBS2</t>
  </si>
  <si>
    <t>P97351</t>
  </si>
  <si>
    <t>RS3A</t>
  </si>
  <si>
    <t>Q9ET01</t>
  </si>
  <si>
    <t>PYGL</t>
  </si>
  <si>
    <t>Q78JN3</t>
  </si>
  <si>
    <t>ECI3</t>
  </si>
  <si>
    <t>O70209</t>
  </si>
  <si>
    <t>PDLI3</t>
  </si>
  <si>
    <t>Q9Z1S8</t>
  </si>
  <si>
    <t>GAB2</t>
  </si>
  <si>
    <t>P28738</t>
  </si>
  <si>
    <t>KIF5C</t>
  </si>
  <si>
    <t>Q8BYJ6</t>
  </si>
  <si>
    <t>TBCD4</t>
  </si>
  <si>
    <t>Q9DCT8</t>
  </si>
  <si>
    <t>CRIP2</t>
  </si>
  <si>
    <t>Q8C6G8</t>
  </si>
  <si>
    <t>WDR26</t>
  </si>
  <si>
    <t>Q9D172</t>
  </si>
  <si>
    <t>GAL3A</t>
  </si>
  <si>
    <t>Q91VT4</t>
  </si>
  <si>
    <t>CBR4</t>
  </si>
  <si>
    <t>O35111</t>
  </si>
  <si>
    <t>KCNK3</t>
  </si>
  <si>
    <t>O88448</t>
  </si>
  <si>
    <t>KLC2</t>
  </si>
  <si>
    <t>Q91WG8</t>
  </si>
  <si>
    <t>GLCNE</t>
  </si>
  <si>
    <t>O88587</t>
  </si>
  <si>
    <t>COMT</t>
  </si>
  <si>
    <t>P63323</t>
  </si>
  <si>
    <t>RS12</t>
  </si>
  <si>
    <t>E9Q401</t>
  </si>
  <si>
    <t>RYR2</t>
  </si>
  <si>
    <t>Q80XN0</t>
  </si>
  <si>
    <t>BDH</t>
  </si>
  <si>
    <t>Q8CH40</t>
  </si>
  <si>
    <t>NUDT6</t>
  </si>
  <si>
    <t>Q9WUM5</t>
  </si>
  <si>
    <t>SUCA</t>
  </si>
  <si>
    <t>Q8BR37</t>
  </si>
  <si>
    <t>NHLC1</t>
  </si>
  <si>
    <t>P62897</t>
  </si>
  <si>
    <t>CYC</t>
  </si>
  <si>
    <t>Q9D783</t>
  </si>
  <si>
    <t>KLH40</t>
  </si>
  <si>
    <t>Q99JB8</t>
  </si>
  <si>
    <t>PACN3</t>
  </si>
  <si>
    <t>P14142</t>
  </si>
  <si>
    <t>GLUT4</t>
  </si>
  <si>
    <t>A2A8Z1</t>
  </si>
  <si>
    <t>OSBL9</t>
  </si>
  <si>
    <t>Q8VDN2</t>
  </si>
  <si>
    <t>AT1A1</t>
  </si>
  <si>
    <t>Q3UE31</t>
  </si>
  <si>
    <t>K0930</t>
  </si>
  <si>
    <t>Q9QVP9</t>
  </si>
  <si>
    <t>FAK2</t>
  </si>
  <si>
    <t>P50543</t>
  </si>
  <si>
    <t>S10AB</t>
  </si>
  <si>
    <t>Q9D7N3</t>
  </si>
  <si>
    <t>RT09</t>
  </si>
  <si>
    <t>Q9JKF1</t>
  </si>
  <si>
    <t>IQGA1</t>
  </si>
  <si>
    <t>Q9ER88</t>
  </si>
  <si>
    <t>RT29</t>
  </si>
  <si>
    <t>Q6P3A8</t>
  </si>
  <si>
    <t>ODBB</t>
  </si>
  <si>
    <t>Q63918</t>
  </si>
  <si>
    <t>CAVN2</t>
  </si>
  <si>
    <t>Q99KQ4</t>
  </si>
  <si>
    <t>NAMPT</t>
  </si>
  <si>
    <t>Q99J39</t>
  </si>
  <si>
    <t>DCMC</t>
  </si>
  <si>
    <t>O70325</t>
  </si>
  <si>
    <t>GPX4</t>
  </si>
  <si>
    <t>Q91ZX7</t>
  </si>
  <si>
    <t>LRP1</t>
  </si>
  <si>
    <t>Q8CBY1</t>
  </si>
  <si>
    <t>SMAG1</t>
  </si>
  <si>
    <t>O08807</t>
  </si>
  <si>
    <t>PRDX4</t>
  </si>
  <si>
    <t>Q8BYL4</t>
  </si>
  <si>
    <t>SYYM</t>
  </si>
  <si>
    <t>P00848</t>
  </si>
  <si>
    <t>ATP6</t>
  </si>
  <si>
    <t>Q91V61</t>
  </si>
  <si>
    <t>SFXN3</t>
  </si>
  <si>
    <t>Q8BWT5</t>
  </si>
  <si>
    <t>DIP2A</t>
  </si>
  <si>
    <t>P47856</t>
  </si>
  <si>
    <t>GFPT1</t>
  </si>
  <si>
    <t>Q61768</t>
  </si>
  <si>
    <t>KINH</t>
  </si>
  <si>
    <t>Q8VIJ6</t>
  </si>
  <si>
    <t>SFPQ</t>
  </si>
  <si>
    <t>Q99K48</t>
  </si>
  <si>
    <t>NONO</t>
  </si>
  <si>
    <t>Q9WVH4</t>
  </si>
  <si>
    <t>FOXO3</t>
  </si>
  <si>
    <t>P45952</t>
  </si>
  <si>
    <t>ACADM</t>
  </si>
  <si>
    <t>Q8BZF8</t>
  </si>
  <si>
    <t>PGM5</t>
  </si>
  <si>
    <t>Q91WG5</t>
  </si>
  <si>
    <t>AAKG2</t>
  </si>
  <si>
    <t>Q9D6M3</t>
  </si>
  <si>
    <t>GHC1</t>
  </si>
  <si>
    <t>A2AF47</t>
  </si>
  <si>
    <t>DOC11</t>
  </si>
  <si>
    <t>Q9DB41</t>
  </si>
  <si>
    <t>GHC2</t>
  </si>
  <si>
    <t>P59708</t>
  </si>
  <si>
    <t>SF3B6</t>
  </si>
  <si>
    <t>Q80XB4</t>
  </si>
  <si>
    <t>NRAP</t>
  </si>
  <si>
    <t>O35250</t>
  </si>
  <si>
    <t>EXOC7</t>
  </si>
  <si>
    <t>Q8BVU0</t>
  </si>
  <si>
    <t>LRCH3</t>
  </si>
  <si>
    <t>Q9WU79</t>
  </si>
  <si>
    <t>PROD</t>
  </si>
  <si>
    <t>Q8K010</t>
  </si>
  <si>
    <t>OPLA</t>
  </si>
  <si>
    <t>Q00PI9</t>
  </si>
  <si>
    <t>HNRL2</t>
  </si>
  <si>
    <t>Q8BL03</t>
  </si>
  <si>
    <t>S2529</t>
  </si>
  <si>
    <t>P63085</t>
  </si>
  <si>
    <t>MK01</t>
  </si>
  <si>
    <t>Q9JLM8</t>
  </si>
  <si>
    <t>DCLK1</t>
  </si>
  <si>
    <t>Q80UP8</t>
  </si>
  <si>
    <t>S20A2</t>
  </si>
  <si>
    <t>P46935</t>
  </si>
  <si>
    <t>NEDD4</t>
  </si>
  <si>
    <t>P50427</t>
  </si>
  <si>
    <t>STS</t>
  </si>
  <si>
    <t>Q9CQQ7</t>
  </si>
  <si>
    <t>AT5F1</t>
  </si>
  <si>
    <t>Q925I1</t>
  </si>
  <si>
    <t>ATAD3</t>
  </si>
  <si>
    <t>O88502</t>
  </si>
  <si>
    <t>PDE8A</t>
  </si>
  <si>
    <t>P97447</t>
  </si>
  <si>
    <t>FHL1</t>
  </si>
  <si>
    <t>Q61235</t>
  </si>
  <si>
    <t>SNTB2</t>
  </si>
  <si>
    <t>Q9D6R2</t>
  </si>
  <si>
    <t>IDH3A</t>
  </si>
  <si>
    <t>Q71RI9</t>
  </si>
  <si>
    <t>KAT3</t>
  </si>
  <si>
    <t>Q9D7M1</t>
  </si>
  <si>
    <t>GID8</t>
  </si>
  <si>
    <t>Q60780</t>
  </si>
  <si>
    <t>GAS7</t>
  </si>
  <si>
    <t>P35831</t>
  </si>
  <si>
    <t>PTN12</t>
  </si>
  <si>
    <t>Q4ACU6</t>
  </si>
  <si>
    <t>SHAN3</t>
  </si>
  <si>
    <t>Q8BH86</t>
  </si>
  <si>
    <t>GLUCM</t>
  </si>
  <si>
    <t>P59222</t>
  </si>
  <si>
    <t>SREC2</t>
  </si>
  <si>
    <t>Q5SUQ9</t>
  </si>
  <si>
    <t>CTC1</t>
  </si>
  <si>
    <t>Q8BFZ1</t>
  </si>
  <si>
    <t>TECRL</t>
  </si>
  <si>
    <t>Q9CZU6</t>
  </si>
  <si>
    <t>CISY</t>
  </si>
  <si>
    <t>Q6NT99</t>
  </si>
  <si>
    <t>DUS23</t>
  </si>
  <si>
    <t>O70583</t>
  </si>
  <si>
    <t>TRI18</t>
  </si>
  <si>
    <t>P32883</t>
  </si>
  <si>
    <t>RASK</t>
  </si>
  <si>
    <t>P63005</t>
  </si>
  <si>
    <t>LIS1</t>
  </si>
  <si>
    <t>Q9CQ62</t>
  </si>
  <si>
    <t>DECR</t>
  </si>
  <si>
    <t>Q9DC71</t>
  </si>
  <si>
    <t>RT15</t>
  </si>
  <si>
    <t>Q5EG47</t>
  </si>
  <si>
    <t>AAPK1</t>
  </si>
  <si>
    <t>P62082</t>
  </si>
  <si>
    <t>RS7</t>
  </si>
  <si>
    <t>P62281</t>
  </si>
  <si>
    <t>RS11</t>
  </si>
  <si>
    <t>Q63844</t>
  </si>
  <si>
    <t>MK03</t>
  </si>
  <si>
    <t>P41216</t>
  </si>
  <si>
    <t>ACSL1</t>
  </si>
  <si>
    <t>Q8K3Z9</t>
  </si>
  <si>
    <t>PO121</t>
  </si>
  <si>
    <t>P50136</t>
  </si>
  <si>
    <t>ODBA</t>
  </si>
  <si>
    <t>P62334</t>
  </si>
  <si>
    <t>PRS10</t>
  </si>
  <si>
    <t>Q64213</t>
  </si>
  <si>
    <t>SF01</t>
  </si>
  <si>
    <t>Q9D0B0</t>
  </si>
  <si>
    <t>SRSF9</t>
  </si>
  <si>
    <t>Q9DCD5</t>
  </si>
  <si>
    <t>TJAP1</t>
  </si>
  <si>
    <t>Q8VC03</t>
  </si>
  <si>
    <t>EMAL3</t>
  </si>
  <si>
    <t>P62830</t>
  </si>
  <si>
    <t>RL23</t>
  </si>
  <si>
    <t>Q9CXV1</t>
  </si>
  <si>
    <t>DHSD</t>
  </si>
  <si>
    <t>Q9JK42</t>
  </si>
  <si>
    <t>PDK2</t>
  </si>
  <si>
    <t>P08752</t>
  </si>
  <si>
    <t>GNAI2</t>
  </si>
  <si>
    <t>Q9DCM0</t>
  </si>
  <si>
    <t>ETHE1</t>
  </si>
  <si>
    <t>Q91V79</t>
  </si>
  <si>
    <t>FITM1</t>
  </si>
  <si>
    <t>Q80X85</t>
  </si>
  <si>
    <t>RT07</t>
  </si>
  <si>
    <t>Q6P8J7</t>
  </si>
  <si>
    <t>KCRS</t>
  </si>
  <si>
    <t>Q9Z1J3</t>
  </si>
  <si>
    <t>NFS1</t>
  </si>
  <si>
    <t>Q8BVE3</t>
  </si>
  <si>
    <t>VATH</t>
  </si>
  <si>
    <t>Q61586</t>
  </si>
  <si>
    <t>GPAT1</t>
  </si>
  <si>
    <t>Q8JZZ7</t>
  </si>
  <si>
    <t>AGRL2</t>
  </si>
  <si>
    <t>B2RQC6</t>
  </si>
  <si>
    <t>PYR1</t>
  </si>
  <si>
    <t>Q91WC3</t>
  </si>
  <si>
    <t>ACSL6</t>
  </si>
  <si>
    <t>O35658</t>
  </si>
  <si>
    <t>C1QBP</t>
  </si>
  <si>
    <t>P55258</t>
  </si>
  <si>
    <t>RAB8A</t>
  </si>
  <si>
    <t>P53395</t>
  </si>
  <si>
    <t>ODB2</t>
  </si>
  <si>
    <t>Q6NZC7</t>
  </si>
  <si>
    <t>S23IP</t>
  </si>
  <si>
    <t>P08207</t>
  </si>
  <si>
    <t>S10AA</t>
  </si>
  <si>
    <t>Q9CXW4</t>
  </si>
  <si>
    <t>RL11</t>
  </si>
  <si>
    <t>O35382</t>
  </si>
  <si>
    <t>EXOC4</t>
  </si>
  <si>
    <t>P48678</t>
  </si>
  <si>
    <t>LMNA</t>
  </si>
  <si>
    <t>Q921G7</t>
  </si>
  <si>
    <t>ETFD</t>
  </si>
  <si>
    <t>Q99MR9</t>
  </si>
  <si>
    <t>PPR3A</t>
  </si>
  <si>
    <t>Q6NWW9</t>
  </si>
  <si>
    <t>FND3B</t>
  </si>
  <si>
    <t>P62874</t>
  </si>
  <si>
    <t>GBB1</t>
  </si>
  <si>
    <t>P10107</t>
  </si>
  <si>
    <t>ANXA1</t>
  </si>
  <si>
    <t>Q3UGS4</t>
  </si>
  <si>
    <t>MCRI1</t>
  </si>
  <si>
    <t>Q99L13</t>
  </si>
  <si>
    <t>3HIDH</t>
  </si>
  <si>
    <t>Q8R1A4</t>
  </si>
  <si>
    <t>DOCK7</t>
  </si>
  <si>
    <t>Q64449</t>
  </si>
  <si>
    <t>MRC2</t>
  </si>
  <si>
    <t>Q6ZQB6</t>
  </si>
  <si>
    <t>VIP2</t>
  </si>
  <si>
    <t>Q9ES83</t>
  </si>
  <si>
    <t>POPD1</t>
  </si>
  <si>
    <t>P63276</t>
  </si>
  <si>
    <t>RS17</t>
  </si>
  <si>
    <t>O35857</t>
  </si>
  <si>
    <t>TIM44</t>
  </si>
  <si>
    <t>P97314</t>
  </si>
  <si>
    <t>CSRP2</t>
  </si>
  <si>
    <t>Q9WVT6</t>
  </si>
  <si>
    <t>CAH14</t>
  </si>
  <si>
    <t>Q99LC5</t>
  </si>
  <si>
    <t>ETFA</t>
  </si>
  <si>
    <t>Q61743</t>
  </si>
  <si>
    <t>KCJ11</t>
  </si>
  <si>
    <t>P47757</t>
  </si>
  <si>
    <t>CAPZB</t>
  </si>
  <si>
    <t>E9Q4Z2</t>
  </si>
  <si>
    <t>ACACB</t>
  </si>
  <si>
    <t>O70318</t>
  </si>
  <si>
    <t>E41L2</t>
  </si>
  <si>
    <t>Q64462</t>
  </si>
  <si>
    <t>CP4B1</t>
  </si>
  <si>
    <t>O54724</t>
  </si>
  <si>
    <t>CAVN1</t>
  </si>
  <si>
    <t>P56135</t>
  </si>
  <si>
    <t>ATPK</t>
  </si>
  <si>
    <t>P62320</t>
  </si>
  <si>
    <t>SMD3</t>
  </si>
  <si>
    <t>Q8K2B3</t>
  </si>
  <si>
    <t>SDHA</t>
  </si>
  <si>
    <t>Q9QZC8</t>
  </si>
  <si>
    <t>ABHD1</t>
  </si>
  <si>
    <t>Q9Z2I9</t>
  </si>
  <si>
    <t>SUCB1</t>
  </si>
  <si>
    <t>P35278</t>
  </si>
  <si>
    <t>RAB5C</t>
  </si>
  <si>
    <t>Q8VDV3</t>
  </si>
  <si>
    <t>R3GEF</t>
  </si>
  <si>
    <t>Q8VCE1</t>
  </si>
  <si>
    <t>DJC28</t>
  </si>
  <si>
    <t>Q9DAT5</t>
  </si>
  <si>
    <t>MTU1</t>
  </si>
  <si>
    <t>Q80XL6</t>
  </si>
  <si>
    <t>ACD11</t>
  </si>
  <si>
    <t>P47753</t>
  </si>
  <si>
    <t>CAZA1</t>
  </si>
  <si>
    <t>Q9ET80</t>
  </si>
  <si>
    <t>JPH1</t>
  </si>
  <si>
    <t>Q8BGC4</t>
  </si>
  <si>
    <t>PTGR3</t>
  </si>
  <si>
    <t>Q9D0L7</t>
  </si>
  <si>
    <t>ARM10</t>
  </si>
  <si>
    <t>P28653</t>
  </si>
  <si>
    <t>PGS1</t>
  </si>
  <si>
    <t>Q91WS0</t>
  </si>
  <si>
    <t>CISD1</t>
  </si>
  <si>
    <t>Q9CZ13</t>
  </si>
  <si>
    <t>QCR1</t>
  </si>
  <si>
    <t>P47857</t>
  </si>
  <si>
    <t>PFKAM</t>
  </si>
  <si>
    <t>Q62234</t>
  </si>
  <si>
    <t>MYOM1</t>
  </si>
  <si>
    <t>Q8CHU3</t>
  </si>
  <si>
    <t>EPN2</t>
  </si>
  <si>
    <t>Q8VE19</t>
  </si>
  <si>
    <t>MIO</t>
  </si>
  <si>
    <t>Q3TC72</t>
  </si>
  <si>
    <t>FAHD2</t>
  </si>
  <si>
    <t>Q8R086</t>
  </si>
  <si>
    <t>SUOX</t>
  </si>
  <si>
    <t>Q8CI94</t>
  </si>
  <si>
    <t>PYGB</t>
  </si>
  <si>
    <t>Q3TMP8</t>
  </si>
  <si>
    <t>TM38A</t>
  </si>
  <si>
    <t>Q9R062</t>
  </si>
  <si>
    <t>GLYG</t>
  </si>
  <si>
    <t>Q99MR8</t>
  </si>
  <si>
    <t>MCCA</t>
  </si>
  <si>
    <t>Q9DB60</t>
  </si>
  <si>
    <t>PXL2B</t>
  </si>
  <si>
    <t>Q8CIE6</t>
  </si>
  <si>
    <t>COPA</t>
  </si>
  <si>
    <t>Q6P6L0</t>
  </si>
  <si>
    <t>FIL1L</t>
  </si>
  <si>
    <t>Q8C7H1</t>
  </si>
  <si>
    <t>MMAA</t>
  </si>
  <si>
    <t>Q8BJZ4</t>
  </si>
  <si>
    <t>RT35</t>
  </si>
  <si>
    <t>P70170</t>
  </si>
  <si>
    <t>ABCC9</t>
  </si>
  <si>
    <t>Q9JLQ2</t>
  </si>
  <si>
    <t>GIT2</t>
  </si>
  <si>
    <t>Q8BPU7</t>
  </si>
  <si>
    <t>ELMO1</t>
  </si>
  <si>
    <t>Q8K3H0</t>
  </si>
  <si>
    <t>DP13A</t>
  </si>
  <si>
    <t>Q9DBS5</t>
  </si>
  <si>
    <t>KLC4</t>
  </si>
  <si>
    <t>Q99MS7</t>
  </si>
  <si>
    <t>EH1L1</t>
  </si>
  <si>
    <t>Q80TN4</t>
  </si>
  <si>
    <t>DJC16</t>
  </si>
  <si>
    <t>Q9D2N9</t>
  </si>
  <si>
    <t>VP33A</t>
  </si>
  <si>
    <t>O89017</t>
  </si>
  <si>
    <t>LGMN</t>
  </si>
  <si>
    <t>Q9R0X4</t>
  </si>
  <si>
    <t>ACOT9</t>
  </si>
  <si>
    <t>Q32MW3</t>
  </si>
  <si>
    <t>ACO10</t>
  </si>
  <si>
    <t>O70589</t>
  </si>
  <si>
    <t>CSKP</t>
  </si>
  <si>
    <t>Q6PNC0</t>
  </si>
  <si>
    <t>DMXL1</t>
  </si>
  <si>
    <t>P29391</t>
  </si>
  <si>
    <t>FRIL1</t>
  </si>
  <si>
    <t>P49945</t>
  </si>
  <si>
    <t>FRIL2</t>
  </si>
  <si>
    <t>O35098</t>
  </si>
  <si>
    <t>DPYL4</t>
  </si>
  <si>
    <t>Q9CQA3</t>
  </si>
  <si>
    <t>SDHB</t>
  </si>
  <si>
    <t>Q8BP01</t>
  </si>
  <si>
    <t>VMAC</t>
  </si>
  <si>
    <t>Q8VDT9</t>
  </si>
  <si>
    <t>RM50</t>
  </si>
  <si>
    <t>Q61733</t>
  </si>
  <si>
    <t>RT31</t>
  </si>
  <si>
    <t>P52480</t>
  </si>
  <si>
    <t>KPYM</t>
  </si>
  <si>
    <t>P61979</t>
  </si>
  <si>
    <t>HNRPK</t>
  </si>
  <si>
    <t>P28660</t>
  </si>
  <si>
    <t>NCKP1</t>
  </si>
  <si>
    <t>P63030</t>
  </si>
  <si>
    <t>MPC1</t>
  </si>
  <si>
    <t>P62192</t>
  </si>
  <si>
    <t>PRS4</t>
  </si>
  <si>
    <t>Q9JK53</t>
  </si>
  <si>
    <t>PRELP</t>
  </si>
  <si>
    <t>P16460</t>
  </si>
  <si>
    <t>ASSY</t>
  </si>
  <si>
    <t>A2A6T1</t>
  </si>
  <si>
    <t>CDR2L</t>
  </si>
  <si>
    <t>A3KFX0</t>
  </si>
  <si>
    <t>5NT1A</t>
  </si>
  <si>
    <t>Q9D0E1</t>
  </si>
  <si>
    <t>HNRPM</t>
  </si>
  <si>
    <t>Q9D0M1</t>
  </si>
  <si>
    <t>KPRA</t>
  </si>
  <si>
    <t>P52623</t>
  </si>
  <si>
    <t>UCK1</t>
  </si>
  <si>
    <t>Q99KV1</t>
  </si>
  <si>
    <t>DJB11</t>
  </si>
  <si>
    <t>Q8CFG0</t>
  </si>
  <si>
    <t>SULF2</t>
  </si>
  <si>
    <t>Q8BH43</t>
  </si>
  <si>
    <t>WASF2</t>
  </si>
  <si>
    <t>P70404</t>
  </si>
  <si>
    <t>IDHG1</t>
  </si>
  <si>
    <t>A2AIL4</t>
  </si>
  <si>
    <t>NDUF6</t>
  </si>
  <si>
    <t>P84096</t>
  </si>
  <si>
    <t>RHOG</t>
  </si>
  <si>
    <t>Q60936</t>
  </si>
  <si>
    <t>COQ8A</t>
  </si>
  <si>
    <t>P14869</t>
  </si>
  <si>
    <t>RLA0</t>
  </si>
  <si>
    <t>Q9D554</t>
  </si>
  <si>
    <t>SF3A3</t>
  </si>
  <si>
    <t>O89079</t>
  </si>
  <si>
    <t>COPE</t>
  </si>
  <si>
    <t>Q5BL07</t>
  </si>
  <si>
    <t>PEX1</t>
  </si>
  <si>
    <t>Q3U213</t>
  </si>
  <si>
    <t>SRAC1</t>
  </si>
  <si>
    <t>Q9CRA7</t>
  </si>
  <si>
    <t>ATP5S</t>
  </si>
  <si>
    <t>P56565</t>
  </si>
  <si>
    <t>S10A1</t>
  </si>
  <si>
    <t>P39061</t>
  </si>
  <si>
    <t>COIA1</t>
  </si>
  <si>
    <t>Q8C3J5</t>
  </si>
  <si>
    <t>DOCK2</t>
  </si>
  <si>
    <t>Q78J03</t>
  </si>
  <si>
    <t>MSRB2</t>
  </si>
  <si>
    <t>Q9DBT5</t>
  </si>
  <si>
    <t>AMPD2</t>
  </si>
  <si>
    <t>O35286</t>
  </si>
  <si>
    <t>DHX15</t>
  </si>
  <si>
    <t>P62908</t>
  </si>
  <si>
    <t>RS3</t>
  </si>
  <si>
    <t>Q3U1Z5</t>
  </si>
  <si>
    <t>GPSM3</t>
  </si>
  <si>
    <t>Q7TSG2</t>
  </si>
  <si>
    <t>CTDP1</t>
  </si>
  <si>
    <t>Q9D7P6</t>
  </si>
  <si>
    <t>ISCU</t>
  </si>
  <si>
    <t>Q9DC07</t>
  </si>
  <si>
    <t>LNEBL</t>
  </si>
  <si>
    <t>Q91VM9</t>
  </si>
  <si>
    <t>IPYR2</t>
  </si>
  <si>
    <t>Q8BH97</t>
  </si>
  <si>
    <t>RCN3</t>
  </si>
  <si>
    <t>P07356</t>
  </si>
  <si>
    <t>ANXA2</t>
  </si>
  <si>
    <t>P56546</t>
  </si>
  <si>
    <t>CTBP2</t>
  </si>
  <si>
    <t>P16125</t>
  </si>
  <si>
    <t>LDHB</t>
  </si>
  <si>
    <t>Q810U5</t>
  </si>
  <si>
    <t>CCD50</t>
  </si>
  <si>
    <t>Q5SVL6</t>
  </si>
  <si>
    <t>RPGP2</t>
  </si>
  <si>
    <t>P55302</t>
  </si>
  <si>
    <t>AMRP</t>
  </si>
  <si>
    <t>P62264</t>
  </si>
  <si>
    <t>RS14</t>
  </si>
  <si>
    <t>Q8R4Y4</t>
  </si>
  <si>
    <t>STAB1</t>
  </si>
  <si>
    <t>A3KMP2</t>
  </si>
  <si>
    <t>TTC38</t>
  </si>
  <si>
    <t>P42208</t>
  </si>
  <si>
    <t>SEPT2</t>
  </si>
  <si>
    <t>O88685</t>
  </si>
  <si>
    <t>PRS6A</t>
  </si>
  <si>
    <t>O55131</t>
  </si>
  <si>
    <t>SEPT7</t>
  </si>
  <si>
    <t>Q8BG51</t>
  </si>
  <si>
    <t>MIRO1</t>
  </si>
  <si>
    <t>Q9Z110</t>
  </si>
  <si>
    <t>P5CS</t>
  </si>
  <si>
    <t>Q60759</t>
  </si>
  <si>
    <t>GCDH</t>
  </si>
  <si>
    <t>P00493</t>
  </si>
  <si>
    <t>HPRT</t>
  </si>
  <si>
    <t>P62827</t>
  </si>
  <si>
    <t>RAN</t>
  </si>
  <si>
    <t>P09671</t>
  </si>
  <si>
    <t>SODM</t>
  </si>
  <si>
    <t>Q91W96</t>
  </si>
  <si>
    <t>APC4</t>
  </si>
  <si>
    <t>P97450</t>
  </si>
  <si>
    <t>ATP5J</t>
  </si>
  <si>
    <t>Q149B8</t>
  </si>
  <si>
    <t>PERM1</t>
  </si>
  <si>
    <t>Q91YH5</t>
  </si>
  <si>
    <t>ATLA3</t>
  </si>
  <si>
    <t>Q9CQW7</t>
  </si>
  <si>
    <t>COA8</t>
  </si>
  <si>
    <t>O55028</t>
  </si>
  <si>
    <t>BCKD</t>
  </si>
  <si>
    <t>Q8BMG7</t>
  </si>
  <si>
    <t>RBGPR</t>
  </si>
  <si>
    <t>Q922M3</t>
  </si>
  <si>
    <t>BACD3</t>
  </si>
  <si>
    <t>Q62245</t>
  </si>
  <si>
    <t>SOS1</t>
  </si>
  <si>
    <t>Q91YL3</t>
  </si>
  <si>
    <t>UCKL1</t>
  </si>
  <si>
    <t>P97478</t>
  </si>
  <si>
    <t>COQ7</t>
  </si>
  <si>
    <t>A2AMM0</t>
  </si>
  <si>
    <t>CAVN4</t>
  </si>
  <si>
    <t>P14733</t>
  </si>
  <si>
    <t>LMNB1</t>
  </si>
  <si>
    <t>P35569</t>
  </si>
  <si>
    <t>IRS1</t>
  </si>
  <si>
    <t>P60867</t>
  </si>
  <si>
    <t>RS20</t>
  </si>
  <si>
    <t>P59672</t>
  </si>
  <si>
    <t>ANS1A</t>
  </si>
  <si>
    <t>Q5DTM8</t>
  </si>
  <si>
    <t>BRE1A</t>
  </si>
  <si>
    <t>Q9JI11</t>
  </si>
  <si>
    <t>STK4</t>
  </si>
  <si>
    <t>Q8C8U0</t>
  </si>
  <si>
    <t>LIPB1</t>
  </si>
  <si>
    <t>Q6DID7</t>
  </si>
  <si>
    <t>WLS</t>
  </si>
  <si>
    <t>Q3UQ84</t>
  </si>
  <si>
    <t>SYTM</t>
  </si>
  <si>
    <t>O08547</t>
  </si>
  <si>
    <t>SC22B</t>
  </si>
  <si>
    <t>P17563</t>
  </si>
  <si>
    <t>SBP1</t>
  </si>
  <si>
    <t>Q8BFW7</t>
  </si>
  <si>
    <t>LPP</t>
  </si>
  <si>
    <t>Q99M01</t>
  </si>
  <si>
    <t>SYFM</t>
  </si>
  <si>
    <t>P20108</t>
  </si>
  <si>
    <t>PRDX3</t>
  </si>
  <si>
    <t>Q8BP47</t>
  </si>
  <si>
    <t>SYNC</t>
  </si>
  <si>
    <t>Q9QXE7</t>
  </si>
  <si>
    <t>TBL1X</t>
  </si>
  <si>
    <t>Q91W69</t>
  </si>
  <si>
    <t>EPN3</t>
  </si>
  <si>
    <t>Q8CIM3</t>
  </si>
  <si>
    <t>D2HDH</t>
  </si>
  <si>
    <t>P97872</t>
  </si>
  <si>
    <t>FMO5</t>
  </si>
  <si>
    <t>Q9D4H1</t>
  </si>
  <si>
    <t>EXOC2</t>
  </si>
  <si>
    <t>Q64518</t>
  </si>
  <si>
    <t>AT2A3</t>
  </si>
  <si>
    <t>P18760</t>
  </si>
  <si>
    <t>COF1</t>
  </si>
  <si>
    <t>P14131</t>
  </si>
  <si>
    <t>RS16</t>
  </si>
  <si>
    <t>Q921M3</t>
  </si>
  <si>
    <t>SF3B3</t>
  </si>
  <si>
    <t>O54865</t>
  </si>
  <si>
    <t>GCYB1</t>
  </si>
  <si>
    <t>Q9ERG0</t>
  </si>
  <si>
    <t>LIMA1</t>
  </si>
  <si>
    <t>Q99JY0</t>
  </si>
  <si>
    <t>ECHB</t>
  </si>
  <si>
    <t>Q9WUU8</t>
  </si>
  <si>
    <t>TNIP1</t>
  </si>
  <si>
    <t>Q8BGT5</t>
  </si>
  <si>
    <t>ALAT2</t>
  </si>
  <si>
    <t>Q3TCJ8</t>
  </si>
  <si>
    <t>CCD69</t>
  </si>
  <si>
    <t>Q9D844</t>
  </si>
  <si>
    <t>DNJC4</t>
  </si>
  <si>
    <t>P54822</t>
  </si>
  <si>
    <t>PUR8</t>
  </si>
  <si>
    <t>Q9CR89</t>
  </si>
  <si>
    <t>ERGI2</t>
  </si>
  <si>
    <t>Q9D2G2</t>
  </si>
  <si>
    <t>ODO2</t>
  </si>
  <si>
    <t>P54071</t>
  </si>
  <si>
    <t>IDHP</t>
  </si>
  <si>
    <t>Q3ULJ0</t>
  </si>
  <si>
    <t>GPD1L</t>
  </si>
  <si>
    <t>Q9CWE0</t>
  </si>
  <si>
    <t>MFR1L</t>
  </si>
  <si>
    <t>Q5SW19</t>
  </si>
  <si>
    <t>CLU</t>
  </si>
  <si>
    <t>Q6P1F6</t>
  </si>
  <si>
    <t>2ABA</t>
  </si>
  <si>
    <t>Q9ET30</t>
  </si>
  <si>
    <t>TM9S3</t>
  </si>
  <si>
    <t>Q3U7R1</t>
  </si>
  <si>
    <t>ESYT1</t>
  </si>
  <si>
    <t>Q3UHD6</t>
  </si>
  <si>
    <t>SNX27</t>
  </si>
  <si>
    <t>Q3UMF0</t>
  </si>
  <si>
    <t>COBL1</t>
  </si>
  <si>
    <t>Q9D273</t>
  </si>
  <si>
    <t>MMAB</t>
  </si>
  <si>
    <t>Q9CQE2</t>
  </si>
  <si>
    <t>TM223</t>
  </si>
  <si>
    <t>Q8CBW3</t>
  </si>
  <si>
    <t>ABI1</t>
  </si>
  <si>
    <t>P84084</t>
  </si>
  <si>
    <t>ARF5</t>
  </si>
  <si>
    <t>Q8BTV2</t>
  </si>
  <si>
    <t>CPSF7</t>
  </si>
  <si>
    <t>O55143</t>
  </si>
  <si>
    <t>AT2A2</t>
  </si>
  <si>
    <t>Q7TQ48</t>
  </si>
  <si>
    <t>SRCA</t>
  </si>
  <si>
    <t>P61620</t>
  </si>
  <si>
    <t>S61A1</t>
  </si>
  <si>
    <t>P50171</t>
  </si>
  <si>
    <t>DHB8</t>
  </si>
  <si>
    <t>Q9QYG0</t>
  </si>
  <si>
    <t>NDRG2</t>
  </si>
  <si>
    <t>Q3U2U7</t>
  </si>
  <si>
    <t>MET17</t>
  </si>
  <si>
    <t>Q9R0P5</t>
  </si>
  <si>
    <t>DEST</t>
  </si>
  <si>
    <t>P20029</t>
  </si>
  <si>
    <t>BIP</t>
  </si>
  <si>
    <t>Q8BX90</t>
  </si>
  <si>
    <t>FND3A</t>
  </si>
  <si>
    <t>Q7TPH6</t>
  </si>
  <si>
    <t>MYCB2</t>
  </si>
  <si>
    <t>P56480</t>
  </si>
  <si>
    <t>ATPB</t>
  </si>
  <si>
    <t>Q8CI95</t>
  </si>
  <si>
    <t>OSB11</t>
  </si>
  <si>
    <t>Q9CQR4</t>
  </si>
  <si>
    <t>ACO13</t>
  </si>
  <si>
    <t>Q9QY06</t>
  </si>
  <si>
    <t>MYO9B</t>
  </si>
  <si>
    <t>Q9Z1T1</t>
  </si>
  <si>
    <t>AP3B1</t>
  </si>
  <si>
    <t>Q9CY73</t>
  </si>
  <si>
    <t>RM44</t>
  </si>
  <si>
    <t>Q9JJI8</t>
  </si>
  <si>
    <t>RL38</t>
  </si>
  <si>
    <t>Q62426</t>
  </si>
  <si>
    <t>CYTB</t>
  </si>
  <si>
    <t>Q9JIA7</t>
  </si>
  <si>
    <t>SPHK2</t>
  </si>
  <si>
    <t>Q8BGZ4</t>
  </si>
  <si>
    <t>CDC23</t>
  </si>
  <si>
    <t>A2AAJ9</t>
  </si>
  <si>
    <t>OBSCN</t>
  </si>
  <si>
    <t>Q9D1I6</t>
  </si>
  <si>
    <t>RM14</t>
  </si>
  <si>
    <t>Q9DBB8</t>
  </si>
  <si>
    <t>DHDH</t>
  </si>
  <si>
    <t>O55013</t>
  </si>
  <si>
    <t>TPPC3</t>
  </si>
  <si>
    <t>Q5SUC9</t>
  </si>
  <si>
    <t>SCO1</t>
  </si>
  <si>
    <t>Q8BGX2</t>
  </si>
  <si>
    <t>TIM29</t>
  </si>
  <si>
    <t>Q99KJ8</t>
  </si>
  <si>
    <t>DCTN2</t>
  </si>
  <si>
    <t>Q6ZWV7</t>
  </si>
  <si>
    <t>RL35</t>
  </si>
  <si>
    <t>Q04690</t>
  </si>
  <si>
    <t>NF1</t>
  </si>
  <si>
    <t>O08919</t>
  </si>
  <si>
    <t>NUMBL</t>
  </si>
  <si>
    <t>O35379</t>
  </si>
  <si>
    <t>MRP1</t>
  </si>
  <si>
    <t>Q8K0D0</t>
  </si>
  <si>
    <t>CDK17</t>
  </si>
  <si>
    <t>P57746</t>
  </si>
  <si>
    <t>VATD</t>
  </si>
  <si>
    <t>Q8QZT1</t>
  </si>
  <si>
    <t>THIL</t>
  </si>
  <si>
    <t>Q60749</t>
  </si>
  <si>
    <t>KHDR1</t>
  </si>
  <si>
    <t>Q6PIU9</t>
  </si>
  <si>
    <t>YJ005</t>
  </si>
  <si>
    <t>Q05793</t>
  </si>
  <si>
    <t>PGBM</t>
  </si>
  <si>
    <t>Q8CGF6</t>
  </si>
  <si>
    <t>WDR47</t>
  </si>
  <si>
    <t>Q3V384</t>
  </si>
  <si>
    <t>AFG1L</t>
  </si>
  <si>
    <t>P62305</t>
  </si>
  <si>
    <t>RUXE</t>
  </si>
  <si>
    <t>Q9D0B6</t>
  </si>
  <si>
    <t>PBDC1</t>
  </si>
  <si>
    <t>Q9D3D9</t>
  </si>
  <si>
    <t>ATPD</t>
  </si>
  <si>
    <t>B2RRE7</t>
  </si>
  <si>
    <t>OTUD4</t>
  </si>
  <si>
    <t>Q8VE38</t>
  </si>
  <si>
    <t>OXND1</t>
  </si>
  <si>
    <t>Q01815</t>
  </si>
  <si>
    <t>CAC1C</t>
  </si>
  <si>
    <t>Q7TSH2</t>
  </si>
  <si>
    <t>KPBB</t>
  </si>
  <si>
    <t>Q8K0Z7</t>
  </si>
  <si>
    <t>TACO1</t>
  </si>
  <si>
    <t>Q3UQ44</t>
  </si>
  <si>
    <t>IQGA2</t>
  </si>
  <si>
    <t>P52332</t>
  </si>
  <si>
    <t>JAK1</t>
  </si>
  <si>
    <t>Q9JJV2</t>
  </si>
  <si>
    <t>PROF2</t>
  </si>
  <si>
    <t>P23116</t>
  </si>
  <si>
    <t>EIF3A</t>
  </si>
  <si>
    <t>Q8C052</t>
  </si>
  <si>
    <t>MAP1S</t>
  </si>
  <si>
    <t>O70571</t>
  </si>
  <si>
    <t>PDK4</t>
  </si>
  <si>
    <t>O70433</t>
  </si>
  <si>
    <t>FHL2</t>
  </si>
  <si>
    <t>P58281</t>
  </si>
  <si>
    <t>OPA1</t>
  </si>
  <si>
    <t>P28028</t>
  </si>
  <si>
    <t>BRAF</t>
  </si>
  <si>
    <t>Q9EQ20</t>
  </si>
  <si>
    <t>MMSA</t>
  </si>
  <si>
    <t>P14206</t>
  </si>
  <si>
    <t>RSSA</t>
  </si>
  <si>
    <t>Q99K51</t>
  </si>
  <si>
    <t>PLST</t>
  </si>
  <si>
    <t>Q3UNZ8</t>
  </si>
  <si>
    <t>QORL2</t>
  </si>
  <si>
    <t>P55096</t>
  </si>
  <si>
    <t>ABCD3</t>
  </si>
  <si>
    <t>O35393</t>
  </si>
  <si>
    <t>EFNB3</t>
  </si>
  <si>
    <t>Q8BVZ1</t>
  </si>
  <si>
    <t>PLIN5</t>
  </si>
  <si>
    <t>Q8BUR4</t>
  </si>
  <si>
    <t>DOCK1</t>
  </si>
  <si>
    <t>O55098</t>
  </si>
  <si>
    <t>STK10</t>
  </si>
  <si>
    <t>Q6P549</t>
  </si>
  <si>
    <t>SHIP2</t>
  </si>
  <si>
    <t>Q78HU3</t>
  </si>
  <si>
    <t>MB12A</t>
  </si>
  <si>
    <t>Q8C147</t>
  </si>
  <si>
    <t>DOCK8</t>
  </si>
  <si>
    <t>Q8BMS1</t>
  </si>
  <si>
    <t>ECHA</t>
  </si>
  <si>
    <t>P69566</t>
  </si>
  <si>
    <t>RANB9</t>
  </si>
  <si>
    <t>Q8BWF0</t>
  </si>
  <si>
    <t>SSDH</t>
  </si>
  <si>
    <t>Q64133</t>
  </si>
  <si>
    <t>AOFA</t>
  </si>
  <si>
    <t>Q9EQJ0</t>
  </si>
  <si>
    <t>TPC1</t>
  </si>
  <si>
    <t>P24547</t>
  </si>
  <si>
    <t>IMDH2</t>
  </si>
  <si>
    <t>Q91WQ3</t>
  </si>
  <si>
    <t>SYYC</t>
  </si>
  <si>
    <t>Q91V12</t>
  </si>
  <si>
    <t>BACH</t>
  </si>
  <si>
    <t>P34914</t>
  </si>
  <si>
    <t>HYES</t>
  </si>
  <si>
    <t>Q641K1</t>
  </si>
  <si>
    <t>CBPC1</t>
  </si>
  <si>
    <t>O55029</t>
  </si>
  <si>
    <t>COPB2</t>
  </si>
  <si>
    <t>P14148</t>
  </si>
  <si>
    <t>RL7</t>
  </si>
  <si>
    <t>Q9CPQ8</t>
  </si>
  <si>
    <t>ATP5L</t>
  </si>
  <si>
    <t>Q8R1Q8</t>
  </si>
  <si>
    <t>DC1L1</t>
  </si>
  <si>
    <t>Q91ZP3</t>
  </si>
  <si>
    <t>LPIN1</t>
  </si>
  <si>
    <t>P99024</t>
  </si>
  <si>
    <t>TBB5</t>
  </si>
  <si>
    <t>Q9D0J4</t>
  </si>
  <si>
    <t>ARL2</t>
  </si>
  <si>
    <t>P62855</t>
  </si>
  <si>
    <t>RS26</t>
  </si>
  <si>
    <t>Q61820</t>
  </si>
  <si>
    <t>RANT</t>
  </si>
  <si>
    <t>Q924H7</t>
  </si>
  <si>
    <t>WAC</t>
  </si>
  <si>
    <t>Q8CI78</t>
  </si>
  <si>
    <t>RMND1</t>
  </si>
  <si>
    <t>Q8R0N6</t>
  </si>
  <si>
    <t>HOT</t>
  </si>
  <si>
    <t>Q8BVD5</t>
  </si>
  <si>
    <t>MPP7</t>
  </si>
  <si>
    <t>P62889</t>
  </si>
  <si>
    <t>RL30</t>
  </si>
  <si>
    <t>Q7TMB8</t>
  </si>
  <si>
    <t>CYFP1</t>
  </si>
  <si>
    <t>Q7TMQ7</t>
  </si>
  <si>
    <t>WDR91</t>
  </si>
  <si>
    <t>Q9CQV5</t>
  </si>
  <si>
    <t>RT24</t>
  </si>
  <si>
    <t>P10605</t>
  </si>
  <si>
    <t>CATB</t>
  </si>
  <si>
    <t>O08749</t>
  </si>
  <si>
    <t>DLDH</t>
  </si>
  <si>
    <t>Q52KR3</t>
  </si>
  <si>
    <t>PRUN2</t>
  </si>
  <si>
    <t>Q9R0Y5</t>
  </si>
  <si>
    <t>KAD1</t>
  </si>
  <si>
    <t>Q8BPM2</t>
  </si>
  <si>
    <t>M4K5</t>
  </si>
  <si>
    <t>Q9QZK7</t>
  </si>
  <si>
    <t>DOK3</t>
  </si>
  <si>
    <t>Q3TZZ7</t>
  </si>
  <si>
    <t>ESYT2</t>
  </si>
  <si>
    <t>Q3U182</t>
  </si>
  <si>
    <t>CRTC2</t>
  </si>
  <si>
    <t>Q7TT37</t>
  </si>
  <si>
    <t>ELP1</t>
  </si>
  <si>
    <t>Q8VD65</t>
  </si>
  <si>
    <t>PI3R4</t>
  </si>
  <si>
    <t>Q63836</t>
  </si>
  <si>
    <t>SBP2</t>
  </si>
  <si>
    <t>Q9WUD1</t>
  </si>
  <si>
    <t>CHIP</t>
  </si>
  <si>
    <t>P61021</t>
  </si>
  <si>
    <t>RAB5B</t>
  </si>
  <si>
    <t>P18872</t>
  </si>
  <si>
    <t>GNAO</t>
  </si>
  <si>
    <t>Q78IK2</t>
  </si>
  <si>
    <t>ATPMK</t>
  </si>
  <si>
    <t>Q924T2</t>
  </si>
  <si>
    <t>RT02</t>
  </si>
  <si>
    <t>Q8BYM8</t>
  </si>
  <si>
    <t>SYCM</t>
  </si>
  <si>
    <t>Q61941</t>
  </si>
  <si>
    <t>NNTM</t>
  </si>
  <si>
    <t>Q8VD26</t>
  </si>
  <si>
    <t>TM143</t>
  </si>
  <si>
    <t>Q6A4J8</t>
  </si>
  <si>
    <t>UBP7</t>
  </si>
  <si>
    <t>Q5SSZ5</t>
  </si>
  <si>
    <t>TENS3</t>
  </si>
  <si>
    <t>Q8CH77</t>
  </si>
  <si>
    <t>NAV1</t>
  </si>
  <si>
    <t>Q7TNG8</t>
  </si>
  <si>
    <t>LDHD</t>
  </si>
  <si>
    <t>Q99LH2</t>
  </si>
  <si>
    <t>PTSS1</t>
  </si>
  <si>
    <t>Q8BU88</t>
  </si>
  <si>
    <t>RM22</t>
  </si>
  <si>
    <t>P54923</t>
  </si>
  <si>
    <t>ADPRH</t>
  </si>
  <si>
    <t>Q9CXJ1</t>
  </si>
  <si>
    <t>SYEM</t>
  </si>
  <si>
    <t>Q9Z2I0</t>
  </si>
  <si>
    <t>LETM1</t>
  </si>
  <si>
    <t>P70698</t>
  </si>
  <si>
    <t>PYRG1</t>
  </si>
  <si>
    <t>Q9CS72</t>
  </si>
  <si>
    <t>FLIP1</t>
  </si>
  <si>
    <t>Q8CHH9</t>
  </si>
  <si>
    <t>SEPT8</t>
  </si>
  <si>
    <t>Q70KF4</t>
  </si>
  <si>
    <t>CMYA5</t>
  </si>
  <si>
    <t>P58252</t>
  </si>
  <si>
    <t>EF2</t>
  </si>
  <si>
    <t>P07934</t>
  </si>
  <si>
    <t>PHKG1</t>
  </si>
  <si>
    <t>Q8BGV0</t>
  </si>
  <si>
    <t>SYNM</t>
  </si>
  <si>
    <t>P18826</t>
  </si>
  <si>
    <t>KPB1</t>
  </si>
  <si>
    <t>Q9D0F3</t>
  </si>
  <si>
    <t>LMAN1</t>
  </si>
  <si>
    <t>Q7TN29</t>
  </si>
  <si>
    <t>SMAP2</t>
  </si>
  <si>
    <t>Q8BWM0</t>
  </si>
  <si>
    <t>PGES2</t>
  </si>
  <si>
    <t>P16283</t>
  </si>
  <si>
    <t>B3A3</t>
  </si>
  <si>
    <t>S4R1M9</t>
  </si>
  <si>
    <t>OSB10</t>
  </si>
  <si>
    <t>P62245</t>
  </si>
  <si>
    <t>RS15A</t>
  </si>
  <si>
    <t>Q8BHE8</t>
  </si>
  <si>
    <t>MAIP1</t>
  </si>
  <si>
    <t>Q99MN9</t>
  </si>
  <si>
    <t>PCCB</t>
  </si>
  <si>
    <t>Q9CWQ3</t>
  </si>
  <si>
    <t>ATP23</t>
  </si>
  <si>
    <t>Q8C4Y3</t>
  </si>
  <si>
    <t>NELFB</t>
  </si>
  <si>
    <t>P63325</t>
  </si>
  <si>
    <t>RS10</t>
  </si>
  <si>
    <t>Q9Z2Z9</t>
  </si>
  <si>
    <t>GFPT2</t>
  </si>
  <si>
    <t>Q9JKL4</t>
  </si>
  <si>
    <t>NDUF3</t>
  </si>
  <si>
    <t>P10922</t>
  </si>
  <si>
    <t>H10</t>
  </si>
  <si>
    <t>Q91ZA3</t>
  </si>
  <si>
    <t>PCCA</t>
  </si>
  <si>
    <t>P14094</t>
  </si>
  <si>
    <t>AT1B1</t>
  </si>
  <si>
    <t>P10126</t>
  </si>
  <si>
    <t>EF1A1</t>
  </si>
  <si>
    <t>Q9JJL8</t>
  </si>
  <si>
    <t>SYSM</t>
  </si>
  <si>
    <t>Q0II04</t>
  </si>
  <si>
    <t>NEBL</t>
  </si>
  <si>
    <t>Q06185</t>
  </si>
  <si>
    <t>ATP5I</t>
  </si>
  <si>
    <t>Q8K4G1</t>
  </si>
  <si>
    <t>LTBP4</t>
  </si>
  <si>
    <t>Q8VIJ8</t>
  </si>
  <si>
    <t>NPRL3</t>
  </si>
  <si>
    <t>Q9QWY8</t>
  </si>
  <si>
    <t>ASAP1</t>
  </si>
  <si>
    <t>Q8K4I3</t>
  </si>
  <si>
    <t>ARHG6</t>
  </si>
  <si>
    <t>Q9D7J4</t>
  </si>
  <si>
    <t>COX20</t>
  </si>
  <si>
    <t>Q8BK64</t>
  </si>
  <si>
    <t>AHSA1</t>
  </si>
  <si>
    <t>P60335</t>
  </si>
  <si>
    <t>PCBP1</t>
  </si>
  <si>
    <t>Q62392</t>
  </si>
  <si>
    <t>PHLA1</t>
  </si>
  <si>
    <t>Q99PI5</t>
  </si>
  <si>
    <t>LPIN2</t>
  </si>
  <si>
    <t>Q61830</t>
  </si>
  <si>
    <t>MRC1</t>
  </si>
  <si>
    <t>Q8C145</t>
  </si>
  <si>
    <t>S39A6</t>
  </si>
  <si>
    <t>Q6PCP5</t>
  </si>
  <si>
    <t>MFF</t>
  </si>
  <si>
    <t>Q68FF6</t>
  </si>
  <si>
    <t>GIT1</t>
  </si>
  <si>
    <t>Q91XU0</t>
  </si>
  <si>
    <t>WRIP1</t>
  </si>
  <si>
    <t>Q9D023</t>
  </si>
  <si>
    <t>MPC2</t>
  </si>
  <si>
    <t>Q8K2Y9</t>
  </si>
  <si>
    <t>CCM2</t>
  </si>
  <si>
    <t>Q9CZB0</t>
  </si>
  <si>
    <t>C560</t>
  </si>
  <si>
    <t>P17426</t>
  </si>
  <si>
    <t>AP2A1</t>
  </si>
  <si>
    <t>Q91YE8</t>
  </si>
  <si>
    <t>SYNP2</t>
  </si>
  <si>
    <t>P10833</t>
  </si>
  <si>
    <t>RRAS</t>
  </si>
  <si>
    <t>Q8R326</t>
  </si>
  <si>
    <t>PSPC1</t>
  </si>
  <si>
    <t>P97324</t>
  </si>
  <si>
    <t>G6PD2</t>
  </si>
  <si>
    <t>Q921G6</t>
  </si>
  <si>
    <t>LRCH4</t>
  </si>
  <si>
    <t>Q91VC3</t>
  </si>
  <si>
    <t>IF4A3</t>
  </si>
  <si>
    <t>Q80ZK0</t>
  </si>
  <si>
    <t>RT10</t>
  </si>
  <si>
    <t>Q2YDW2</t>
  </si>
  <si>
    <t>MSTO1</t>
  </si>
  <si>
    <t>P55937</t>
  </si>
  <si>
    <t>GOGA3</t>
  </si>
  <si>
    <t>Q07076</t>
  </si>
  <si>
    <t>ANXA7</t>
  </si>
  <si>
    <t>P54818</t>
  </si>
  <si>
    <t>GALC</t>
  </si>
  <si>
    <t>Q99NB9</t>
  </si>
  <si>
    <t>SF3B1</t>
  </si>
  <si>
    <t>Q3UYC0</t>
  </si>
  <si>
    <t>PPM1H</t>
  </si>
  <si>
    <t>P08249</t>
  </si>
  <si>
    <t>MDHM</t>
  </si>
  <si>
    <t>Q3UHJ0</t>
  </si>
  <si>
    <t>AAK1</t>
  </si>
  <si>
    <t>B1AVZ0</t>
  </si>
  <si>
    <t>UPP</t>
  </si>
  <si>
    <t>Q9ES52</t>
  </si>
  <si>
    <t>SHIP1</t>
  </si>
  <si>
    <t>Q921F2</t>
  </si>
  <si>
    <t>TADBP</t>
  </si>
  <si>
    <t>Q05512</t>
  </si>
  <si>
    <t>MARK2</t>
  </si>
  <si>
    <t>Q9WTI7</t>
  </si>
  <si>
    <t>MYO1C</t>
  </si>
  <si>
    <t>O08756</t>
  </si>
  <si>
    <t>HCD2</t>
  </si>
  <si>
    <t>Q91W89</t>
  </si>
  <si>
    <t>MA2C1</t>
  </si>
  <si>
    <t>Q923T9</t>
  </si>
  <si>
    <t>KCC2G</t>
  </si>
  <si>
    <t>P46412</t>
  </si>
  <si>
    <t>GPX3</t>
  </si>
  <si>
    <t>P62069</t>
  </si>
  <si>
    <t>UBP46</t>
  </si>
  <si>
    <t>P63038</t>
  </si>
  <si>
    <t>CH60</t>
  </si>
  <si>
    <t>Q6PHZ2</t>
  </si>
  <si>
    <t>KCC2D</t>
  </si>
  <si>
    <t>Q80U87</t>
  </si>
  <si>
    <t>UBP8</t>
  </si>
  <si>
    <t>Q9Z2C5</t>
  </si>
  <si>
    <t>MTM1</t>
  </si>
  <si>
    <t>P35979</t>
  </si>
  <si>
    <t>RL12</t>
  </si>
  <si>
    <t>Q99NH0</t>
  </si>
  <si>
    <t>ANR17</t>
  </si>
  <si>
    <t>Q8BWA5</t>
  </si>
  <si>
    <t>KLH31</t>
  </si>
  <si>
    <t>Q8CC27</t>
  </si>
  <si>
    <t>CACB2</t>
  </si>
  <si>
    <t>Q99KK1</t>
  </si>
  <si>
    <t>REEP3</t>
  </si>
  <si>
    <t>A2ADF7</t>
  </si>
  <si>
    <t>S2534</t>
  </si>
  <si>
    <t>Q61233</t>
  </si>
  <si>
    <t>PLSL</t>
  </si>
  <si>
    <t>P10637</t>
  </si>
  <si>
    <t>TAU</t>
  </si>
  <si>
    <t>Q6A065</t>
  </si>
  <si>
    <t>CE170</t>
  </si>
  <si>
    <t>Q9Z0X1</t>
  </si>
  <si>
    <t>AIFM1</t>
  </si>
  <si>
    <t>A6H8H2</t>
  </si>
  <si>
    <t>DEN4C</t>
  </si>
  <si>
    <t>Q8JZR0</t>
  </si>
  <si>
    <t>ACSL5</t>
  </si>
  <si>
    <t>Q9DC16</t>
  </si>
  <si>
    <t>ERGI1</t>
  </si>
  <si>
    <t>Q9QYR6</t>
  </si>
  <si>
    <t>MAP1A</t>
  </si>
  <si>
    <t>Q9D1K7</t>
  </si>
  <si>
    <t>ADSSP</t>
  </si>
  <si>
    <t>Q91X43</t>
  </si>
  <si>
    <t>SH319</t>
  </si>
  <si>
    <t>P35550</t>
  </si>
  <si>
    <t>FBRL</t>
  </si>
  <si>
    <t>Q99MQ1</t>
  </si>
  <si>
    <t>BICC1</t>
  </si>
  <si>
    <t>Q8VCR2</t>
  </si>
  <si>
    <t>DHB13</t>
  </si>
  <si>
    <t>Q9DB77</t>
  </si>
  <si>
    <t>QCR2</t>
  </si>
  <si>
    <t>Q8CC88</t>
  </si>
  <si>
    <t>VWA8</t>
  </si>
  <si>
    <t>P35821</t>
  </si>
  <si>
    <t>PTN1</t>
  </si>
  <si>
    <t>Q9D0M3</t>
  </si>
  <si>
    <t>CY1</t>
  </si>
  <si>
    <t>Q05BC3</t>
  </si>
  <si>
    <t>EMAL1</t>
  </si>
  <si>
    <t>Q6P4S6</t>
  </si>
  <si>
    <t>SIK3</t>
  </si>
  <si>
    <t>Q61584</t>
  </si>
  <si>
    <t>FXR1</t>
  </si>
  <si>
    <t>Q9CQD1</t>
  </si>
  <si>
    <t>RAB5A</t>
  </si>
  <si>
    <t>P70406</t>
  </si>
  <si>
    <t>UCP2</t>
  </si>
  <si>
    <t>Q60854</t>
  </si>
  <si>
    <t>SPB6</t>
  </si>
  <si>
    <t>Q99M87</t>
  </si>
  <si>
    <t>DNJA3</t>
  </si>
  <si>
    <t>Q8BSE0</t>
  </si>
  <si>
    <t>RMD2</t>
  </si>
  <si>
    <t>Q9ES28</t>
  </si>
  <si>
    <t>ARHG7</t>
  </si>
  <si>
    <t>P70372</t>
  </si>
  <si>
    <t>ELAV1</t>
  </si>
  <si>
    <t>Q6PAM0</t>
  </si>
  <si>
    <t>AAKB2</t>
  </si>
  <si>
    <t>Q8VI36</t>
  </si>
  <si>
    <t>PAXI</t>
  </si>
  <si>
    <t>P62702</t>
  </si>
  <si>
    <t>RS4X</t>
  </si>
  <si>
    <t>Q8K1X4</t>
  </si>
  <si>
    <t>NCKPL</t>
  </si>
  <si>
    <t>Q99M04</t>
  </si>
  <si>
    <t>LIAS</t>
  </si>
  <si>
    <t>Q3URS9</t>
  </si>
  <si>
    <t>MITOK</t>
  </si>
  <si>
    <t>Q3ULD5</t>
  </si>
  <si>
    <t>MCCB</t>
  </si>
  <si>
    <t>Q8BKC8</t>
  </si>
  <si>
    <t>PI4KB</t>
  </si>
  <si>
    <t>Q9EP71</t>
  </si>
  <si>
    <t>RAI14</t>
  </si>
  <si>
    <t>Q06890</t>
  </si>
  <si>
    <t>CLUS</t>
  </si>
  <si>
    <t>Q8BU30</t>
  </si>
  <si>
    <t>SYIC</t>
  </si>
  <si>
    <t>Q8CHT0</t>
  </si>
  <si>
    <t>AL4A1</t>
  </si>
  <si>
    <t>Q9WVA4</t>
  </si>
  <si>
    <t>TAGL2</t>
  </si>
  <si>
    <t>P17225</t>
  </si>
  <si>
    <t>PTBP1</t>
  </si>
  <si>
    <t>Q8R1I1</t>
  </si>
  <si>
    <t>QCR9</t>
  </si>
  <si>
    <t>Q9CZJ2</t>
  </si>
  <si>
    <t>HS12B</t>
  </si>
  <si>
    <t>P62858</t>
  </si>
  <si>
    <t>RS28</t>
  </si>
  <si>
    <t>Q8BGP6</t>
  </si>
  <si>
    <t>S2540</t>
  </si>
  <si>
    <t>Q8R3S6</t>
  </si>
  <si>
    <t>EXOC1</t>
  </si>
  <si>
    <t>D3YZP9</t>
  </si>
  <si>
    <t>CCDC6</t>
  </si>
  <si>
    <t>Q8C3X4</t>
  </si>
  <si>
    <t>GUF1</t>
  </si>
  <si>
    <t>Q8BG32</t>
  </si>
  <si>
    <t>PSD11</t>
  </si>
  <si>
    <t>Q9CYR6</t>
  </si>
  <si>
    <t>AGM1</t>
  </si>
  <si>
    <t>P22682</t>
  </si>
  <si>
    <t>CBL</t>
  </si>
  <si>
    <t>O55106</t>
  </si>
  <si>
    <t>STRN</t>
  </si>
  <si>
    <t>Q9DBG3</t>
  </si>
  <si>
    <t>AP2B1</t>
  </si>
  <si>
    <t>Q8VDC1</t>
  </si>
  <si>
    <t>FYCO1</t>
  </si>
  <si>
    <t>Q80XS6</t>
  </si>
  <si>
    <t>SMAG2</t>
  </si>
  <si>
    <t>Q8BFZ3</t>
  </si>
  <si>
    <t>ACTBL</t>
  </si>
  <si>
    <t>Q8BSF4</t>
  </si>
  <si>
    <t>PISD</t>
  </si>
  <si>
    <t>Q8BMF3</t>
  </si>
  <si>
    <t>MAON</t>
  </si>
  <si>
    <t>Q8BIW1</t>
  </si>
  <si>
    <t>PRUN1</t>
  </si>
  <si>
    <t>Q9JJG0</t>
  </si>
  <si>
    <t>TACC2</t>
  </si>
  <si>
    <t>Q61292</t>
  </si>
  <si>
    <t>LAMB2</t>
  </si>
  <si>
    <t>O08715</t>
  </si>
  <si>
    <t>AKAP1</t>
  </si>
  <si>
    <t>P35486</t>
  </si>
  <si>
    <t>ODPA</t>
  </si>
  <si>
    <t>Q8BTZ4</t>
  </si>
  <si>
    <t>APC5</t>
  </si>
  <si>
    <t>P08556</t>
  </si>
  <si>
    <t>RASN</t>
  </si>
  <si>
    <t>Q8JZU2</t>
  </si>
  <si>
    <t>TXTP</t>
  </si>
  <si>
    <t>Q8R5A3</t>
  </si>
  <si>
    <t>AB1IP</t>
  </si>
  <si>
    <t>Q925N1</t>
  </si>
  <si>
    <t>SFXN4</t>
  </si>
  <si>
    <t>E9PYK3</t>
  </si>
  <si>
    <t>PARP4</t>
  </si>
  <si>
    <t>Q00612</t>
  </si>
  <si>
    <t>G6PD1</t>
  </si>
  <si>
    <t>P97443</t>
  </si>
  <si>
    <t>SMYD1</t>
  </si>
  <si>
    <t>Q9D7G0</t>
  </si>
  <si>
    <t>PRPS1</t>
  </si>
  <si>
    <t>Q5SF07</t>
  </si>
  <si>
    <t>IF2B2</t>
  </si>
  <si>
    <t>Q5NCE8</t>
  </si>
  <si>
    <t>MRS2</t>
  </si>
  <si>
    <t>O54931</t>
  </si>
  <si>
    <t>AKAP2</t>
  </si>
  <si>
    <t>Q62425</t>
  </si>
  <si>
    <t>NDUA4</t>
  </si>
  <si>
    <t>Q8R0X7</t>
  </si>
  <si>
    <t>SGPL1</t>
  </si>
  <si>
    <t>O55126</t>
  </si>
  <si>
    <t>NIPS2</t>
  </si>
  <si>
    <t>Q3URD3</t>
  </si>
  <si>
    <t>SLMAP</t>
  </si>
  <si>
    <t>P99027</t>
  </si>
  <si>
    <t>RLA2</t>
  </si>
  <si>
    <t>Q60520</t>
  </si>
  <si>
    <t>SIN3A</t>
  </si>
  <si>
    <t>Q8C025</t>
  </si>
  <si>
    <t>CHPT1</t>
  </si>
  <si>
    <t>Q922M7</t>
  </si>
  <si>
    <t>ASHWN</t>
  </si>
  <si>
    <t>Q9CWD8</t>
  </si>
  <si>
    <t>NUBPL</t>
  </si>
  <si>
    <t>Q6PDH0</t>
  </si>
  <si>
    <t>PHLB1</t>
  </si>
  <si>
    <t>A2AJ88</t>
  </si>
  <si>
    <t>PLPL7</t>
  </si>
  <si>
    <t>Q9JHI5</t>
  </si>
  <si>
    <t>IVD</t>
  </si>
  <si>
    <t>Q9D0R2</t>
  </si>
  <si>
    <t>SYTC</t>
  </si>
  <si>
    <t>Q6ZQ93</t>
  </si>
  <si>
    <t>UBP34</t>
  </si>
  <si>
    <t>Q61409</t>
  </si>
  <si>
    <t>PDE3B</t>
  </si>
  <si>
    <t>O88322</t>
  </si>
  <si>
    <t>NID2</t>
  </si>
  <si>
    <t>Q9D1D4</t>
  </si>
  <si>
    <t>TMEDA</t>
  </si>
  <si>
    <t>Q60973</t>
  </si>
  <si>
    <t>RBBP7</t>
  </si>
  <si>
    <t>Q60972</t>
  </si>
  <si>
    <t>RBBP4</t>
  </si>
  <si>
    <t>P62267</t>
  </si>
  <si>
    <t>RS23</t>
  </si>
  <si>
    <t>Q811L6</t>
  </si>
  <si>
    <t>MAST4</t>
  </si>
  <si>
    <t>P03930</t>
  </si>
  <si>
    <t>ATP8</t>
  </si>
  <si>
    <t>O70305</t>
  </si>
  <si>
    <t>ATX2</t>
  </si>
  <si>
    <t>P61460</t>
  </si>
  <si>
    <t>DEPD5</t>
  </si>
  <si>
    <t>E9Q4P1</t>
  </si>
  <si>
    <t>WDFY1</t>
  </si>
  <si>
    <t>P12804</t>
  </si>
  <si>
    <t>FGL2</t>
  </si>
  <si>
    <t>Q8BK63</t>
  </si>
  <si>
    <t>KC1A</t>
  </si>
  <si>
    <t>Q9WU42</t>
  </si>
  <si>
    <t>NCOR2</t>
  </si>
  <si>
    <t>O88351</t>
  </si>
  <si>
    <t>IKKB</t>
  </si>
  <si>
    <t>Q60597</t>
  </si>
  <si>
    <t>ODO1</t>
  </si>
  <si>
    <t>Q61083</t>
  </si>
  <si>
    <t>M3K2</t>
  </si>
  <si>
    <t>P70168</t>
  </si>
  <si>
    <t>IMB1</t>
  </si>
  <si>
    <t>O88667</t>
  </si>
  <si>
    <t>RAD</t>
  </si>
  <si>
    <t>Q7TQI3</t>
  </si>
  <si>
    <t>OTUB1</t>
  </si>
  <si>
    <t>P83741</t>
  </si>
  <si>
    <t>WNK1</t>
  </si>
  <si>
    <t>Q6KAR6</t>
  </si>
  <si>
    <t>EXOC3</t>
  </si>
  <si>
    <t>Q8CCM6</t>
  </si>
  <si>
    <t>TIM21</t>
  </si>
  <si>
    <t>Q6VNB8</t>
  </si>
  <si>
    <t>WDFY3</t>
  </si>
  <si>
    <t>P05125</t>
  </si>
  <si>
    <t>ANF</t>
  </si>
  <si>
    <t>P61027</t>
  </si>
  <si>
    <t>RAB10</t>
  </si>
  <si>
    <t>P55292</t>
  </si>
  <si>
    <t>DSC2</t>
  </si>
  <si>
    <t>P09925</t>
  </si>
  <si>
    <t>SURF1</t>
  </si>
  <si>
    <t>P53986</t>
  </si>
  <si>
    <t>MOT1</t>
  </si>
  <si>
    <t>Q8CDN6</t>
  </si>
  <si>
    <t>TXNL1</t>
  </si>
  <si>
    <t>A6H611</t>
  </si>
  <si>
    <t>MIPEP</t>
  </si>
  <si>
    <t>O88543</t>
  </si>
  <si>
    <t>CSN3</t>
  </si>
  <si>
    <t>Q8VDC0</t>
  </si>
  <si>
    <t>SYLM</t>
  </si>
  <si>
    <t>Q9DCZ1</t>
  </si>
  <si>
    <t>GMPR1</t>
  </si>
  <si>
    <t>P70704</t>
  </si>
  <si>
    <t>AT8A1</t>
  </si>
  <si>
    <t>Q80YQ8</t>
  </si>
  <si>
    <t>RMD5A</t>
  </si>
  <si>
    <t>Q62009</t>
  </si>
  <si>
    <t>POSTN</t>
  </si>
  <si>
    <t>P62500</t>
  </si>
  <si>
    <t>T22D1</t>
  </si>
  <si>
    <t>P83510</t>
  </si>
  <si>
    <t>TNIK</t>
  </si>
  <si>
    <t>Q9DBC7</t>
  </si>
  <si>
    <t>KAP0</t>
  </si>
  <si>
    <t>Q62465</t>
  </si>
  <si>
    <t>VAT1</t>
  </si>
  <si>
    <t>Q6ZPJ0</t>
  </si>
  <si>
    <t>TEX2</t>
  </si>
  <si>
    <t>Q8CDA1</t>
  </si>
  <si>
    <t>SAC2</t>
  </si>
  <si>
    <t>Q9EQP2</t>
  </si>
  <si>
    <t>EHD4</t>
  </si>
  <si>
    <t>Q8C4V1</t>
  </si>
  <si>
    <t>RHG24</t>
  </si>
  <si>
    <t>Q78IK4</t>
  </si>
  <si>
    <t>MIC27</t>
  </si>
  <si>
    <t>Q6P4T2</t>
  </si>
  <si>
    <t>U520</t>
  </si>
  <si>
    <t>Q8CGB6</t>
  </si>
  <si>
    <t>TENS2</t>
  </si>
  <si>
    <t>Q64514</t>
  </si>
  <si>
    <t>TPP2</t>
  </si>
  <si>
    <t>Q9CXD6</t>
  </si>
  <si>
    <t>MCUR1</t>
  </si>
  <si>
    <t>Q8BFP9</t>
  </si>
  <si>
    <t>PDK1</t>
  </si>
  <si>
    <t>Q8VE95</t>
  </si>
  <si>
    <t>CH082</t>
  </si>
  <si>
    <t>Q8K212</t>
  </si>
  <si>
    <t>PACS1</t>
  </si>
  <si>
    <t>Q8BH61</t>
  </si>
  <si>
    <t>F13A</t>
  </si>
  <si>
    <t>Q91YR7</t>
  </si>
  <si>
    <t>PRP6</t>
  </si>
  <si>
    <t>P67984</t>
  </si>
  <si>
    <t>RL22</t>
  </si>
  <si>
    <t>Q8BKY8</t>
  </si>
  <si>
    <t>MTEF2</t>
  </si>
  <si>
    <t>Q8BFQ4</t>
  </si>
  <si>
    <t>WDR82</t>
  </si>
  <si>
    <t>Q9CQ00</t>
  </si>
  <si>
    <t>DMAC1</t>
  </si>
  <si>
    <t>Q6S5J6</t>
  </si>
  <si>
    <t>KRIT1</t>
  </si>
  <si>
    <t>P70414</t>
  </si>
  <si>
    <t>NAC1</t>
  </si>
  <si>
    <t>Q8BPE4</t>
  </si>
  <si>
    <t>TM177</t>
  </si>
  <si>
    <t>P56392</t>
  </si>
  <si>
    <t>CX7A1</t>
  </si>
  <si>
    <t>Q3U4I7</t>
  </si>
  <si>
    <t>PYRD2</t>
  </si>
  <si>
    <t>P30051</t>
  </si>
  <si>
    <t>TEAD1</t>
  </si>
  <si>
    <t>Q99KC8</t>
  </si>
  <si>
    <t>VMA5A</t>
  </si>
  <si>
    <t>Q9CXW2</t>
  </si>
  <si>
    <t>RT22</t>
  </si>
  <si>
    <t>Q9DBR3</t>
  </si>
  <si>
    <t>ARMC8</t>
  </si>
  <si>
    <t>Q9JLN9</t>
  </si>
  <si>
    <t>MTOR</t>
  </si>
  <si>
    <t>Q570Y9</t>
  </si>
  <si>
    <t>DPTOR</t>
  </si>
  <si>
    <t>Q8BJA3</t>
  </si>
  <si>
    <t>HMBX1</t>
  </si>
  <si>
    <t>Q4FZH1</t>
  </si>
  <si>
    <t>EREP1</t>
  </si>
  <si>
    <t>Q60996</t>
  </si>
  <si>
    <t>2A5G</t>
  </si>
  <si>
    <t>O54734</t>
  </si>
  <si>
    <t>OST48</t>
  </si>
  <si>
    <t>Q8R411</t>
  </si>
  <si>
    <t>MYCT1</t>
  </si>
  <si>
    <t>Q61595</t>
  </si>
  <si>
    <t>KTN1</t>
  </si>
  <si>
    <t>P15532</t>
  </si>
  <si>
    <t>NDKA</t>
  </si>
  <si>
    <t>Q6ZQ38</t>
  </si>
  <si>
    <t>CAND1</t>
  </si>
  <si>
    <t>P97467</t>
  </si>
  <si>
    <t>AMD</t>
  </si>
  <si>
    <t>Q3UHD3</t>
  </si>
  <si>
    <t>MTUS2</t>
  </si>
  <si>
    <t>Q8CI59</t>
  </si>
  <si>
    <t>STEA3</t>
  </si>
  <si>
    <t>O70252</t>
  </si>
  <si>
    <t>HMOX2</t>
  </si>
  <si>
    <t>Q9CQ43</t>
  </si>
  <si>
    <t>DUT</t>
  </si>
  <si>
    <t>P63250</t>
  </si>
  <si>
    <t>KCNJ3</t>
  </si>
  <si>
    <t>O35678</t>
  </si>
  <si>
    <t>MGLL</t>
  </si>
  <si>
    <t>P61514</t>
  </si>
  <si>
    <t>RL37A</t>
  </si>
  <si>
    <t>Q8BRK8</t>
  </si>
  <si>
    <t>AAPK2</t>
  </si>
  <si>
    <t>Q8C8R3</t>
  </si>
  <si>
    <t>ANK2</t>
  </si>
  <si>
    <t>Q9ERF3</t>
  </si>
  <si>
    <t>SKI8</t>
  </si>
  <si>
    <t>A2RT67</t>
  </si>
  <si>
    <t>DEND3</t>
  </si>
  <si>
    <t>Q501J6</t>
  </si>
  <si>
    <t>DDX17</t>
  </si>
  <si>
    <t>Q61194</t>
  </si>
  <si>
    <t>P3C2A</t>
  </si>
  <si>
    <t>Q8BGA9</t>
  </si>
  <si>
    <t>OXA1L</t>
  </si>
  <si>
    <t>Q9Z210</t>
  </si>
  <si>
    <t>PX11B</t>
  </si>
  <si>
    <t>P56382</t>
  </si>
  <si>
    <t>ATP5E</t>
  </si>
  <si>
    <t>P09528</t>
  </si>
  <si>
    <t>FRIH</t>
  </si>
  <si>
    <t>Q8R4U7</t>
  </si>
  <si>
    <t>LUZP1</t>
  </si>
  <si>
    <t>Q6P5H6</t>
  </si>
  <si>
    <t>FRMD5</t>
  </si>
  <si>
    <t>Q8R5A6</t>
  </si>
  <si>
    <t>TB22A</t>
  </si>
  <si>
    <t>Q8R3F5</t>
  </si>
  <si>
    <t>FABD</t>
  </si>
  <si>
    <t>P97807</t>
  </si>
  <si>
    <t>FUMH</t>
  </si>
  <si>
    <t>G3XA57</t>
  </si>
  <si>
    <t>RFIP2</t>
  </si>
  <si>
    <t>Q6VN19</t>
  </si>
  <si>
    <t>RBP10</t>
  </si>
  <si>
    <t>Q99246</t>
  </si>
  <si>
    <t>CAC1D</t>
  </si>
  <si>
    <t>Q8VDM4</t>
  </si>
  <si>
    <t>PSMD2</t>
  </si>
  <si>
    <t>Q76LL6</t>
  </si>
  <si>
    <t>FHOD3</t>
  </si>
  <si>
    <t>Q8C2B3</t>
  </si>
  <si>
    <t>HDAC7</t>
  </si>
  <si>
    <t>Q9DAK9</t>
  </si>
  <si>
    <t>PHP14</t>
  </si>
  <si>
    <t>Q8VCF0</t>
  </si>
  <si>
    <t>MAVS</t>
  </si>
  <si>
    <t>P35487</t>
  </si>
  <si>
    <t>ODPAT</t>
  </si>
  <si>
    <t>P62821</t>
  </si>
  <si>
    <t>RAB1A</t>
  </si>
  <si>
    <t>Q60680</t>
  </si>
  <si>
    <t>IKKA</t>
  </si>
  <si>
    <t>P70333</t>
  </si>
  <si>
    <t>HNRH2</t>
  </si>
  <si>
    <t>Q8R081</t>
  </si>
  <si>
    <t>HNRPL</t>
  </si>
  <si>
    <t>Q8CI96</t>
  </si>
  <si>
    <t>CLIP4</t>
  </si>
  <si>
    <t>Q3UU96</t>
  </si>
  <si>
    <t>MRCKA</t>
  </si>
  <si>
    <t>P60603</t>
  </si>
  <si>
    <t>ROMO1</t>
  </si>
  <si>
    <t>P68040</t>
  </si>
  <si>
    <t>RACK1</t>
  </si>
  <si>
    <t>Q66JZ4</t>
  </si>
  <si>
    <t>TCAIM</t>
  </si>
  <si>
    <t>Q9JLZ3</t>
  </si>
  <si>
    <t>AUHM</t>
  </si>
  <si>
    <t>Q3UIZ8</t>
  </si>
  <si>
    <t>MYLK3</t>
  </si>
  <si>
    <t>Q9D5R2</t>
  </si>
  <si>
    <t>WDR20</t>
  </si>
  <si>
    <t>Q80TM6</t>
  </si>
  <si>
    <t>R3HD2</t>
  </si>
  <si>
    <t>Q14C51</t>
  </si>
  <si>
    <t>PTCD3</t>
  </si>
  <si>
    <t>P10639</t>
  </si>
  <si>
    <t>THIO</t>
  </si>
  <si>
    <t>Q9R112</t>
  </si>
  <si>
    <t>SQOR</t>
  </si>
  <si>
    <t>Q8VE22</t>
  </si>
  <si>
    <t>RT23</t>
  </si>
  <si>
    <t>Q9DD03</t>
  </si>
  <si>
    <t>RAB13</t>
  </si>
  <si>
    <t>Q8BMS4</t>
  </si>
  <si>
    <t>COQ3</t>
  </si>
  <si>
    <t>Q9R1Z8</t>
  </si>
  <si>
    <t>VINEX</t>
  </si>
  <si>
    <t>Q4KML4</t>
  </si>
  <si>
    <t>ABRAL</t>
  </si>
  <si>
    <t>Q91Z67</t>
  </si>
  <si>
    <t>SRGP2</t>
  </si>
  <si>
    <t>Q9EQS3</t>
  </si>
  <si>
    <t>MYCBP</t>
  </si>
  <si>
    <t>Q3UPF5</t>
  </si>
  <si>
    <t>ZCCHV</t>
  </si>
  <si>
    <t>P70257</t>
  </si>
  <si>
    <t>NFIX</t>
  </si>
  <si>
    <t>Q9JIX8</t>
  </si>
  <si>
    <t>ACINU</t>
  </si>
  <si>
    <t>Q9WTX2</t>
  </si>
  <si>
    <t>PRKRA</t>
  </si>
  <si>
    <t>Q62136</t>
  </si>
  <si>
    <t>PTN21</t>
  </si>
  <si>
    <t>Q9DB15</t>
  </si>
  <si>
    <t>RM12</t>
  </si>
  <si>
    <t>Q62165</t>
  </si>
  <si>
    <t>DAG1</t>
  </si>
  <si>
    <t>Q99MQ4</t>
  </si>
  <si>
    <t>ASPN</t>
  </si>
  <si>
    <t>Q6PAR5</t>
  </si>
  <si>
    <t>GAPD1</t>
  </si>
  <si>
    <t>Q8BR65</t>
  </si>
  <si>
    <t>SDS3</t>
  </si>
  <si>
    <t>O08528</t>
  </si>
  <si>
    <t>HXK2</t>
  </si>
  <si>
    <t>Q9ESD7</t>
  </si>
  <si>
    <t>DYSF</t>
  </si>
  <si>
    <t>Q9D880</t>
  </si>
  <si>
    <t>TIM50</t>
  </si>
  <si>
    <t>Q9R0Z9</t>
  </si>
  <si>
    <t>RHG07</t>
  </si>
  <si>
    <t>P07724</t>
  </si>
  <si>
    <t>ALBU</t>
  </si>
  <si>
    <t>P18572</t>
  </si>
  <si>
    <t>BASI</t>
  </si>
  <si>
    <t>Q9Z0N1</t>
  </si>
  <si>
    <t>IF2G</t>
  </si>
  <si>
    <t>Q9Z0N2</t>
  </si>
  <si>
    <t>IF2H</t>
  </si>
  <si>
    <t>Q9JKC8</t>
  </si>
  <si>
    <t>AP3M1</t>
  </si>
  <si>
    <t>Q9JIF9</t>
  </si>
  <si>
    <t>MYOTI</t>
  </si>
  <si>
    <t>Q01341</t>
  </si>
  <si>
    <t>ADCY6</t>
  </si>
  <si>
    <t>Q66T02</t>
  </si>
  <si>
    <t>PKHG5</t>
  </si>
  <si>
    <t>Q9EPW0</t>
  </si>
  <si>
    <t>INP4A</t>
  </si>
  <si>
    <t>Q60760</t>
  </si>
  <si>
    <t>GRB10</t>
  </si>
  <si>
    <t>Q80UG5</t>
  </si>
  <si>
    <t>SEPT9</t>
  </si>
  <si>
    <t>Q9JLM9</t>
  </si>
  <si>
    <t>GRB14</t>
  </si>
  <si>
    <t>O09005</t>
  </si>
  <si>
    <t>DEGS1</t>
  </si>
  <si>
    <t>Q9WTQ5</t>
  </si>
  <si>
    <t>AKA12</t>
  </si>
  <si>
    <t>Q9WU78</t>
  </si>
  <si>
    <t>PDC6I</t>
  </si>
  <si>
    <t>Q9CR68</t>
  </si>
  <si>
    <t>UCRI</t>
  </si>
  <si>
    <t>P54823</t>
  </si>
  <si>
    <t>DDX6</t>
  </si>
  <si>
    <t>Q91W50</t>
  </si>
  <si>
    <t>CSDE1</t>
  </si>
  <si>
    <t>Q9D0G0</t>
  </si>
  <si>
    <t>RT30</t>
  </si>
  <si>
    <t>Q9QZQ1</t>
  </si>
  <si>
    <t>AFAD</t>
  </si>
  <si>
    <t>E9PV24</t>
  </si>
  <si>
    <t>FIBA</t>
  </si>
  <si>
    <t>Q91VA6</t>
  </si>
  <si>
    <t>PDIP2</t>
  </si>
  <si>
    <t>Q6WVG3</t>
  </si>
  <si>
    <t>KCD12</t>
  </si>
  <si>
    <t>Q99N84</t>
  </si>
  <si>
    <t>RT18B</t>
  </si>
  <si>
    <t>P60122</t>
  </si>
  <si>
    <t>RUVB1</t>
  </si>
  <si>
    <t>E9PWZ3</t>
  </si>
  <si>
    <t>RL3L</t>
  </si>
  <si>
    <t>Q7TMC8</t>
  </si>
  <si>
    <t>FCSK</t>
  </si>
  <si>
    <t>Q6P5F6</t>
  </si>
  <si>
    <t>S39AA</t>
  </si>
  <si>
    <t>P99028</t>
  </si>
  <si>
    <t>QCR6</t>
  </si>
  <si>
    <t>Q8K2Y7</t>
  </si>
  <si>
    <t>RM47</t>
  </si>
  <si>
    <t>P61358</t>
  </si>
  <si>
    <t>RL27</t>
  </si>
  <si>
    <t>Q6I6G8</t>
  </si>
  <si>
    <t>HECW2</t>
  </si>
  <si>
    <t>Q8R404</t>
  </si>
  <si>
    <t>MIC13</t>
  </si>
  <si>
    <t>Q9D855</t>
  </si>
  <si>
    <t>QCR7</t>
  </si>
  <si>
    <t>Q9D8Y1</t>
  </si>
  <si>
    <t>T126A</t>
  </si>
  <si>
    <t>P14069</t>
  </si>
  <si>
    <t>S10A6</t>
  </si>
  <si>
    <t>Q8VDP6</t>
  </si>
  <si>
    <t>CDIPT</t>
  </si>
  <si>
    <t>Q80VD1</t>
  </si>
  <si>
    <t>FA98B</t>
  </si>
  <si>
    <t>Q4VAE3</t>
  </si>
  <si>
    <t>TMM65</t>
  </si>
  <si>
    <t>Q6KCD5</t>
  </si>
  <si>
    <t>NIPBL</t>
  </si>
  <si>
    <t>P29341</t>
  </si>
  <si>
    <t>PABP1</t>
  </si>
  <si>
    <t>Q62219</t>
  </si>
  <si>
    <t>TGFI1</t>
  </si>
  <si>
    <t>Q8K1N2</t>
  </si>
  <si>
    <t>PHLB2</t>
  </si>
  <si>
    <t>Q9Z2I8</t>
  </si>
  <si>
    <t>SUCB2</t>
  </si>
  <si>
    <t>Q99LB2</t>
  </si>
  <si>
    <t>DHRS4</t>
  </si>
  <si>
    <t>Q8BSZ2</t>
  </si>
  <si>
    <t>AP3S2</t>
  </si>
  <si>
    <t>P70340</t>
  </si>
  <si>
    <t>SMAD1</t>
  </si>
  <si>
    <t>Q9CQE7</t>
  </si>
  <si>
    <t>ERGI3</t>
  </si>
  <si>
    <t>O35551</t>
  </si>
  <si>
    <t>RABE1</t>
  </si>
  <si>
    <t>Q8BUV3</t>
  </si>
  <si>
    <t>GEPH</t>
  </si>
  <si>
    <t>Q9CY16</t>
  </si>
  <si>
    <t>RT28</t>
  </si>
  <si>
    <t>O35226</t>
  </si>
  <si>
    <t>PSMD4</t>
  </si>
  <si>
    <t>Q9JHU2</t>
  </si>
  <si>
    <t>PALMD</t>
  </si>
  <si>
    <t>Q9D8T7</t>
  </si>
  <si>
    <t>SLIRP</t>
  </si>
  <si>
    <t>O35344</t>
  </si>
  <si>
    <t>IMA4</t>
  </si>
  <si>
    <t>Q8BH58</t>
  </si>
  <si>
    <t>TIPRL</t>
  </si>
  <si>
    <t>O35609</t>
  </si>
  <si>
    <t>SCAM3</t>
  </si>
  <si>
    <t>P58854</t>
  </si>
  <si>
    <t>GCP3</t>
  </si>
  <si>
    <t>Q8R2R6</t>
  </si>
  <si>
    <t>MTG1</t>
  </si>
  <si>
    <t>P62835</t>
  </si>
  <si>
    <t>RAP1A</t>
  </si>
  <si>
    <t>Q99JI6</t>
  </si>
  <si>
    <t>RAP1B</t>
  </si>
  <si>
    <t>Q8CEE7</t>
  </si>
  <si>
    <t>RDH13</t>
  </si>
  <si>
    <t>Q91ZJ5</t>
  </si>
  <si>
    <t>UGPA</t>
  </si>
  <si>
    <t>Q505D7</t>
  </si>
  <si>
    <t>OPA3</t>
  </si>
  <si>
    <t>P46471</t>
  </si>
  <si>
    <t>PRS7</t>
  </si>
  <si>
    <t>Q9D819</t>
  </si>
  <si>
    <t>IPYR</t>
  </si>
  <si>
    <t>P11352</t>
  </si>
  <si>
    <t>GPX1</t>
  </si>
  <si>
    <t>Q9D8W5</t>
  </si>
  <si>
    <t>PSD12</t>
  </si>
  <si>
    <t>Q8C1B1</t>
  </si>
  <si>
    <t>CAMP2</t>
  </si>
  <si>
    <t>Q8CHS7</t>
  </si>
  <si>
    <t>DRS7C</t>
  </si>
  <si>
    <t>Q5DU57</t>
  </si>
  <si>
    <t>SPT13</t>
  </si>
  <si>
    <t>Q60649</t>
  </si>
  <si>
    <t>CLPB</t>
  </si>
  <si>
    <t>Q9D0S9</t>
  </si>
  <si>
    <t>HINT2</t>
  </si>
  <si>
    <t>Q62318</t>
  </si>
  <si>
    <t>TIF1B</t>
  </si>
  <si>
    <t>Q9CR37</t>
  </si>
  <si>
    <t>PPDPF</t>
  </si>
  <si>
    <t>P70349</t>
  </si>
  <si>
    <t>HINT1</t>
  </si>
  <si>
    <t>P67778</t>
  </si>
  <si>
    <t>PHB1</t>
  </si>
  <si>
    <t>Q6ZPR5</t>
  </si>
  <si>
    <t>NSMA3</t>
  </si>
  <si>
    <t>P63101</t>
  </si>
  <si>
    <t>1433Z</t>
  </si>
  <si>
    <t>P23950</t>
  </si>
  <si>
    <t>TISB</t>
  </si>
  <si>
    <t>O09161</t>
  </si>
  <si>
    <t>CASQ2</t>
  </si>
  <si>
    <t>Q3UKJ7</t>
  </si>
  <si>
    <t>SMU1</t>
  </si>
  <si>
    <t>Q9ET54</t>
  </si>
  <si>
    <t>PALLD</t>
  </si>
  <si>
    <t>P10518</t>
  </si>
  <si>
    <t>HEM2</t>
  </si>
  <si>
    <t>Q08091</t>
  </si>
  <si>
    <t>CNN1</t>
  </si>
  <si>
    <t>Q9QXJ1</t>
  </si>
  <si>
    <t>APBB1</t>
  </si>
  <si>
    <t>Q8BGU5</t>
  </si>
  <si>
    <t>CCNY</t>
  </si>
  <si>
    <t>Q921S7</t>
  </si>
  <si>
    <t>RM37</t>
  </si>
  <si>
    <t>Q80Y14</t>
  </si>
  <si>
    <t>GLRX5</t>
  </si>
  <si>
    <t>Q8BMF4</t>
  </si>
  <si>
    <t>ODP2</t>
  </si>
  <si>
    <t>Q9D7B6</t>
  </si>
  <si>
    <t>ACAD8</t>
  </si>
  <si>
    <t>Q99NH2</t>
  </si>
  <si>
    <t>PARD3</t>
  </si>
  <si>
    <t>Q62203</t>
  </si>
  <si>
    <t>SF3A2</t>
  </si>
  <si>
    <t>Q9ES82</t>
  </si>
  <si>
    <t>POPD2</t>
  </si>
  <si>
    <t>Q6PE01</t>
  </si>
  <si>
    <t>SNR40</t>
  </si>
  <si>
    <t>Q64092</t>
  </si>
  <si>
    <t>TFE3</t>
  </si>
  <si>
    <t>P14602</t>
  </si>
  <si>
    <t>HSPB1</t>
  </si>
  <si>
    <t>Q9Z0H8</t>
  </si>
  <si>
    <t>CLIP2</t>
  </si>
  <si>
    <t>Q6NZR5</t>
  </si>
  <si>
    <t>SKI2</t>
  </si>
  <si>
    <t>Q9DBL1</t>
  </si>
  <si>
    <t>ACDSB</t>
  </si>
  <si>
    <t>Q9DCA2</t>
  </si>
  <si>
    <t>RT11</t>
  </si>
  <si>
    <t>P48545</t>
  </si>
  <si>
    <t>KCNJ5</t>
  </si>
  <si>
    <t>Q9D1G1</t>
  </si>
  <si>
    <t>RAB1B</t>
  </si>
  <si>
    <t>Q6PHN9</t>
  </si>
  <si>
    <t>RAB35</t>
  </si>
  <si>
    <t>P40630</t>
  </si>
  <si>
    <t>TFAM</t>
  </si>
  <si>
    <t>Q6NZN0</t>
  </si>
  <si>
    <t>RBM26</t>
  </si>
  <si>
    <t>E9Q6B2</t>
  </si>
  <si>
    <t>CC85C</t>
  </si>
  <si>
    <t>Q01405</t>
  </si>
  <si>
    <t>SC23A</t>
  </si>
  <si>
    <t>Q3THK7</t>
  </si>
  <si>
    <t>GUAA</t>
  </si>
  <si>
    <t>Q61425</t>
  </si>
  <si>
    <t>HCDH</t>
  </si>
  <si>
    <t>P43274</t>
  </si>
  <si>
    <t>H14</t>
  </si>
  <si>
    <t>P62843</t>
  </si>
  <si>
    <t>RS15</t>
  </si>
  <si>
    <t>Q8K4L3</t>
  </si>
  <si>
    <t>SVIL</t>
  </si>
  <si>
    <t>Q8C650</t>
  </si>
  <si>
    <t>SEP10</t>
  </si>
  <si>
    <t>Q60949</t>
  </si>
  <si>
    <t>TBCD1</t>
  </si>
  <si>
    <t>P97434</t>
  </si>
  <si>
    <t>MPRIP</t>
  </si>
  <si>
    <t>P05202</t>
  </si>
  <si>
    <t>AATM</t>
  </si>
  <si>
    <t>O35099</t>
  </si>
  <si>
    <t>M3K5</t>
  </si>
  <si>
    <t>Q9CQS8</t>
  </si>
  <si>
    <t>SC61B</t>
  </si>
  <si>
    <t>Q9JI10</t>
  </si>
  <si>
    <t>STK3</t>
  </si>
  <si>
    <t>O54834</t>
  </si>
  <si>
    <t>RHG06</t>
  </si>
  <si>
    <t>Q9CZU4</t>
  </si>
  <si>
    <t>ERAL1</t>
  </si>
  <si>
    <t>A2A5Z6</t>
  </si>
  <si>
    <t>SMUF2</t>
  </si>
  <si>
    <t>Q9DB20</t>
  </si>
  <si>
    <t>ATPO</t>
  </si>
  <si>
    <t>Q9Z1Z0</t>
  </si>
  <si>
    <t>USO1</t>
  </si>
  <si>
    <t>Q9D1H8</t>
  </si>
  <si>
    <t>RM53</t>
  </si>
  <si>
    <t>Q9Z204</t>
  </si>
  <si>
    <t>HNRPC</t>
  </si>
  <si>
    <t>P70255</t>
  </si>
  <si>
    <t>NFIC</t>
  </si>
  <si>
    <t>Q9WV85</t>
  </si>
  <si>
    <t>NDK3</t>
  </si>
  <si>
    <t>Q99M28</t>
  </si>
  <si>
    <t>RNPS1</t>
  </si>
  <si>
    <t>Q8CG76</t>
  </si>
  <si>
    <t>ARK72</t>
  </si>
  <si>
    <t>O70423</t>
  </si>
  <si>
    <t>AOC3</t>
  </si>
  <si>
    <t>P70266</t>
  </si>
  <si>
    <t>F261</t>
  </si>
  <si>
    <t>Q8BLF1</t>
  </si>
  <si>
    <t>NCEH1</t>
  </si>
  <si>
    <t>O88844</t>
  </si>
  <si>
    <t>IDHC</t>
  </si>
  <si>
    <t>E9Q394</t>
  </si>
  <si>
    <t>AKP13</t>
  </si>
  <si>
    <t>Q8CGE9</t>
  </si>
  <si>
    <t>RGS12</t>
  </si>
  <si>
    <t>Q91W90</t>
  </si>
  <si>
    <t>TXND5</t>
  </si>
  <si>
    <t>P52825</t>
  </si>
  <si>
    <t>CPT2</t>
  </si>
  <si>
    <t>Q03265</t>
  </si>
  <si>
    <t>ATPA</t>
  </si>
  <si>
    <t>Q8BX02</t>
  </si>
  <si>
    <t>KANK2</t>
  </si>
  <si>
    <t>Q9CX86</t>
  </si>
  <si>
    <t>ROA0</t>
  </si>
  <si>
    <t>P28798</t>
  </si>
  <si>
    <t>GRN</t>
  </si>
  <si>
    <t>Q8VEJ9</t>
  </si>
  <si>
    <t>VPS4A</t>
  </si>
  <si>
    <t>Q99LY9</t>
  </si>
  <si>
    <t>NDUS5</t>
  </si>
  <si>
    <t>Q9CQA5</t>
  </si>
  <si>
    <t>MED4</t>
  </si>
  <si>
    <t>P48455</t>
  </si>
  <si>
    <t>PP2BC</t>
  </si>
  <si>
    <t>Q9CR76</t>
  </si>
  <si>
    <t>TM186</t>
  </si>
  <si>
    <t>Q8C570</t>
  </si>
  <si>
    <t>RAE1L</t>
  </si>
  <si>
    <t>Q8CCF0</t>
  </si>
  <si>
    <t>PRP31</t>
  </si>
  <si>
    <t>Q91VX2</t>
  </si>
  <si>
    <t>UBAP2</t>
  </si>
  <si>
    <t>Q99PR8</t>
  </si>
  <si>
    <t>HSPB2</t>
  </si>
  <si>
    <t>Q9D051</t>
  </si>
  <si>
    <t>ODPB</t>
  </si>
  <si>
    <t>Q5NBX1</t>
  </si>
  <si>
    <t>COBL</t>
  </si>
  <si>
    <t>O88848</t>
  </si>
  <si>
    <t>ARL6</t>
  </si>
  <si>
    <t>O35929</t>
  </si>
  <si>
    <t>REM1</t>
  </si>
  <si>
    <t>Q9DC69</t>
  </si>
  <si>
    <t>NDUA9</t>
  </si>
  <si>
    <t>Q91YP0</t>
  </si>
  <si>
    <t>L2HDH</t>
  </si>
  <si>
    <t>Q8C1A9</t>
  </si>
  <si>
    <t>ABD18</t>
  </si>
  <si>
    <t>Q8C0I1</t>
  </si>
  <si>
    <t>ADAS</t>
  </si>
  <si>
    <t>P0C7T6</t>
  </si>
  <si>
    <t>ATX1L</t>
  </si>
  <si>
    <t>Q8R1H0</t>
  </si>
  <si>
    <t>HOP</t>
  </si>
  <si>
    <t>E9PVA8</t>
  </si>
  <si>
    <t>GCN1</t>
  </si>
  <si>
    <t>Q61102</t>
  </si>
  <si>
    <t>ABCB7</t>
  </si>
  <si>
    <t>P32443</t>
  </si>
  <si>
    <t>MEOX2</t>
  </si>
  <si>
    <t>Q01853</t>
  </si>
  <si>
    <t>TERA</t>
  </si>
  <si>
    <t>P16546</t>
  </si>
  <si>
    <t>SPTN1</t>
  </si>
  <si>
    <t>Q3U1Y4</t>
  </si>
  <si>
    <t>DEN4B</t>
  </si>
  <si>
    <t>Q924C5</t>
  </si>
  <si>
    <t>ALPK3</t>
  </si>
  <si>
    <t>Q8BIF2</t>
  </si>
  <si>
    <t>RFOX3</t>
  </si>
  <si>
    <t>Q9JJ43</t>
  </si>
  <si>
    <t>RFOX1</t>
  </si>
  <si>
    <t>Q8BP71</t>
  </si>
  <si>
    <t>RFOX2</t>
  </si>
  <si>
    <t>P57776</t>
  </si>
  <si>
    <t>EF1D</t>
  </si>
  <si>
    <t>Q921U8</t>
  </si>
  <si>
    <t>SMTN</t>
  </si>
  <si>
    <t>Q9CR86</t>
  </si>
  <si>
    <t>CHSP1</t>
  </si>
  <si>
    <t>P62849</t>
  </si>
  <si>
    <t>RS24</t>
  </si>
  <si>
    <t>Q9CZA6</t>
  </si>
  <si>
    <t>NDE1</t>
  </si>
  <si>
    <t>Q99LS3</t>
  </si>
  <si>
    <t>SERB</t>
  </si>
  <si>
    <t>Q9WV55</t>
  </si>
  <si>
    <t>VAPA</t>
  </si>
  <si>
    <t>Q9CPR4</t>
  </si>
  <si>
    <t>RL17</t>
  </si>
  <si>
    <t>Q8BKF1</t>
  </si>
  <si>
    <t>RPOM</t>
  </si>
  <si>
    <t>Q9CQU3</t>
  </si>
  <si>
    <t>RER1</t>
  </si>
  <si>
    <t>Q3U595</t>
  </si>
  <si>
    <t>CV039</t>
  </si>
  <si>
    <t>Q6PAL8</t>
  </si>
  <si>
    <t>DEN5A</t>
  </si>
  <si>
    <t>Q924X2</t>
  </si>
  <si>
    <t>CPT1B</t>
  </si>
  <si>
    <t>Q99N95</t>
  </si>
  <si>
    <t>RM03</t>
  </si>
  <si>
    <t>Q8BW75</t>
  </si>
  <si>
    <t>AOFB</t>
  </si>
  <si>
    <t>P19426</t>
  </si>
  <si>
    <t>NELFE</t>
  </si>
  <si>
    <t>Q8BJM5</t>
  </si>
  <si>
    <t>ZNT6</t>
  </si>
  <si>
    <t>P62869</t>
  </si>
  <si>
    <t>ELOB</t>
  </si>
  <si>
    <t>P62484</t>
  </si>
  <si>
    <t>ABI2</t>
  </si>
  <si>
    <t>Q8R0S2</t>
  </si>
  <si>
    <t>IQEC1</t>
  </si>
  <si>
    <t>Q8BZ52</t>
  </si>
  <si>
    <t>FSD2</t>
  </si>
  <si>
    <t>Q80WG5</t>
  </si>
  <si>
    <t>LRC8A</t>
  </si>
  <si>
    <t>Q99J47</t>
  </si>
  <si>
    <t>DRS7B</t>
  </si>
  <si>
    <t>Q61696</t>
  </si>
  <si>
    <t>HS71A</t>
  </si>
  <si>
    <t>P17879</t>
  </si>
  <si>
    <t>HS71B</t>
  </si>
  <si>
    <t>P36371</t>
  </si>
  <si>
    <t>TAP2</t>
  </si>
  <si>
    <t>Q9ERS5</t>
  </si>
  <si>
    <t>PKHA2</t>
  </si>
  <si>
    <t>Q8BRF7</t>
  </si>
  <si>
    <t>SCFD1</t>
  </si>
  <si>
    <t>A2AGH6</t>
  </si>
  <si>
    <t>MED12</t>
  </si>
  <si>
    <t>O35129</t>
  </si>
  <si>
    <t>PHB2</t>
  </si>
  <si>
    <t>Q69Z89</t>
  </si>
  <si>
    <t>RADIL</t>
  </si>
  <si>
    <t>Q8CAK1</t>
  </si>
  <si>
    <t>CAF17</t>
  </si>
  <si>
    <t>P47941</t>
  </si>
  <si>
    <t>CRKL</t>
  </si>
  <si>
    <t>Q8K2T4</t>
  </si>
  <si>
    <t>UQCC3</t>
  </si>
  <si>
    <t>Q80YV3</t>
  </si>
  <si>
    <t>TRRAP</t>
  </si>
  <si>
    <t>Q9QXY6</t>
  </si>
  <si>
    <t>EHD3</t>
  </si>
  <si>
    <t>Q9EP69</t>
  </si>
  <si>
    <t>SAC1</t>
  </si>
  <si>
    <t>Q61234</t>
  </si>
  <si>
    <t>SNTA1</t>
  </si>
  <si>
    <t>Q80WQ2</t>
  </si>
  <si>
    <t>VAC14</t>
  </si>
  <si>
    <t>Q8BG05</t>
  </si>
  <si>
    <t>ROA3</t>
  </si>
  <si>
    <t>Q8BGS7</t>
  </si>
  <si>
    <t>CEPT1</t>
  </si>
  <si>
    <t>Q9QYC0</t>
  </si>
  <si>
    <t>ADDA</t>
  </si>
  <si>
    <t>Q99JW4</t>
  </si>
  <si>
    <t>LIMS1</t>
  </si>
  <si>
    <t>E0CYV9</t>
  </si>
  <si>
    <t>CD054</t>
  </si>
  <si>
    <t>Q9DCT5</t>
  </si>
  <si>
    <t>SDF2</t>
  </si>
  <si>
    <t>P51954</t>
  </si>
  <si>
    <t>NEK1</t>
  </si>
  <si>
    <t>P70303</t>
  </si>
  <si>
    <t>PYRG2</t>
  </si>
  <si>
    <t>P29788</t>
  </si>
  <si>
    <t>VTNC</t>
  </si>
  <si>
    <t>P14685</t>
  </si>
  <si>
    <t>PSMD3</t>
  </si>
  <si>
    <t>Q9D8E6</t>
  </si>
  <si>
    <t>RL4</t>
  </si>
  <si>
    <t>Q8K4Z5</t>
  </si>
  <si>
    <t>SF3A1</t>
  </si>
  <si>
    <t>Q9Z1W9</t>
  </si>
  <si>
    <t>STK39</t>
  </si>
  <si>
    <t>Q9CXJ4</t>
  </si>
  <si>
    <t>MITOS</t>
  </si>
  <si>
    <t>Q8BGD9</t>
  </si>
  <si>
    <t>IF4B</t>
  </si>
  <si>
    <t>Q9Z2Q5</t>
  </si>
  <si>
    <t>RM40</t>
  </si>
  <si>
    <t>P50295</t>
  </si>
  <si>
    <t>ARY2</t>
  </si>
  <si>
    <t>Q920I9</t>
  </si>
  <si>
    <t>WDR7</t>
  </si>
  <si>
    <t>P98083</t>
  </si>
  <si>
    <t>SHC1</t>
  </si>
  <si>
    <t>Q0VBL3</t>
  </si>
  <si>
    <t>RBM15</t>
  </si>
  <si>
    <t>Q61029</t>
  </si>
  <si>
    <t>LAP2B</t>
  </si>
  <si>
    <t>Q922B1</t>
  </si>
  <si>
    <t>MACD1</t>
  </si>
  <si>
    <t>Q8QZY9</t>
  </si>
  <si>
    <t>SF3B4</t>
  </si>
  <si>
    <t>P84089</t>
  </si>
  <si>
    <t>ERH</t>
  </si>
  <si>
    <t>Q9CW46</t>
  </si>
  <si>
    <t>RAVR1</t>
  </si>
  <si>
    <t>Q8BH79</t>
  </si>
  <si>
    <t>ANO10</t>
  </si>
  <si>
    <t>P62270</t>
  </si>
  <si>
    <t>RS18</t>
  </si>
  <si>
    <t>O88597</t>
  </si>
  <si>
    <t>BECN1</t>
  </si>
  <si>
    <t>P34884</t>
  </si>
  <si>
    <t>MIF</t>
  </si>
  <si>
    <t>Q5FW52</t>
  </si>
  <si>
    <t>MLIP</t>
  </si>
  <si>
    <t>Q9CQB2</t>
  </si>
  <si>
    <t>MCRI2</t>
  </si>
  <si>
    <t>P19783</t>
  </si>
  <si>
    <t>COX41</t>
  </si>
  <si>
    <t>Q5SWU9</t>
  </si>
  <si>
    <t>ACACA</t>
  </si>
  <si>
    <t>Q8CFB4</t>
  </si>
  <si>
    <t>GBP5</t>
  </si>
  <si>
    <t>Q6PD31</t>
  </si>
  <si>
    <t>TRAK1</t>
  </si>
  <si>
    <t>Q3UHH1</t>
  </si>
  <si>
    <t>ZSWM8</t>
  </si>
  <si>
    <t>Q91VE0</t>
  </si>
  <si>
    <t>S27A4</t>
  </si>
  <si>
    <t>O08530</t>
  </si>
  <si>
    <t>S1PR1</t>
  </si>
  <si>
    <t>Q05895</t>
  </si>
  <si>
    <t>TSP3</t>
  </si>
  <si>
    <t>Q9ERG2</t>
  </si>
  <si>
    <t>STRN3</t>
  </si>
  <si>
    <t>B2RY04</t>
  </si>
  <si>
    <t>DOCK5</t>
  </si>
  <si>
    <t>Q640L3</t>
  </si>
  <si>
    <t>CCPG1</t>
  </si>
  <si>
    <t>Q8K2J0</t>
  </si>
  <si>
    <t>PLCD3</t>
  </si>
  <si>
    <t>Q8VEB1</t>
  </si>
  <si>
    <t>GRK5</t>
  </si>
  <si>
    <t>Q3U0B3</t>
  </si>
  <si>
    <t>DHR11</t>
  </si>
  <si>
    <t>Q99LD9</t>
  </si>
  <si>
    <t>EI2BB</t>
  </si>
  <si>
    <t>Q07802</t>
  </si>
  <si>
    <t>COE1</t>
  </si>
  <si>
    <t>A2RSJ4</t>
  </si>
  <si>
    <t>BLT3B</t>
  </si>
  <si>
    <t>Q61097</t>
  </si>
  <si>
    <t>KSR1</t>
  </si>
  <si>
    <t>Q68FD5</t>
  </si>
  <si>
    <t>CLH1</t>
  </si>
  <si>
    <t>Q9JKY5</t>
  </si>
  <si>
    <t>HIP1R</t>
  </si>
  <si>
    <t>Q8BU33</t>
  </si>
  <si>
    <t>HACL2</t>
  </si>
  <si>
    <t>Q8CBA2</t>
  </si>
  <si>
    <t>SLFN5</t>
  </si>
  <si>
    <t>Q1HFZ0</t>
  </si>
  <si>
    <t>NSUN2</t>
  </si>
  <si>
    <t>Q8CIN4</t>
  </si>
  <si>
    <t>PAK2</t>
  </si>
  <si>
    <t>P24270</t>
  </si>
  <si>
    <t>CATA</t>
  </si>
  <si>
    <t>P61205</t>
  </si>
  <si>
    <t>ARF3</t>
  </si>
  <si>
    <t>P84078</t>
  </si>
  <si>
    <t>ARF1</t>
  </si>
  <si>
    <t>Q8BSL7</t>
  </si>
  <si>
    <t>ARF2</t>
  </si>
  <si>
    <t>Q60710</t>
  </si>
  <si>
    <t>SAMH1</t>
  </si>
  <si>
    <t>P98203</t>
  </si>
  <si>
    <t>ARVC</t>
  </si>
  <si>
    <t>Q62186</t>
  </si>
  <si>
    <t>SSRD</t>
  </si>
  <si>
    <t>Q8CDG3</t>
  </si>
  <si>
    <t>VCIP1</t>
  </si>
  <si>
    <t>Q8CAQ8</t>
  </si>
  <si>
    <t>MIC60</t>
  </si>
  <si>
    <t>Q3B7Z2</t>
  </si>
  <si>
    <t>OSBP1</t>
  </si>
  <si>
    <t>Q8BZN6</t>
  </si>
  <si>
    <t>DOC10</t>
  </si>
  <si>
    <t>Q7TPS5</t>
  </si>
  <si>
    <t>C2CD5</t>
  </si>
  <si>
    <t>Q8R502</t>
  </si>
  <si>
    <t>LRC8C</t>
  </si>
  <si>
    <t>Q921H9</t>
  </si>
  <si>
    <t>COA7</t>
  </si>
  <si>
    <t>O88544</t>
  </si>
  <si>
    <t>CSN4</t>
  </si>
  <si>
    <t>Q9CQN1</t>
  </si>
  <si>
    <t>TRAP1</t>
  </si>
  <si>
    <t>Q9CR63</t>
  </si>
  <si>
    <t>COX16</t>
  </si>
  <si>
    <t>Q8BGK2</t>
  </si>
  <si>
    <t>ARHL1</t>
  </si>
  <si>
    <t>Q9WUM4</t>
  </si>
  <si>
    <t>COR1C</t>
  </si>
  <si>
    <t>Q8BGF7</t>
  </si>
  <si>
    <t>PAN2</t>
  </si>
  <si>
    <t>A2AJI0</t>
  </si>
  <si>
    <t>MA7D1</t>
  </si>
  <si>
    <t>Q5SSK3</t>
  </si>
  <si>
    <t>TEFM</t>
  </si>
  <si>
    <t>Q921I6</t>
  </si>
  <si>
    <t>SH3B4</t>
  </si>
  <si>
    <t>Q69ZH9</t>
  </si>
  <si>
    <t>RHG23</t>
  </si>
  <si>
    <t>Q9CQ06</t>
  </si>
  <si>
    <t>RM24</t>
  </si>
  <si>
    <t>Q924A2</t>
  </si>
  <si>
    <t>CIC</t>
  </si>
  <si>
    <t>Q9CQ22</t>
  </si>
  <si>
    <t>LTOR1</t>
  </si>
  <si>
    <t>O89084</t>
  </si>
  <si>
    <t>PDE4A</t>
  </si>
  <si>
    <t>P62071</t>
  </si>
  <si>
    <t>RRAS2</t>
  </si>
  <si>
    <t>P59999</t>
  </si>
  <si>
    <t>ARPC4</t>
  </si>
  <si>
    <t>P54254</t>
  </si>
  <si>
    <t>ATX1</t>
  </si>
  <si>
    <t>Q925E7</t>
  </si>
  <si>
    <t>2ABD</t>
  </si>
  <si>
    <t>Q9EPE9</t>
  </si>
  <si>
    <t>AT131</t>
  </si>
  <si>
    <t>Q6ZPF4</t>
  </si>
  <si>
    <t>FMNL3</t>
  </si>
  <si>
    <t>Q9WTM5</t>
  </si>
  <si>
    <t>RUVB2</t>
  </si>
  <si>
    <t>P80317</t>
  </si>
  <si>
    <t>TCPZ</t>
  </si>
  <si>
    <t>P70302</t>
  </si>
  <si>
    <t>STIM1</t>
  </si>
  <si>
    <t>P17427</t>
  </si>
  <si>
    <t>AP2A2</t>
  </si>
  <si>
    <t>Q8C165</t>
  </si>
  <si>
    <t>P20D1</t>
  </si>
  <si>
    <t>P12787</t>
  </si>
  <si>
    <t>COX5A</t>
  </si>
  <si>
    <t>P20357</t>
  </si>
  <si>
    <t>MTAP2</t>
  </si>
  <si>
    <t>P61965</t>
  </si>
  <si>
    <t>WDR5</t>
  </si>
  <si>
    <t>Q921F4</t>
  </si>
  <si>
    <t>HNRLL</t>
  </si>
  <si>
    <t>Q9CQV8</t>
  </si>
  <si>
    <t>1433B</t>
  </si>
  <si>
    <t>Q8VCM7</t>
  </si>
  <si>
    <t>FIBG</t>
  </si>
  <si>
    <t>Q9JKF7</t>
  </si>
  <si>
    <t>RM39</t>
  </si>
  <si>
    <t>Q6AW69</t>
  </si>
  <si>
    <t>CGNL1</t>
  </si>
  <si>
    <t>Q9DBE8</t>
  </si>
  <si>
    <t>ALG2</t>
  </si>
  <si>
    <t>Q8CGB3</t>
  </si>
  <si>
    <t>UACA</t>
  </si>
  <si>
    <t>P53702</t>
  </si>
  <si>
    <t>CCHL</t>
  </si>
  <si>
    <t>O88186</t>
  </si>
  <si>
    <t>GPIX</t>
  </si>
  <si>
    <t>Q9EQI8</t>
  </si>
  <si>
    <t>RM46</t>
  </si>
  <si>
    <t>Q6PEE2</t>
  </si>
  <si>
    <t>CTIF</t>
  </si>
  <si>
    <t>Q99L88</t>
  </si>
  <si>
    <t>SNTB1</t>
  </si>
  <si>
    <t>P97814</t>
  </si>
  <si>
    <t>PPIP1</t>
  </si>
  <si>
    <t>Q8CHC4</t>
  </si>
  <si>
    <t>SYNJ1</t>
  </si>
  <si>
    <t>Q91W53</t>
  </si>
  <si>
    <t>GOGA7</t>
  </si>
  <si>
    <t>O70572</t>
  </si>
  <si>
    <t>NSMA</t>
  </si>
  <si>
    <t>Q91YM4</t>
  </si>
  <si>
    <t>FAKD4</t>
  </si>
  <si>
    <t>P09541</t>
  </si>
  <si>
    <t>MYL4</t>
  </si>
  <si>
    <t>Q8K019</t>
  </si>
  <si>
    <t>BCLF1</t>
  </si>
  <si>
    <t>A2AUC9</t>
  </si>
  <si>
    <t>KLH41</t>
  </si>
  <si>
    <t>Q8CH72</t>
  </si>
  <si>
    <t>TRI32</t>
  </si>
  <si>
    <t>Q64310</t>
  </si>
  <si>
    <t>SURF4</t>
  </si>
  <si>
    <t>Q60675</t>
  </si>
  <si>
    <t>LAMA2</t>
  </si>
  <si>
    <t>P63163</t>
  </si>
  <si>
    <t>RSMN</t>
  </si>
  <si>
    <t>P27048</t>
  </si>
  <si>
    <t>RSMB</t>
  </si>
  <si>
    <t>A2AIV2</t>
  </si>
  <si>
    <t>VIR</t>
  </si>
  <si>
    <t>O89051</t>
  </si>
  <si>
    <t>ITM2B</t>
  </si>
  <si>
    <t>Q8BZ20</t>
  </si>
  <si>
    <t>PAR12</t>
  </si>
  <si>
    <t>Q91VR2</t>
  </si>
  <si>
    <t>ATPG</t>
  </si>
  <si>
    <t>P62700</t>
  </si>
  <si>
    <t>YPEL5</t>
  </si>
  <si>
    <t>Q60790</t>
  </si>
  <si>
    <t>RASA3</t>
  </si>
  <si>
    <t>Q6PF93</t>
  </si>
  <si>
    <t>PK3C3</t>
  </si>
  <si>
    <t>Q91WF0</t>
  </si>
  <si>
    <t>TAZ</t>
  </si>
  <si>
    <t>Q9CQN7</t>
  </si>
  <si>
    <t>RM41</t>
  </si>
  <si>
    <t>Q791V5</t>
  </si>
  <si>
    <t>MTCH2</t>
  </si>
  <si>
    <t>Q5BLK4</t>
  </si>
  <si>
    <t>TUT7</t>
  </si>
  <si>
    <t>Q9CPQ3</t>
  </si>
  <si>
    <t>TOM22</t>
  </si>
  <si>
    <t>Q9Z280</t>
  </si>
  <si>
    <t>PLD1</t>
  </si>
  <si>
    <t>Q9CYH2</t>
  </si>
  <si>
    <t>PXL2A</t>
  </si>
  <si>
    <t>Q9EST3</t>
  </si>
  <si>
    <t>4ET</t>
  </si>
  <si>
    <t>Q8CC35</t>
  </si>
  <si>
    <t>SYNPO</t>
  </si>
  <si>
    <t>Q3U0M1</t>
  </si>
  <si>
    <t>TPPC9</t>
  </si>
  <si>
    <t>A2AGT5</t>
  </si>
  <si>
    <t>CKAP5</t>
  </si>
  <si>
    <t>P47738</t>
  </si>
  <si>
    <t>ALDH2</t>
  </si>
  <si>
    <t>Q9R078</t>
  </si>
  <si>
    <t>AAKB1</t>
  </si>
  <si>
    <t>Q8BGY7</t>
  </si>
  <si>
    <t>F210A</t>
  </si>
  <si>
    <t>O08739</t>
  </si>
  <si>
    <t>AMPD3</t>
  </si>
  <si>
    <t>Q4VA53</t>
  </si>
  <si>
    <t>PDS5B</t>
  </si>
  <si>
    <t>Q9R0H0</t>
  </si>
  <si>
    <t>ACOX1</t>
  </si>
  <si>
    <t>P32067</t>
  </si>
  <si>
    <t>LA</t>
  </si>
  <si>
    <t>Q6PER3</t>
  </si>
  <si>
    <t>MARE3</t>
  </si>
  <si>
    <t>Q9QYI4</t>
  </si>
  <si>
    <t>DJB12</t>
  </si>
  <si>
    <t>P21550</t>
  </si>
  <si>
    <t>ENOB</t>
  </si>
  <si>
    <t>F8VQB6</t>
  </si>
  <si>
    <t>MYO10</t>
  </si>
  <si>
    <t>P14152</t>
  </si>
  <si>
    <t>MDHC</t>
  </si>
  <si>
    <t>P83093</t>
  </si>
  <si>
    <t>STIM2</t>
  </si>
  <si>
    <t>Q8K1R7</t>
  </si>
  <si>
    <t>NEK9</t>
  </si>
  <si>
    <t>P70460</t>
  </si>
  <si>
    <t>VASP</t>
  </si>
  <si>
    <t>Q6NXJ0</t>
  </si>
  <si>
    <t>WWC2</t>
  </si>
  <si>
    <t>Q7TN99</t>
  </si>
  <si>
    <t>CPEB3</t>
  </si>
  <si>
    <t>Q9CPW3</t>
  </si>
  <si>
    <t>RM54</t>
  </si>
  <si>
    <t>P70290</t>
  </si>
  <si>
    <t>EM55</t>
  </si>
  <si>
    <t>P47740</t>
  </si>
  <si>
    <t>AL3A2</t>
  </si>
  <si>
    <t>Q3TBD2</t>
  </si>
  <si>
    <t>HMHA1</t>
  </si>
  <si>
    <t>O88522</t>
  </si>
  <si>
    <t>NEMO</t>
  </si>
  <si>
    <t>P61211</t>
  </si>
  <si>
    <t>ARL1</t>
  </si>
  <si>
    <t>P68254</t>
  </si>
  <si>
    <t>1433T</t>
  </si>
  <si>
    <t>Q9DBR7</t>
  </si>
  <si>
    <t>MYPT1</t>
  </si>
  <si>
    <t>O35972</t>
  </si>
  <si>
    <t>RM23</t>
  </si>
  <si>
    <t>P28867</t>
  </si>
  <si>
    <t>KPCD</t>
  </si>
  <si>
    <t>P59808</t>
  </si>
  <si>
    <t>SASH1</t>
  </si>
  <si>
    <t>Q9CYA6</t>
  </si>
  <si>
    <t>ZCHC8</t>
  </si>
  <si>
    <t>Q8BKZ9</t>
  </si>
  <si>
    <t>ODPX</t>
  </si>
  <si>
    <t>Q9JHS4</t>
  </si>
  <si>
    <t>CLPX</t>
  </si>
  <si>
    <t>Q9D1M0</t>
  </si>
  <si>
    <t>SEC13</t>
  </si>
  <si>
    <t>Q62130</t>
  </si>
  <si>
    <t>PTN14</t>
  </si>
  <si>
    <t>O08791</t>
  </si>
  <si>
    <t>COE3</t>
  </si>
  <si>
    <t>Q9WVB0</t>
  </si>
  <si>
    <t>RBPMS</t>
  </si>
  <si>
    <t>Q3UH60</t>
  </si>
  <si>
    <t>DIP2B</t>
  </si>
  <si>
    <t>P97461</t>
  </si>
  <si>
    <t>RS5</t>
  </si>
  <si>
    <t>Q9CQX5</t>
  </si>
  <si>
    <t>CLDN1</t>
  </si>
  <si>
    <t>Q6ZQ58</t>
  </si>
  <si>
    <t>LARP1</t>
  </si>
  <si>
    <t>Q9QZH6</t>
  </si>
  <si>
    <t>ECSIT</t>
  </si>
  <si>
    <t>Q9Z1Z2</t>
  </si>
  <si>
    <t>STRAP</t>
  </si>
  <si>
    <t>Q8C0L9</t>
  </si>
  <si>
    <t>GPCP1</t>
  </si>
  <si>
    <t>P62932</t>
  </si>
  <si>
    <t>FBX40</t>
  </si>
  <si>
    <t>P11152</t>
  </si>
  <si>
    <t>LIPL</t>
  </si>
  <si>
    <t>Q9DC23</t>
  </si>
  <si>
    <t>DJC10</t>
  </si>
  <si>
    <t>P51175</t>
  </si>
  <si>
    <t>PPOX</t>
  </si>
  <si>
    <t>Q8VBT1</t>
  </si>
  <si>
    <t>TXLNB</t>
  </si>
  <si>
    <t>Q922E6</t>
  </si>
  <si>
    <t>FAKD2</t>
  </si>
  <si>
    <t>Q99KI3</t>
  </si>
  <si>
    <t>EMC3</t>
  </si>
  <si>
    <t>Q9R1E0</t>
  </si>
  <si>
    <t>FOXO1</t>
  </si>
  <si>
    <t>Q60610</t>
  </si>
  <si>
    <t>TIAM1</t>
  </si>
  <si>
    <t>Q8R001</t>
  </si>
  <si>
    <t>MARE2</t>
  </si>
  <si>
    <t>Q6ZQ73</t>
  </si>
  <si>
    <t>CAND2</t>
  </si>
  <si>
    <t>Q91ZE0</t>
  </si>
  <si>
    <t>TMLH</t>
  </si>
  <si>
    <t>Q9CXI0</t>
  </si>
  <si>
    <t>COQ5</t>
  </si>
  <si>
    <t>Q9Z2W1</t>
  </si>
  <si>
    <t>STK25</t>
  </si>
  <si>
    <t>P14115</t>
  </si>
  <si>
    <t>RL27A</t>
  </si>
  <si>
    <t>O35465</t>
  </si>
  <si>
    <t>FKBP8</t>
  </si>
  <si>
    <t>Q8R2H9</t>
  </si>
  <si>
    <t>PHOP1</t>
  </si>
  <si>
    <t>P61082</t>
  </si>
  <si>
    <t>UBC12</t>
  </si>
  <si>
    <t>Q9ERP3</t>
  </si>
  <si>
    <t>TRI54</t>
  </si>
  <si>
    <t>O08529</t>
  </si>
  <si>
    <t>CAN2</t>
  </si>
  <si>
    <t>Q61578</t>
  </si>
  <si>
    <t>ADRO</t>
  </si>
  <si>
    <t>Q7TT45</t>
  </si>
  <si>
    <t>RRAGD</t>
  </si>
  <si>
    <t>Q61171</t>
  </si>
  <si>
    <t>PRDX2</t>
  </si>
  <si>
    <t>Q8CI51</t>
  </si>
  <si>
    <t>PDLI5</t>
  </si>
  <si>
    <t>P58871</t>
  </si>
  <si>
    <t>TB182</t>
  </si>
  <si>
    <t>O88630</t>
  </si>
  <si>
    <t>GOSR1</t>
  </si>
  <si>
    <t>P62743</t>
  </si>
  <si>
    <t>AP2S1</t>
  </si>
  <si>
    <t>Q8C6B2</t>
  </si>
  <si>
    <t>RTKN</t>
  </si>
  <si>
    <t>P19258</t>
  </si>
  <si>
    <t>MPV17</t>
  </si>
  <si>
    <t>P46062</t>
  </si>
  <si>
    <t>SIPA1</t>
  </si>
  <si>
    <t>Q8BP40</t>
  </si>
  <si>
    <t>PPA6</t>
  </si>
  <si>
    <t>P82347</t>
  </si>
  <si>
    <t>SGCD</t>
  </si>
  <si>
    <t>Q8VDR9</t>
  </si>
  <si>
    <t>DOCK6</t>
  </si>
  <si>
    <t>P56391</t>
  </si>
  <si>
    <t>CX6B1</t>
  </si>
  <si>
    <t>Q8VCM8</t>
  </si>
  <si>
    <t>NCLN</t>
  </si>
  <si>
    <t>Q9JMH9</t>
  </si>
  <si>
    <t>MY18A</t>
  </si>
  <si>
    <t>Q920Q6</t>
  </si>
  <si>
    <t>MSI2H</t>
  </si>
  <si>
    <t>Q9CQ65</t>
  </si>
  <si>
    <t>MTAP</t>
  </si>
  <si>
    <t>Q7TMF3</t>
  </si>
  <si>
    <t>NDUAC</t>
  </si>
  <si>
    <t>Q9DBZ9</t>
  </si>
  <si>
    <t>SYDE1</t>
  </si>
  <si>
    <t>Q91VN4</t>
  </si>
  <si>
    <t>MIC25</t>
  </si>
  <si>
    <t>Q6P3B9</t>
  </si>
  <si>
    <t>RBFA</t>
  </si>
  <si>
    <t>Q6DFV3</t>
  </si>
  <si>
    <t>RHG21</t>
  </si>
  <si>
    <t>Q69ZN7</t>
  </si>
  <si>
    <t>MYOF</t>
  </si>
  <si>
    <t>Q923D4</t>
  </si>
  <si>
    <t>SF3B5</t>
  </si>
  <si>
    <t>Q3U2A8</t>
  </si>
  <si>
    <t>SYVM</t>
  </si>
  <si>
    <t>P97496</t>
  </si>
  <si>
    <t>SMRC1</t>
  </si>
  <si>
    <t>P48722</t>
  </si>
  <si>
    <t>HS74L</t>
  </si>
  <si>
    <t>Q8C0K5</t>
  </si>
  <si>
    <t>GDC</t>
  </si>
  <si>
    <t>P32921</t>
  </si>
  <si>
    <t>SYWC</t>
  </si>
  <si>
    <t>P60766</t>
  </si>
  <si>
    <t>CDC42</t>
  </si>
  <si>
    <t>Q9R0E1</t>
  </si>
  <si>
    <t>PLOD3</t>
  </si>
  <si>
    <t>Q3U214</t>
  </si>
  <si>
    <t>MAST3</t>
  </si>
  <si>
    <t>Q69ZZ9</t>
  </si>
  <si>
    <t>K0754</t>
  </si>
  <si>
    <t>Q62407</t>
  </si>
  <si>
    <t>SPEG</t>
  </si>
  <si>
    <t>Q9JLR9</t>
  </si>
  <si>
    <t>HIG1A</t>
  </si>
  <si>
    <t>Q9JKV1</t>
  </si>
  <si>
    <t>ADRM1</t>
  </si>
  <si>
    <t>P24549</t>
  </si>
  <si>
    <t>AL1A1</t>
  </si>
  <si>
    <t>Q5S006</t>
  </si>
  <si>
    <t>LRRK2</t>
  </si>
  <si>
    <t>Q8R361</t>
  </si>
  <si>
    <t>RFIP5</t>
  </si>
  <si>
    <t>Q8JZM0</t>
  </si>
  <si>
    <t>TFB1M</t>
  </si>
  <si>
    <t>Q80ZS3</t>
  </si>
  <si>
    <t>RT26</t>
  </si>
  <si>
    <t>Q9CYZ2</t>
  </si>
  <si>
    <t>TPD54</t>
  </si>
  <si>
    <t>Q8R1S0</t>
  </si>
  <si>
    <t>COQ6</t>
  </si>
  <si>
    <t>Q61165</t>
  </si>
  <si>
    <t>SL9A1</t>
  </si>
  <si>
    <t>Q99J99</t>
  </si>
  <si>
    <t>THTM</t>
  </si>
  <si>
    <t>Q8R0P4</t>
  </si>
  <si>
    <t>AAMDC</t>
  </si>
  <si>
    <t>Q6QI06</t>
  </si>
  <si>
    <t>RICTR</t>
  </si>
  <si>
    <t>P62627</t>
  </si>
  <si>
    <t>DLRB1</t>
  </si>
  <si>
    <t>P21981</t>
  </si>
  <si>
    <t>TGM2</t>
  </si>
  <si>
    <t>Q91VJ2</t>
  </si>
  <si>
    <t>CAVN3</t>
  </si>
  <si>
    <t>P53994</t>
  </si>
  <si>
    <t>RAB2A</t>
  </si>
  <si>
    <t>O70472</t>
  </si>
  <si>
    <t>TM131</t>
  </si>
  <si>
    <t>Q8BZI0</t>
  </si>
  <si>
    <t>AF1L1</t>
  </si>
  <si>
    <t>Q922R8</t>
  </si>
  <si>
    <t>PDIA6</t>
  </si>
  <si>
    <t>Q9JI19</t>
  </si>
  <si>
    <t>FIBP</t>
  </si>
  <si>
    <t>Q9CQZ1</t>
  </si>
  <si>
    <t>HSBP1</t>
  </si>
  <si>
    <t>Q9D8S9</t>
  </si>
  <si>
    <t>BOLA1</t>
  </si>
  <si>
    <t>P47811</t>
  </si>
  <si>
    <t>MK14</t>
  </si>
  <si>
    <t>P55041</t>
  </si>
  <si>
    <t>GEM</t>
  </si>
  <si>
    <t>Q8BTI8</t>
  </si>
  <si>
    <t>SRRM2</t>
  </si>
  <si>
    <t>Q8VBV3</t>
  </si>
  <si>
    <t>EXOS2</t>
  </si>
  <si>
    <t>Q8K1X1</t>
  </si>
  <si>
    <t>WDR11</t>
  </si>
  <si>
    <t>Q9CZX0</t>
  </si>
  <si>
    <t>ELP3</t>
  </si>
  <si>
    <t>Q9JLT4</t>
  </si>
  <si>
    <t>TRXR2</t>
  </si>
  <si>
    <t>Q8K0E8</t>
  </si>
  <si>
    <t>FIBB</t>
  </si>
  <si>
    <t>Q61136</t>
  </si>
  <si>
    <t>PRP4B</t>
  </si>
  <si>
    <t>P07309</t>
  </si>
  <si>
    <t>TTHY</t>
  </si>
  <si>
    <t>Q9ES56</t>
  </si>
  <si>
    <t>TPPC4</t>
  </si>
  <si>
    <t>Q5H8C4</t>
  </si>
  <si>
    <t>VP13A</t>
  </si>
  <si>
    <t>Q9CQT1</t>
  </si>
  <si>
    <t>MTNA</t>
  </si>
  <si>
    <t>Q7TPV4</t>
  </si>
  <si>
    <t>MBB1A</t>
  </si>
  <si>
    <t>Q9WTX5</t>
  </si>
  <si>
    <t>SKP1</t>
  </si>
  <si>
    <t>Q9R0N0</t>
  </si>
  <si>
    <t>GALK1</t>
  </si>
  <si>
    <t>Q6P9R2</t>
  </si>
  <si>
    <t>OXSR1</t>
  </si>
  <si>
    <t>P97390</t>
  </si>
  <si>
    <t>VPS45</t>
  </si>
  <si>
    <t>P29699</t>
  </si>
  <si>
    <t>FETUA</t>
  </si>
  <si>
    <t>Q7TMK9</t>
  </si>
  <si>
    <t>HNRPQ</t>
  </si>
  <si>
    <t>D3Z7Q2</t>
  </si>
  <si>
    <t>SIM20</t>
  </si>
  <si>
    <t>Q3UDK1</t>
  </si>
  <si>
    <t>TRAD1</t>
  </si>
  <si>
    <t>Q9DCT2</t>
  </si>
  <si>
    <t>NDUS3</t>
  </si>
  <si>
    <t>Q8K2J7</t>
  </si>
  <si>
    <t>RELL1</t>
  </si>
  <si>
    <t>P11531</t>
  </si>
  <si>
    <t>DMD</t>
  </si>
  <si>
    <t>P38647</t>
  </si>
  <si>
    <t>GRP75</t>
  </si>
  <si>
    <t>P17710</t>
  </si>
  <si>
    <t>HXK1</t>
  </si>
  <si>
    <t>Q9CR62</t>
  </si>
  <si>
    <t>M2OM</t>
  </si>
  <si>
    <t>Q9CPP6</t>
  </si>
  <si>
    <t>NDUA5</t>
  </si>
  <si>
    <t>Q3TCH7</t>
  </si>
  <si>
    <t>CUL4A</t>
  </si>
  <si>
    <t>P20152</t>
  </si>
  <si>
    <t>VIME</t>
  </si>
  <si>
    <t>P62301</t>
  </si>
  <si>
    <t>RS13</t>
  </si>
  <si>
    <t>Q569Z6</t>
  </si>
  <si>
    <t>TR150</t>
  </si>
  <si>
    <t>Q6ZWV3</t>
  </si>
  <si>
    <t>RL10</t>
  </si>
  <si>
    <t>P86048</t>
  </si>
  <si>
    <t>RL10L</t>
  </si>
  <si>
    <t>P62717</t>
  </si>
  <si>
    <t>RL18A</t>
  </si>
  <si>
    <t>P02089</t>
  </si>
  <si>
    <t>HBB2</t>
  </si>
  <si>
    <t>P62137</t>
  </si>
  <si>
    <t>PP1A</t>
  </si>
  <si>
    <t>Q8VC19</t>
  </si>
  <si>
    <t>HEM1</t>
  </si>
  <si>
    <t>P97371</t>
  </si>
  <si>
    <t>PSME1</t>
  </si>
  <si>
    <t>Q8BX70</t>
  </si>
  <si>
    <t>VP13C</t>
  </si>
  <si>
    <t>Q9R111</t>
  </si>
  <si>
    <t>GUAD</t>
  </si>
  <si>
    <t>Q61169</t>
  </si>
  <si>
    <t>GATA6</t>
  </si>
  <si>
    <t>P47911</t>
  </si>
  <si>
    <t>RL6</t>
  </si>
  <si>
    <t>O08792</t>
  </si>
  <si>
    <t>COE2</t>
  </si>
  <si>
    <t>Q9D8N0</t>
  </si>
  <si>
    <t>EF1G</t>
  </si>
  <si>
    <t>O08810</t>
  </si>
  <si>
    <t>U5S1</t>
  </si>
  <si>
    <t>Q61316</t>
  </si>
  <si>
    <t>HSP74</t>
  </si>
  <si>
    <t>P11881</t>
  </si>
  <si>
    <t>ITPR1</t>
  </si>
  <si>
    <t>Q9CQX2</t>
  </si>
  <si>
    <t>CYB5B</t>
  </si>
  <si>
    <t>P63254</t>
  </si>
  <si>
    <t>CRIP1</t>
  </si>
  <si>
    <t>P63001</t>
  </si>
  <si>
    <t>RAC1</t>
  </si>
  <si>
    <t>P60764</t>
  </si>
  <si>
    <t>RAC3</t>
  </si>
  <si>
    <t>Q91YE3</t>
  </si>
  <si>
    <t>EGLN1</t>
  </si>
  <si>
    <t>P49615</t>
  </si>
  <si>
    <t>CDK5</t>
  </si>
  <si>
    <t>P70180</t>
  </si>
  <si>
    <t>ANPRC</t>
  </si>
  <si>
    <t>Q8BMJ2</t>
  </si>
  <si>
    <t>SYLC</t>
  </si>
  <si>
    <t>Q70KY4</t>
  </si>
  <si>
    <t>FOXO6</t>
  </si>
  <si>
    <t>Q9JLB0</t>
  </si>
  <si>
    <t>PALS2</t>
  </si>
  <si>
    <t>Q3UPL0</t>
  </si>
  <si>
    <t>SC31A</t>
  </si>
  <si>
    <t>Q9Z2V5</t>
  </si>
  <si>
    <t>HDAC6</t>
  </si>
  <si>
    <t>Q99JP6</t>
  </si>
  <si>
    <t>HOME3</t>
  </si>
  <si>
    <t>O35459</t>
  </si>
  <si>
    <t>ECH1</t>
  </si>
  <si>
    <t>P58742</t>
  </si>
  <si>
    <t>AAAS</t>
  </si>
  <si>
    <t>O70172</t>
  </si>
  <si>
    <t>PI42A</t>
  </si>
  <si>
    <t>A3KGS3</t>
  </si>
  <si>
    <t>RGPA2</t>
  </si>
  <si>
    <t>P02468</t>
  </si>
  <si>
    <t>LAMC1</t>
  </si>
  <si>
    <t>Q9DCH4</t>
  </si>
  <si>
    <t>EIF3F</t>
  </si>
  <si>
    <t>Q8BGH4</t>
  </si>
  <si>
    <t>REEP1</t>
  </si>
  <si>
    <t>P46938</t>
  </si>
  <si>
    <t>YAP1</t>
  </si>
  <si>
    <t>Q99N94</t>
  </si>
  <si>
    <t>RM09</t>
  </si>
  <si>
    <t>Q9JHL1</t>
  </si>
  <si>
    <t>NHRF2</t>
  </si>
  <si>
    <t>Q9D6Y9</t>
  </si>
  <si>
    <t>GLGB</t>
  </si>
  <si>
    <t>Q9D8N2</t>
  </si>
  <si>
    <t>DEN10</t>
  </si>
  <si>
    <t>Q8CJ53</t>
  </si>
  <si>
    <t>CIP4</t>
  </si>
  <si>
    <t>P05480</t>
  </si>
  <si>
    <t>SRC</t>
  </si>
  <si>
    <t>Q9Z2W0</t>
  </si>
  <si>
    <t>DNPEP</t>
  </si>
  <si>
    <t>Q60592</t>
  </si>
  <si>
    <t>MAST2</t>
  </si>
  <si>
    <t>P31001</t>
  </si>
  <si>
    <t>DESM</t>
  </si>
  <si>
    <t>Q8VDK1</t>
  </si>
  <si>
    <t>NIT1</t>
  </si>
  <si>
    <t>P48453</t>
  </si>
  <si>
    <t>PP2BB</t>
  </si>
  <si>
    <t>P60843</t>
  </si>
  <si>
    <t>IF4A1</t>
  </si>
  <si>
    <t>Q65CL1</t>
  </si>
  <si>
    <t>CTNA3</t>
  </si>
  <si>
    <t>P53026</t>
  </si>
  <si>
    <t>RL10A</t>
  </si>
  <si>
    <t>Q9D1E8</t>
  </si>
  <si>
    <t>PLCE</t>
  </si>
  <si>
    <t>O70468</t>
  </si>
  <si>
    <t>MYPC3</t>
  </si>
  <si>
    <t>Q922D8</t>
  </si>
  <si>
    <t>C1TC</t>
  </si>
  <si>
    <t>Q99N87</t>
  </si>
  <si>
    <t>RT05</t>
  </si>
  <si>
    <t>P50544</t>
  </si>
  <si>
    <t>ACADV</t>
  </si>
  <si>
    <t>P27546</t>
  </si>
  <si>
    <t>MAP4</t>
  </si>
  <si>
    <t>P62342</t>
  </si>
  <si>
    <t>SELT</t>
  </si>
  <si>
    <t>Q9CQP2</t>
  </si>
  <si>
    <t>TPPC2</t>
  </si>
  <si>
    <t>Q921Q3</t>
  </si>
  <si>
    <t>ALG1</t>
  </si>
  <si>
    <t>P46638</t>
  </si>
  <si>
    <t>RB11B</t>
  </si>
  <si>
    <t>P62492</t>
  </si>
  <si>
    <t>RB11A</t>
  </si>
  <si>
    <t>Q9CY50</t>
  </si>
  <si>
    <t>SSRA</t>
  </si>
  <si>
    <t>Q8K2D3</t>
  </si>
  <si>
    <t>EDC3</t>
  </si>
  <si>
    <t>Q6TXD4</t>
  </si>
  <si>
    <t>DNMBP</t>
  </si>
  <si>
    <t>Q9CXY9</t>
  </si>
  <si>
    <t>GPI8</t>
  </si>
  <si>
    <t>Q80UJ7</t>
  </si>
  <si>
    <t>RB3GP</t>
  </si>
  <si>
    <t>Q8R574</t>
  </si>
  <si>
    <t>KPRB</t>
  </si>
  <si>
    <t>P59729</t>
  </si>
  <si>
    <t>RIN3</t>
  </si>
  <si>
    <t>Q64378</t>
  </si>
  <si>
    <t>FKBP5</t>
  </si>
  <si>
    <t>Q9CSN1</t>
  </si>
  <si>
    <t>SNW1</t>
  </si>
  <si>
    <t>Q8CI12</t>
  </si>
  <si>
    <t>SMTL2</t>
  </si>
  <si>
    <t>Q6IFT4</t>
  </si>
  <si>
    <t>RHG20</t>
  </si>
  <si>
    <t>Q8VHJ5</t>
  </si>
  <si>
    <t>MARK1</t>
  </si>
  <si>
    <t>Q8K2C9</t>
  </si>
  <si>
    <t>HACD3</t>
  </si>
  <si>
    <t>Q99KK9</t>
  </si>
  <si>
    <t>SYHM</t>
  </si>
  <si>
    <t>O70548</t>
  </si>
  <si>
    <t>TELT</t>
  </si>
  <si>
    <t>P59017</t>
  </si>
  <si>
    <t>B2L13</t>
  </si>
  <si>
    <t>O35864</t>
  </si>
  <si>
    <t>CSN5</t>
  </si>
  <si>
    <t>Q9Z2H5</t>
  </si>
  <si>
    <t>E41L1</t>
  </si>
  <si>
    <t>Q8VCW8</t>
  </si>
  <si>
    <t>ACSF2</t>
  </si>
  <si>
    <t>O35737</t>
  </si>
  <si>
    <t>HNRH1</t>
  </si>
  <si>
    <t>P11798</t>
  </si>
  <si>
    <t>KCC2A</t>
  </si>
  <si>
    <t>Q9QYS9</t>
  </si>
  <si>
    <t>QKI</t>
  </si>
  <si>
    <t>Q8K245</t>
  </si>
  <si>
    <t>UVRAG</t>
  </si>
  <si>
    <t>O54941</t>
  </si>
  <si>
    <t>SMCE1</t>
  </si>
  <si>
    <t>Q9CQ92</t>
  </si>
  <si>
    <t>FIS1</t>
  </si>
  <si>
    <t>Q9DC11</t>
  </si>
  <si>
    <t>PXDC2</t>
  </si>
  <si>
    <t>P32261</t>
  </si>
  <si>
    <t>ANT3</t>
  </si>
  <si>
    <t>Q8CGN5</t>
  </si>
  <si>
    <t>PLIN1</t>
  </si>
  <si>
    <t>Q9CZN7</t>
  </si>
  <si>
    <t>GLYM</t>
  </si>
  <si>
    <t>O35126</t>
  </si>
  <si>
    <t>ATN1</t>
  </si>
  <si>
    <t>Q7TQG1</t>
  </si>
  <si>
    <t>PKHA6</t>
  </si>
  <si>
    <t>Q9DCJ5</t>
  </si>
  <si>
    <t>NDUA8</t>
  </si>
  <si>
    <t>Q8VCL2</t>
  </si>
  <si>
    <t>SCO2</t>
  </si>
  <si>
    <t>P28661</t>
  </si>
  <si>
    <t>SEPT4</t>
  </si>
  <si>
    <t>Q9WTK3</t>
  </si>
  <si>
    <t>GPAA1</t>
  </si>
  <si>
    <t>O88441</t>
  </si>
  <si>
    <t>MTX2</t>
  </si>
  <si>
    <t>P10630</t>
  </si>
  <si>
    <t>IF4A2</t>
  </si>
  <si>
    <t>Q922Q8</t>
  </si>
  <si>
    <t>LRC59</t>
  </si>
  <si>
    <t>Q8BGH2</t>
  </si>
  <si>
    <t>SAM50</t>
  </si>
  <si>
    <t>Q9CRB9</t>
  </si>
  <si>
    <t>MIC19</t>
  </si>
  <si>
    <t>Q9JME7</t>
  </si>
  <si>
    <t>TPC2L</t>
  </si>
  <si>
    <t>Q9DBC3</t>
  </si>
  <si>
    <t>CMTR1</t>
  </si>
  <si>
    <t>P61804</t>
  </si>
  <si>
    <t>DAD1</t>
  </si>
  <si>
    <t>Q9WVR4</t>
  </si>
  <si>
    <t>FXR2</t>
  </si>
  <si>
    <t>P70265</t>
  </si>
  <si>
    <t>F262</t>
  </si>
  <si>
    <t>Q61166</t>
  </si>
  <si>
    <t>MARE1</t>
  </si>
  <si>
    <t>Q8CFI5</t>
  </si>
  <si>
    <t>SYPM</t>
  </si>
  <si>
    <t>P70696</t>
  </si>
  <si>
    <t>H2B1A</t>
  </si>
  <si>
    <t>Q3UH68</t>
  </si>
  <si>
    <t>LIMC1</t>
  </si>
  <si>
    <t>P11404</t>
  </si>
  <si>
    <t>FABPH</t>
  </si>
  <si>
    <t>Q8BJ03</t>
  </si>
  <si>
    <t>COX15</t>
  </si>
  <si>
    <t>P31230</t>
  </si>
  <si>
    <t>AIMP1</t>
  </si>
  <si>
    <t>P51830</t>
  </si>
  <si>
    <t>ADCY9</t>
  </si>
  <si>
    <t>P97315</t>
  </si>
  <si>
    <t>CSRP1</t>
  </si>
  <si>
    <t>Q08093</t>
  </si>
  <si>
    <t>CNN2</t>
  </si>
  <si>
    <t>P16332</t>
  </si>
  <si>
    <t>MUTA</t>
  </si>
  <si>
    <t>Q9CPZ8</t>
  </si>
  <si>
    <t>COXM1</t>
  </si>
  <si>
    <t>P35123</t>
  </si>
  <si>
    <t>UBP4</t>
  </si>
  <si>
    <t>Q14AX6</t>
  </si>
  <si>
    <t>CDK12</t>
  </si>
  <si>
    <t>O54774</t>
  </si>
  <si>
    <t>AP3D1</t>
  </si>
  <si>
    <t>Q60722</t>
  </si>
  <si>
    <t>ITF2</t>
  </si>
  <si>
    <t>Q8C7R4</t>
  </si>
  <si>
    <t>UBA6</t>
  </si>
  <si>
    <t>Q9D7N6</t>
  </si>
  <si>
    <t>RM30</t>
  </si>
  <si>
    <t>Q8C3X2</t>
  </si>
  <si>
    <t>CC90B</t>
  </si>
  <si>
    <t>Q8BUY5</t>
  </si>
  <si>
    <t>TIDC1</t>
  </si>
  <si>
    <t>Q8C7D2</t>
  </si>
  <si>
    <t>CRBN</t>
  </si>
  <si>
    <t>Q8JZN7</t>
  </si>
  <si>
    <t>MIRO2</t>
  </si>
  <si>
    <t>O88487</t>
  </si>
  <si>
    <t>DC1I2</t>
  </si>
  <si>
    <t>Q9QZS3</t>
  </si>
  <si>
    <t>NUMB</t>
  </si>
  <si>
    <t>Q9QYY0</t>
  </si>
  <si>
    <t>GAB1</t>
  </si>
  <si>
    <t>Q6Y7W8</t>
  </si>
  <si>
    <t>GGYF2</t>
  </si>
  <si>
    <t>P51410</t>
  </si>
  <si>
    <t>RL9</t>
  </si>
  <si>
    <t>Q8BFV2</t>
  </si>
  <si>
    <t>PCID2</t>
  </si>
  <si>
    <t>Q9WUN2</t>
  </si>
  <si>
    <t>TBK1</t>
  </si>
  <si>
    <t>Q9DBJ3</t>
  </si>
  <si>
    <t>BI2L1</t>
  </si>
  <si>
    <t>Q8C1B7</t>
  </si>
  <si>
    <t>SEP11</t>
  </si>
  <si>
    <t>Q8BML9</t>
  </si>
  <si>
    <t>SYQ</t>
  </si>
  <si>
    <t>Q8BX10</t>
  </si>
  <si>
    <t>PGAM5</t>
  </si>
  <si>
    <t>Q64337</t>
  </si>
  <si>
    <t>SQSTM</t>
  </si>
  <si>
    <t>Q6DIC0</t>
  </si>
  <si>
    <t>SMCA2</t>
  </si>
  <si>
    <t>P15105</t>
  </si>
  <si>
    <t>GLNA</t>
  </si>
  <si>
    <t>P00920</t>
  </si>
  <si>
    <t>CAH2</t>
  </si>
  <si>
    <t>Q9JM13</t>
  </si>
  <si>
    <t>RABX5</t>
  </si>
  <si>
    <t>Q8BWR2</t>
  </si>
  <si>
    <t>PITH1</t>
  </si>
  <si>
    <t>Q8BH66</t>
  </si>
  <si>
    <t>ATLA1</t>
  </si>
  <si>
    <t>P28652</t>
  </si>
  <si>
    <t>KCC2B</t>
  </si>
  <si>
    <t>Q3UIA2</t>
  </si>
  <si>
    <t>RHG17</t>
  </si>
  <si>
    <t>Q8VCB1</t>
  </si>
  <si>
    <t>NDC1</t>
  </si>
  <si>
    <t>Q62393</t>
  </si>
  <si>
    <t>TPD52</t>
  </si>
  <si>
    <t>Q08857</t>
  </si>
  <si>
    <t>CD36</t>
  </si>
  <si>
    <t>O09172</t>
  </si>
  <si>
    <t>GSH0</t>
  </si>
  <si>
    <t>Q99LC9</t>
  </si>
  <si>
    <t>PEX6</t>
  </si>
  <si>
    <t>E1U8D0</t>
  </si>
  <si>
    <t>SOGA1</t>
  </si>
  <si>
    <t>Q8K3A9</t>
  </si>
  <si>
    <t>MEPCE</t>
  </si>
  <si>
    <t>Q8JZQ9</t>
  </si>
  <si>
    <t>EIF3B</t>
  </si>
  <si>
    <t>P47809</t>
  </si>
  <si>
    <t>MP2K4</t>
  </si>
  <si>
    <t>Q9DBN5</t>
  </si>
  <si>
    <t>LONP2</t>
  </si>
  <si>
    <t>Q8R2Y8</t>
  </si>
  <si>
    <t>PTH2</t>
  </si>
  <si>
    <t>Q9CQZ6</t>
  </si>
  <si>
    <t>NDUB3</t>
  </si>
  <si>
    <t>P18242</t>
  </si>
  <si>
    <t>CATD</t>
  </si>
  <si>
    <t>Q3UHI0</t>
  </si>
  <si>
    <t>CCSE2</t>
  </si>
  <si>
    <t>Q91VR8</t>
  </si>
  <si>
    <t>BRK1</t>
  </si>
  <si>
    <t>P62046</t>
  </si>
  <si>
    <t>LRCH1</t>
  </si>
  <si>
    <t>Q9WV92</t>
  </si>
  <si>
    <t>E41L3</t>
  </si>
  <si>
    <t>Q9JJC6</t>
  </si>
  <si>
    <t>RIPL1</t>
  </si>
  <si>
    <t>O35218</t>
  </si>
  <si>
    <t>CPSF2</t>
  </si>
  <si>
    <t>P26039</t>
  </si>
  <si>
    <t>TLN1</t>
  </si>
  <si>
    <t>Q68FE2</t>
  </si>
  <si>
    <t>ATG9A</t>
  </si>
  <si>
    <t>Q02248</t>
  </si>
  <si>
    <t>CTNB1</t>
  </si>
  <si>
    <t>Q5HZI9</t>
  </si>
  <si>
    <t>S2551</t>
  </si>
  <si>
    <t>Q9DC61</t>
  </si>
  <si>
    <t>MPPA</t>
  </si>
  <si>
    <t>Q9D0K2</t>
  </si>
  <si>
    <t>SCOT1</t>
  </si>
  <si>
    <t>Q8CBE3</t>
  </si>
  <si>
    <t>WDR37</t>
  </si>
  <si>
    <t>Q80W04</t>
  </si>
  <si>
    <t>TMCC2</t>
  </si>
  <si>
    <t>Q8R5A0</t>
  </si>
  <si>
    <t>SMYD2</t>
  </si>
  <si>
    <t>Q8C7X2</t>
  </si>
  <si>
    <t>EMC1</t>
  </si>
  <si>
    <t>Q6PDQ2</t>
  </si>
  <si>
    <t>CHD4</t>
  </si>
  <si>
    <t>Q91WD5</t>
  </si>
  <si>
    <t>NDUS2</t>
  </si>
  <si>
    <t>Q02780</t>
  </si>
  <si>
    <t>NFIA</t>
  </si>
  <si>
    <t>Q8BWJ3</t>
  </si>
  <si>
    <t>KPB2</t>
  </si>
  <si>
    <t>Q3TJD7</t>
  </si>
  <si>
    <t>PDLI7</t>
  </si>
  <si>
    <t>Q8R349</t>
  </si>
  <si>
    <t>CDC16</t>
  </si>
  <si>
    <t>Q9CZ42</t>
  </si>
  <si>
    <t>NNRD</t>
  </si>
  <si>
    <t>Q9Z2Z6</t>
  </si>
  <si>
    <t>MCAT</t>
  </si>
  <si>
    <t>P59266</t>
  </si>
  <si>
    <t>FITM2</t>
  </si>
  <si>
    <t>P30999</t>
  </si>
  <si>
    <t>CTND1</t>
  </si>
  <si>
    <t>O70503</t>
  </si>
  <si>
    <t>DHB12</t>
  </si>
  <si>
    <t>Q91XB7</t>
  </si>
  <si>
    <t>YIF1A</t>
  </si>
  <si>
    <t>Q9D2U9</t>
  </si>
  <si>
    <t>H2B3A</t>
  </si>
  <si>
    <t>Q64524</t>
  </si>
  <si>
    <t>H2B2E</t>
  </si>
  <si>
    <t>Q8CGP0</t>
  </si>
  <si>
    <t>H2B3B</t>
  </si>
  <si>
    <t>Q6ZWY9</t>
  </si>
  <si>
    <t>H2B1C</t>
  </si>
  <si>
    <t>Q64525</t>
  </si>
  <si>
    <t>H2B2B</t>
  </si>
  <si>
    <t>Q8CGP1</t>
  </si>
  <si>
    <t>H2B1K</t>
  </si>
  <si>
    <t>Q64475</t>
  </si>
  <si>
    <t>H2B1B</t>
  </si>
  <si>
    <t>Q64478</t>
  </si>
  <si>
    <t>H2B1H</t>
  </si>
  <si>
    <t>P10853</t>
  </si>
  <si>
    <t>H2B1F</t>
  </si>
  <si>
    <t>P10854</t>
  </si>
  <si>
    <t>H2B1M</t>
  </si>
  <si>
    <t>Q8CGP2</t>
  </si>
  <si>
    <t>H2B1P</t>
  </si>
  <si>
    <t>Q9D2N4</t>
  </si>
  <si>
    <t>DTNA</t>
  </si>
  <si>
    <t>Q6P9J5</t>
  </si>
  <si>
    <t>KANK4</t>
  </si>
  <si>
    <t>Q9CXT8</t>
  </si>
  <si>
    <t>MPPB</t>
  </si>
  <si>
    <t>P70213</t>
  </si>
  <si>
    <t>FV1</t>
  </si>
  <si>
    <t>P97454</t>
  </si>
  <si>
    <t>SMAD5</t>
  </si>
  <si>
    <t>Q02357</t>
  </si>
  <si>
    <t>ANK1</t>
  </si>
  <si>
    <t>Q7TSI1</t>
  </si>
  <si>
    <t>PKHM1</t>
  </si>
  <si>
    <t>Q9R233</t>
  </si>
  <si>
    <t>TPSN</t>
  </si>
  <si>
    <t>Q8K4Q0</t>
  </si>
  <si>
    <t>RPTOR</t>
  </si>
  <si>
    <t>Q9D1G3</t>
  </si>
  <si>
    <t>HHATL</t>
  </si>
  <si>
    <t>Q3UN02</t>
  </si>
  <si>
    <t>LCLT1</t>
  </si>
  <si>
    <t>Q5FWH6</t>
  </si>
  <si>
    <t>ARHGF</t>
  </si>
  <si>
    <t>P48437</t>
  </si>
  <si>
    <t>PROX1</t>
  </si>
  <si>
    <t>P23198</t>
  </si>
  <si>
    <t>CBX3</t>
  </si>
  <si>
    <t>P35282</t>
  </si>
  <si>
    <t>RAB21</t>
  </si>
  <si>
    <t>Q9CRC8</t>
  </si>
  <si>
    <t>LRC40</t>
  </si>
  <si>
    <t>E9Q0S6</t>
  </si>
  <si>
    <t>TENS1</t>
  </si>
  <si>
    <t>Q9CQY5</t>
  </si>
  <si>
    <t>MAGT1</t>
  </si>
  <si>
    <t>Q04735</t>
  </si>
  <si>
    <t>CDK16</t>
  </si>
  <si>
    <t>Q99JY4</t>
  </si>
  <si>
    <t>TRABD</t>
  </si>
  <si>
    <t>P01837</t>
  </si>
  <si>
    <t>IGKC</t>
  </si>
  <si>
    <t>Q3UIR3</t>
  </si>
  <si>
    <t>DTX3L</t>
  </si>
  <si>
    <t>Q9DB27</t>
  </si>
  <si>
    <t>MCTS1</t>
  </si>
  <si>
    <t>Q9CQ21</t>
  </si>
  <si>
    <t>MCTS2</t>
  </si>
  <si>
    <t>Q9DC28</t>
  </si>
  <si>
    <t>KC1D</t>
  </si>
  <si>
    <t>P16015</t>
  </si>
  <si>
    <t>CAH3</t>
  </si>
  <si>
    <t>Q9EQ06</t>
  </si>
  <si>
    <t>DHB11</t>
  </si>
  <si>
    <t>P54775</t>
  </si>
  <si>
    <t>PRS6B</t>
  </si>
  <si>
    <t>Q9DC70</t>
  </si>
  <si>
    <t>NDUS7</t>
  </si>
  <si>
    <t>Q99JT2</t>
  </si>
  <si>
    <t>STK26</t>
  </si>
  <si>
    <t>Q80XI4</t>
  </si>
  <si>
    <t>PI42B</t>
  </si>
  <si>
    <t>Q8CJF9</t>
  </si>
  <si>
    <t>AGO3</t>
  </si>
  <si>
    <t>Q8R1S4</t>
  </si>
  <si>
    <t>MTSS1</t>
  </si>
  <si>
    <t>O88520</t>
  </si>
  <si>
    <t>SHOC2</t>
  </si>
  <si>
    <t>Q61084</t>
  </si>
  <si>
    <t>M3K3</t>
  </si>
  <si>
    <t>Q7TT50</t>
  </si>
  <si>
    <t>MRCKB</t>
  </si>
  <si>
    <t>Q3TLH4</t>
  </si>
  <si>
    <t>PRC2C</t>
  </si>
  <si>
    <t>Q80TE0</t>
  </si>
  <si>
    <t>RPAP1</t>
  </si>
  <si>
    <t>Q9WVL3</t>
  </si>
  <si>
    <t>S12A7</t>
  </si>
  <si>
    <t>Q922B6</t>
  </si>
  <si>
    <t>TRAF7</t>
  </si>
  <si>
    <t>Q8BHS3</t>
  </si>
  <si>
    <t>RBM22</t>
  </si>
  <si>
    <t>Q9Z315</t>
  </si>
  <si>
    <t>SNUT1</t>
  </si>
  <si>
    <t>P00405</t>
  </si>
  <si>
    <t>COX2</t>
  </si>
  <si>
    <t>Q91W97</t>
  </si>
  <si>
    <t>HKDC1</t>
  </si>
  <si>
    <t>Q3UMB9</t>
  </si>
  <si>
    <t>WASC4</t>
  </si>
  <si>
    <t>Q501J7</t>
  </si>
  <si>
    <t>PHAR4</t>
  </si>
  <si>
    <t>Q9JIS8</t>
  </si>
  <si>
    <t>S12A4</t>
  </si>
  <si>
    <t>Q8BPT6</t>
  </si>
  <si>
    <t>IMP2L</t>
  </si>
  <si>
    <t>Q2TBE6</t>
  </si>
  <si>
    <t>P4K2A</t>
  </si>
  <si>
    <t>P27773</t>
  </si>
  <si>
    <t>PDIA3</t>
  </si>
  <si>
    <t>P49222</t>
  </si>
  <si>
    <t>EPB42</t>
  </si>
  <si>
    <t>P62196</t>
  </si>
  <si>
    <t>PRS8</t>
  </si>
  <si>
    <t>Q91VI7</t>
  </si>
  <si>
    <t>RINI</t>
  </si>
  <si>
    <t>P31725</t>
  </si>
  <si>
    <t>S10A9</t>
  </si>
  <si>
    <t>Q9D0I9</t>
  </si>
  <si>
    <t>SYRC</t>
  </si>
  <si>
    <t>Q5FW53</t>
  </si>
  <si>
    <t>MBPHL</t>
  </si>
  <si>
    <t>D3YYU8</t>
  </si>
  <si>
    <t>OBSL1</t>
  </si>
  <si>
    <t>Q6NZM9</t>
  </si>
  <si>
    <t>HDAC4</t>
  </si>
  <si>
    <t>Q8R3K3</t>
  </si>
  <si>
    <t>PTCD2</t>
  </si>
  <si>
    <t>P70392</t>
  </si>
  <si>
    <t>RGRF2</t>
  </si>
  <si>
    <t>Q8C0M9</t>
  </si>
  <si>
    <t>ASGL1</t>
  </si>
  <si>
    <t>Q62433</t>
  </si>
  <si>
    <t>NDRG1</t>
  </si>
  <si>
    <t>Q9R210</t>
  </si>
  <si>
    <t>TFEB</t>
  </si>
  <si>
    <t>Q78PY7</t>
  </si>
  <si>
    <t>SND1</t>
  </si>
  <si>
    <t>P07759</t>
  </si>
  <si>
    <t>SPA3K</t>
  </si>
  <si>
    <t>Q8BXR9</t>
  </si>
  <si>
    <t>OSBL6</t>
  </si>
  <si>
    <t>O55003</t>
  </si>
  <si>
    <t>BNIP3</t>
  </si>
  <si>
    <t>Q61411</t>
  </si>
  <si>
    <t>RASH</t>
  </si>
  <si>
    <t>O88895</t>
  </si>
  <si>
    <t>HDAC3</t>
  </si>
  <si>
    <t>Q8VHK1</t>
  </si>
  <si>
    <t>CSKI2</t>
  </si>
  <si>
    <t>Q8BTY2</t>
  </si>
  <si>
    <t>S4A7</t>
  </si>
  <si>
    <t>Q80TM9</t>
  </si>
  <si>
    <t>NISCH</t>
  </si>
  <si>
    <t>P84309</t>
  </si>
  <si>
    <t>ADCY5</t>
  </si>
  <si>
    <t>G5E8K5</t>
  </si>
  <si>
    <t>ANK3</t>
  </si>
  <si>
    <t>Q60738</t>
  </si>
  <si>
    <t>ZNT1</t>
  </si>
  <si>
    <t>Q5F2E8</t>
  </si>
  <si>
    <t>TAOK1</t>
  </si>
  <si>
    <t>Q8CFQ3</t>
  </si>
  <si>
    <t>AQR</t>
  </si>
  <si>
    <t>Q3TMX7</t>
  </si>
  <si>
    <t>QSOX2</t>
  </si>
  <si>
    <t>Q8R370</t>
  </si>
  <si>
    <t>USBP1</t>
  </si>
  <si>
    <t>Q03963</t>
  </si>
  <si>
    <t>E2AK2</t>
  </si>
  <si>
    <t>A2ASS6</t>
  </si>
  <si>
    <t>TITIN</t>
  </si>
  <si>
    <t>Q8BIE6</t>
  </si>
  <si>
    <t>FRM4A</t>
  </si>
  <si>
    <t>Q99PV0</t>
  </si>
  <si>
    <t>PRP8</t>
  </si>
  <si>
    <t>B1AUE5</t>
  </si>
  <si>
    <t>PEX10</t>
  </si>
  <si>
    <t>Q69Z38</t>
  </si>
  <si>
    <t>PEAK1</t>
  </si>
  <si>
    <t>Q8K370</t>
  </si>
  <si>
    <t>ACD10</t>
  </si>
  <si>
    <t>O08573</t>
  </si>
  <si>
    <t>LEG9</t>
  </si>
  <si>
    <t>Q99KH8</t>
  </si>
  <si>
    <t>STK24</t>
  </si>
  <si>
    <t>Q04857</t>
  </si>
  <si>
    <t>CO6A1</t>
  </si>
  <si>
    <t>P61161</t>
  </si>
  <si>
    <t>ARP2</t>
  </si>
  <si>
    <t>P17742</t>
  </si>
  <si>
    <t>PPIA</t>
  </si>
  <si>
    <t>Q9WTP7</t>
  </si>
  <si>
    <t>KAD3</t>
  </si>
  <si>
    <t>Q62261</t>
  </si>
  <si>
    <t>SPTB2</t>
  </si>
  <si>
    <t>P62242</t>
  </si>
  <si>
    <t>RS8</t>
  </si>
  <si>
    <t>Q14CH7</t>
  </si>
  <si>
    <t>SYAM</t>
  </si>
  <si>
    <t>Q9CQR6</t>
  </si>
  <si>
    <t>PPP6</t>
  </si>
  <si>
    <t>Q8BZ03</t>
  </si>
  <si>
    <t>KPCD2</t>
  </si>
  <si>
    <t>P97742</t>
  </si>
  <si>
    <t>CPT1A</t>
  </si>
  <si>
    <t>O54916</t>
  </si>
  <si>
    <t>REPS1</t>
  </si>
  <si>
    <t>P61963</t>
  </si>
  <si>
    <t>DCAF7</t>
  </si>
  <si>
    <t>Q8VEL2</t>
  </si>
  <si>
    <t>MTMRE</t>
  </si>
  <si>
    <t>Q3V132</t>
  </si>
  <si>
    <t>ADT4</t>
  </si>
  <si>
    <t>Q3U3E2</t>
  </si>
  <si>
    <t>F117B</t>
  </si>
  <si>
    <t>Q9Z2F7</t>
  </si>
  <si>
    <t>BNI3L</t>
  </si>
  <si>
    <t>Q810D6</t>
  </si>
  <si>
    <t>GRWD1</t>
  </si>
  <si>
    <t>Q9D8W7</t>
  </si>
  <si>
    <t>OCAD2</t>
  </si>
  <si>
    <t>Q6NVF9</t>
  </si>
  <si>
    <t>CPSF6</t>
  </si>
  <si>
    <t>P16045</t>
  </si>
  <si>
    <t>LEG1</t>
  </si>
  <si>
    <t>Q8C050</t>
  </si>
  <si>
    <t>KS6A5</t>
  </si>
  <si>
    <t>Q6PD28</t>
  </si>
  <si>
    <t>2A5B</t>
  </si>
  <si>
    <t>Q60932</t>
  </si>
  <si>
    <t>VDAC1</t>
  </si>
  <si>
    <t>Q8K3W2</t>
  </si>
  <si>
    <t>LRC10</t>
  </si>
  <si>
    <t>P97821</t>
  </si>
  <si>
    <t>CATC</t>
  </si>
  <si>
    <t>Q8JZS9</t>
  </si>
  <si>
    <t>RM48</t>
  </si>
  <si>
    <t>A2APV2</t>
  </si>
  <si>
    <t>FMNL2</t>
  </si>
  <si>
    <t>P97855</t>
  </si>
  <si>
    <t>G3BP1</t>
  </si>
  <si>
    <t>Q9CR00</t>
  </si>
  <si>
    <t>PSMD9</t>
  </si>
  <si>
    <t>Q924L1</t>
  </si>
  <si>
    <t>LTMD1</t>
  </si>
  <si>
    <t>O08788</t>
  </si>
  <si>
    <t>DCTN1</t>
  </si>
  <si>
    <t>B1AXH1</t>
  </si>
  <si>
    <t>NHSL2</t>
  </si>
  <si>
    <t>Q02788</t>
  </si>
  <si>
    <t>CO6A2</t>
  </si>
  <si>
    <t>Q810A7</t>
  </si>
  <si>
    <t>DDX42</t>
  </si>
  <si>
    <t>Q9R0P3</t>
  </si>
  <si>
    <t>ESTD</t>
  </si>
  <si>
    <t>Q02053</t>
  </si>
  <si>
    <t>UBA1</t>
  </si>
  <si>
    <t>Q925J9</t>
  </si>
  <si>
    <t>MED1</t>
  </si>
  <si>
    <t>P23949</t>
  </si>
  <si>
    <t>TISD</t>
  </si>
  <si>
    <t>Q9ERV1</t>
  </si>
  <si>
    <t>MKRN2</t>
  </si>
  <si>
    <t>P01863</t>
  </si>
  <si>
    <t>GCAA</t>
  </si>
  <si>
    <t>P01865</t>
  </si>
  <si>
    <t>GCAM</t>
  </si>
  <si>
    <t>P97798</t>
  </si>
  <si>
    <t>NEO1</t>
  </si>
  <si>
    <t>F8VPK0</t>
  </si>
  <si>
    <t>SKI3</t>
  </si>
  <si>
    <t>Q80TV8</t>
  </si>
  <si>
    <t>CLAP1</t>
  </si>
  <si>
    <t>E9QAT4</t>
  </si>
  <si>
    <t>SC16A</t>
  </si>
  <si>
    <t>Q9QVP4</t>
  </si>
  <si>
    <t>MLRA</t>
  </si>
  <si>
    <t>Q8R5C5</t>
  </si>
  <si>
    <t>ACTY</t>
  </si>
  <si>
    <t>Q7TPR4</t>
  </si>
  <si>
    <t>ACTN1</t>
  </si>
  <si>
    <t>Q7TPD2</t>
  </si>
  <si>
    <t>F185A</t>
  </si>
  <si>
    <t>Q8K199</t>
  </si>
  <si>
    <t>COXM2</t>
  </si>
  <si>
    <t>P02088</t>
  </si>
  <si>
    <t>HBB1</t>
  </si>
  <si>
    <t>P18654</t>
  </si>
  <si>
    <t>KS6A3</t>
  </si>
  <si>
    <t>Q9EQJ9</t>
  </si>
  <si>
    <t>MAGI3</t>
  </si>
  <si>
    <t>Q9R0E2</t>
  </si>
  <si>
    <t>PLOD1</t>
  </si>
  <si>
    <t>Q62418</t>
  </si>
  <si>
    <t>DBNL</t>
  </si>
  <si>
    <t>Q99K70</t>
  </si>
  <si>
    <t>RRAGC</t>
  </si>
  <si>
    <t>Q3TJZ6</t>
  </si>
  <si>
    <t>FA98A</t>
  </si>
  <si>
    <t>P48962</t>
  </si>
  <si>
    <t>ADT1</t>
  </si>
  <si>
    <t>Q9CQX8</t>
  </si>
  <si>
    <t>KGD4</t>
  </si>
  <si>
    <t>Q80XH1</t>
  </si>
  <si>
    <t>KXDL1</t>
  </si>
  <si>
    <t>Q9DBA6</t>
  </si>
  <si>
    <t>TYSD1</t>
  </si>
  <si>
    <t>Q91VD9</t>
  </si>
  <si>
    <t>NDUS1</t>
  </si>
  <si>
    <t>Q9D020</t>
  </si>
  <si>
    <t>5NT3A</t>
  </si>
  <si>
    <t>P42225</t>
  </si>
  <si>
    <t>STAT1</t>
  </si>
  <si>
    <t>P97823</t>
  </si>
  <si>
    <t>LYPA1</t>
  </si>
  <si>
    <t>Q9JHK4</t>
  </si>
  <si>
    <t>PGTA</t>
  </si>
  <si>
    <t>Q9D6Z1</t>
  </si>
  <si>
    <t>NOP56</t>
  </si>
  <si>
    <t>Q9R1L5</t>
  </si>
  <si>
    <t>MAST1</t>
  </si>
  <si>
    <t>Q920Q4</t>
  </si>
  <si>
    <t>VPS16</t>
  </si>
  <si>
    <t>Q8R5L3</t>
  </si>
  <si>
    <t>VPS39</t>
  </si>
  <si>
    <t>Q61247</t>
  </si>
  <si>
    <t>A2AP</t>
  </si>
  <si>
    <t>Q9D1B9</t>
  </si>
  <si>
    <t>RM28</t>
  </si>
  <si>
    <t>P19324</t>
  </si>
  <si>
    <t>SERPH</t>
  </si>
  <si>
    <t>Q8VEM8</t>
  </si>
  <si>
    <t>S25A3</t>
  </si>
  <si>
    <t>Q6PIE5</t>
  </si>
  <si>
    <t>AT1A2</t>
  </si>
  <si>
    <t>Q9JJE7</t>
  </si>
  <si>
    <t>FADS3</t>
  </si>
  <si>
    <t>E9PVB5</t>
  </si>
  <si>
    <t>TTC17</t>
  </si>
  <si>
    <t>Q61699</t>
  </si>
  <si>
    <t>HS105</t>
  </si>
  <si>
    <t>Q6PCM2</t>
  </si>
  <si>
    <t>INT6</t>
  </si>
  <si>
    <t>P70274</t>
  </si>
  <si>
    <t>SEPP1</t>
  </si>
  <si>
    <t>P33173</t>
  </si>
  <si>
    <t>KIF1A</t>
  </si>
  <si>
    <t>Q6P1H6</t>
  </si>
  <si>
    <t>ANKL2</t>
  </si>
  <si>
    <t>Q3U564</t>
  </si>
  <si>
    <t>DCP1B</t>
  </si>
  <si>
    <t>Q9R1R2</t>
  </si>
  <si>
    <t>TRIM3</t>
  </si>
  <si>
    <t>P58404</t>
  </si>
  <si>
    <t>STRN4</t>
  </si>
  <si>
    <t>Q9D6J6</t>
  </si>
  <si>
    <t>NDUV2</t>
  </si>
  <si>
    <t>Q9WUA3</t>
  </si>
  <si>
    <t>PFKAP</t>
  </si>
  <si>
    <t>Q8BTM8</t>
  </si>
  <si>
    <t>FLNA</t>
  </si>
  <si>
    <t>Q8BK30</t>
  </si>
  <si>
    <t>NDUV3</t>
  </si>
  <si>
    <t>Q9WVQ5</t>
  </si>
  <si>
    <t>MTNB</t>
  </si>
  <si>
    <t>O35593</t>
  </si>
  <si>
    <t>PSDE</t>
  </si>
  <si>
    <t>Q8K4P0</t>
  </si>
  <si>
    <t>WDR33</t>
  </si>
  <si>
    <t>Q9QXD8</t>
  </si>
  <si>
    <t>LIMD1</t>
  </si>
  <si>
    <t>B1AZI6</t>
  </si>
  <si>
    <t>THOC2</t>
  </si>
  <si>
    <t>P47802</t>
  </si>
  <si>
    <t>MTX1</t>
  </si>
  <si>
    <t>O09111</t>
  </si>
  <si>
    <t>NDUBB</t>
  </si>
  <si>
    <t>Q9ET78</t>
  </si>
  <si>
    <t>JPH2</t>
  </si>
  <si>
    <t>Q9DBG5</t>
  </si>
  <si>
    <t>PLIN3</t>
  </si>
  <si>
    <t>Q80SU7</t>
  </si>
  <si>
    <t>GVIN1</t>
  </si>
  <si>
    <t>B1AR13</t>
  </si>
  <si>
    <t>CISD3</t>
  </si>
  <si>
    <t>Q99LR1</t>
  </si>
  <si>
    <t>ABD12</t>
  </si>
  <si>
    <t>O54784</t>
  </si>
  <si>
    <t>DAPK3</t>
  </si>
  <si>
    <t>Q9Z2B9</t>
  </si>
  <si>
    <t>KS6A4</t>
  </si>
  <si>
    <t>Q9ESU6</t>
  </si>
  <si>
    <t>BRD4</t>
  </si>
  <si>
    <t>Q62417</t>
  </si>
  <si>
    <t>SRBS1</t>
  </si>
  <si>
    <t>Q8C0N2</t>
  </si>
  <si>
    <t>GPAT3</t>
  </si>
  <si>
    <t>Q3TBW2</t>
  </si>
  <si>
    <t>RM10</t>
  </si>
  <si>
    <t>Q8K296</t>
  </si>
  <si>
    <t>MTMR3</t>
  </si>
  <si>
    <t>P01942</t>
  </si>
  <si>
    <t>HBA</t>
  </si>
  <si>
    <t>O88456</t>
  </si>
  <si>
    <t>CPNS1</t>
  </si>
  <si>
    <t>Q05144</t>
  </si>
  <si>
    <t>RAC2</t>
  </si>
  <si>
    <t>Q8K0P3</t>
  </si>
  <si>
    <t>MEAK7</t>
  </si>
  <si>
    <t>P36993</t>
  </si>
  <si>
    <t>PPM1B</t>
  </si>
  <si>
    <t>Q921G8</t>
  </si>
  <si>
    <t>GCP2</t>
  </si>
  <si>
    <t>Q8BGQ1</t>
  </si>
  <si>
    <t>SPE39</t>
  </si>
  <si>
    <t>P0CG50</t>
  </si>
  <si>
    <t>UBC</t>
  </si>
  <si>
    <t>P0CG49</t>
  </si>
  <si>
    <t>UBB</t>
  </si>
  <si>
    <t>P62984</t>
  </si>
  <si>
    <t>RL40</t>
  </si>
  <si>
    <t>O88712</t>
  </si>
  <si>
    <t>CTBP1</t>
  </si>
  <si>
    <t>Q3U1T9</t>
  </si>
  <si>
    <t>DEN1B</t>
  </si>
  <si>
    <t>P04919</t>
  </si>
  <si>
    <t>B3AT</t>
  </si>
  <si>
    <t>P70313</t>
  </si>
  <si>
    <t>NOS3</t>
  </si>
  <si>
    <t>O54950</t>
  </si>
  <si>
    <t>AAKG1</t>
  </si>
  <si>
    <t>O88643</t>
  </si>
  <si>
    <t>PAK1</t>
  </si>
  <si>
    <t>Q8VHX6</t>
  </si>
  <si>
    <t>FLNC</t>
  </si>
  <si>
    <t>Q9CQ69</t>
  </si>
  <si>
    <t>QCR8</t>
  </si>
  <si>
    <t>A2A5R2</t>
  </si>
  <si>
    <t>BIG2</t>
  </si>
  <si>
    <t>Q80TH2</t>
  </si>
  <si>
    <t>ERBIN</t>
  </si>
  <si>
    <t>O35071</t>
  </si>
  <si>
    <t>KIF1C</t>
  </si>
  <si>
    <t>P11276</t>
  </si>
  <si>
    <t>FINC</t>
  </si>
  <si>
    <t>Q2PFD7</t>
  </si>
  <si>
    <t>PSD3</t>
  </si>
  <si>
    <t>Q8K3J1</t>
  </si>
  <si>
    <t>NDUS8</t>
  </si>
  <si>
    <t>Q00899</t>
  </si>
  <si>
    <t>TYY1</t>
  </si>
  <si>
    <t>P48410</t>
  </si>
  <si>
    <t>ABCD1</t>
  </si>
  <si>
    <t>Q8BX57</t>
  </si>
  <si>
    <t>PXK</t>
  </si>
  <si>
    <t>P06151</t>
  </si>
  <si>
    <t>LDHA</t>
  </si>
  <si>
    <t>Q8JZQ2</t>
  </si>
  <si>
    <t>AFG32</t>
  </si>
  <si>
    <t>Q99MR6</t>
  </si>
  <si>
    <t>SRRT</t>
  </si>
  <si>
    <t>Q01768</t>
  </si>
  <si>
    <t>NDKB</t>
  </si>
  <si>
    <t>O35887</t>
  </si>
  <si>
    <t>CALU</t>
  </si>
  <si>
    <t>Q6Y5D8</t>
  </si>
  <si>
    <t>RHG10</t>
  </si>
  <si>
    <t>P47754</t>
  </si>
  <si>
    <t>CAZA2</t>
  </si>
  <si>
    <t>D3Z1D3</t>
  </si>
  <si>
    <t>CEFIP</t>
  </si>
  <si>
    <t>Q9WUQ2</t>
  </si>
  <si>
    <t>PREB</t>
  </si>
  <si>
    <t>P52503</t>
  </si>
  <si>
    <t>NDUS6</t>
  </si>
  <si>
    <t>P46460</t>
  </si>
  <si>
    <t>NSF</t>
  </si>
  <si>
    <t>Q99LC3</t>
  </si>
  <si>
    <t>NDUAA</t>
  </si>
  <si>
    <t>Q8BH57</t>
  </si>
  <si>
    <t>WDR48</t>
  </si>
  <si>
    <t>P54285</t>
  </si>
  <si>
    <t>CACB3</t>
  </si>
  <si>
    <t>E9PXF8</t>
  </si>
  <si>
    <t>MTMRD</t>
  </si>
  <si>
    <t>Q9CR67</t>
  </si>
  <si>
    <t>TMM33</t>
  </si>
  <si>
    <t>Q64727</t>
  </si>
  <si>
    <t>VINC</t>
  </si>
  <si>
    <t>Q14AI6</t>
  </si>
  <si>
    <t>RUSD3</t>
  </si>
  <si>
    <t>P62983</t>
  </si>
  <si>
    <t>RS27A</t>
  </si>
  <si>
    <t>Q8K5B2</t>
  </si>
  <si>
    <t>MCFD2</t>
  </si>
  <si>
    <t>Q8C9B9</t>
  </si>
  <si>
    <t>DIDO1</t>
  </si>
  <si>
    <t>Q68FH0</t>
  </si>
  <si>
    <t>PKP4</t>
  </si>
  <si>
    <t>Q9CQS4</t>
  </si>
  <si>
    <t>S2546</t>
  </si>
  <si>
    <t>Q6ZQ29</t>
  </si>
  <si>
    <t>TAOK2</t>
  </si>
  <si>
    <t>Q3V3Q7</t>
  </si>
  <si>
    <t>PACS2</t>
  </si>
  <si>
    <t>Q9WVL0</t>
  </si>
  <si>
    <t>MAAI</t>
  </si>
  <si>
    <t>Q8BK03</t>
  </si>
  <si>
    <t>MIGA2</t>
  </si>
  <si>
    <t>Q64152</t>
  </si>
  <si>
    <t>BTF3</t>
  </si>
  <si>
    <t>Q5F2F2</t>
  </si>
  <si>
    <t>ABH15</t>
  </si>
  <si>
    <t>Q9R1X5</t>
  </si>
  <si>
    <t>MRP5</t>
  </si>
  <si>
    <t>Q64332</t>
  </si>
  <si>
    <t>SYN2</t>
  </si>
  <si>
    <t>Q80UW5</t>
  </si>
  <si>
    <t>MRCKG</t>
  </si>
  <si>
    <t>P68368</t>
  </si>
  <si>
    <t>TBA4A</t>
  </si>
  <si>
    <t>Q9CYW4</t>
  </si>
  <si>
    <t>HDHD3</t>
  </si>
  <si>
    <t>Q91V36</t>
  </si>
  <si>
    <t>NRBP2</t>
  </si>
  <si>
    <t>Q922R1</t>
  </si>
  <si>
    <t>PHAF1</t>
  </si>
  <si>
    <t>Q9CQH3</t>
  </si>
  <si>
    <t>NDUB5</t>
  </si>
  <si>
    <t>Q3U5Q7</t>
  </si>
  <si>
    <t>CMPK2</t>
  </si>
  <si>
    <t>Q99KN9</t>
  </si>
  <si>
    <t>EPN4</t>
  </si>
  <si>
    <t>Q3TL44</t>
  </si>
  <si>
    <t>NLRX1</t>
  </si>
  <si>
    <t>Q8BG07</t>
  </si>
  <si>
    <t>PLD4</t>
  </si>
  <si>
    <t>Q80ZW2</t>
  </si>
  <si>
    <t>THEM6</t>
  </si>
  <si>
    <t>Q9DBG6</t>
  </si>
  <si>
    <t>RPN2</t>
  </si>
  <si>
    <t>Q60902</t>
  </si>
  <si>
    <t>EP15R</t>
  </si>
  <si>
    <t>Q9D9M2</t>
  </si>
  <si>
    <t>UBP12</t>
  </si>
  <si>
    <t>Q99N93</t>
  </si>
  <si>
    <t>RM16</t>
  </si>
  <si>
    <t>Q9D5T0</t>
  </si>
  <si>
    <t>ATAD1</t>
  </si>
  <si>
    <t>Q80X90</t>
  </si>
  <si>
    <t>FLNB</t>
  </si>
  <si>
    <t>E9PZQ0</t>
  </si>
  <si>
    <t>RYR1</t>
  </si>
  <si>
    <t>Q6PHQ8</t>
  </si>
  <si>
    <t>NAA35</t>
  </si>
  <si>
    <t>Q924M7</t>
  </si>
  <si>
    <t>MPI</t>
  </si>
  <si>
    <t>Q63810</t>
  </si>
  <si>
    <t>CANB1</t>
  </si>
  <si>
    <t>Q8R105</t>
  </si>
  <si>
    <t>VP37C</t>
  </si>
  <si>
    <t>Q6GYP7</t>
  </si>
  <si>
    <t>RGPA1</t>
  </si>
  <si>
    <t>Q99LP6</t>
  </si>
  <si>
    <t>GRPE1</t>
  </si>
  <si>
    <t>P48787</t>
  </si>
  <si>
    <t>TNNI3</t>
  </si>
  <si>
    <t>Q9CPQ1</t>
  </si>
  <si>
    <t>COX6C</t>
  </si>
  <si>
    <t>Q6ZPQ6</t>
  </si>
  <si>
    <t>PITM2</t>
  </si>
  <si>
    <t>O88874</t>
  </si>
  <si>
    <t>CCNK</t>
  </si>
  <si>
    <t>Q1XH17</t>
  </si>
  <si>
    <t>TRI72</t>
  </si>
  <si>
    <t>Q8K0U4</t>
  </si>
  <si>
    <t>HS12A</t>
  </si>
  <si>
    <t>Q8CBY8</t>
  </si>
  <si>
    <t>DCTN4</t>
  </si>
  <si>
    <t>P49135</t>
  </si>
  <si>
    <t>ERCC3</t>
  </si>
  <si>
    <t>Q3TUH1</t>
  </si>
  <si>
    <t>TAM41</t>
  </si>
  <si>
    <t>Q9CZR2</t>
  </si>
  <si>
    <t>NALD2</t>
  </si>
  <si>
    <t>Q9R0I7</t>
  </si>
  <si>
    <t>YLPM1</t>
  </si>
  <si>
    <t>P70268</t>
  </si>
  <si>
    <t>PKN1</t>
  </si>
  <si>
    <t>Q61656</t>
  </si>
  <si>
    <t>DDX5</t>
  </si>
  <si>
    <t>Q9CPU4</t>
  </si>
  <si>
    <t>MGST3</t>
  </si>
  <si>
    <t>Q62172</t>
  </si>
  <si>
    <t>RBP1</t>
  </si>
  <si>
    <t>Q61510</t>
  </si>
  <si>
    <t>TRI25</t>
  </si>
  <si>
    <t>P70182</t>
  </si>
  <si>
    <t>PI51A</t>
  </si>
  <si>
    <t>Q7TSC1</t>
  </si>
  <si>
    <t>PRC2A</t>
  </si>
  <si>
    <t>B1AY13</t>
  </si>
  <si>
    <t>UBP24</t>
  </si>
  <si>
    <t>O54824</t>
  </si>
  <si>
    <t>IL16</t>
  </si>
  <si>
    <t>Q8VCM4</t>
  </si>
  <si>
    <t>LIPT</t>
  </si>
  <si>
    <t>P62259</t>
  </si>
  <si>
    <t>1433E</t>
  </si>
  <si>
    <t>Q499X9</t>
  </si>
  <si>
    <t>SYMM</t>
  </si>
  <si>
    <t>Q3TRM4</t>
  </si>
  <si>
    <t>PLPL6</t>
  </si>
  <si>
    <t>Q8BTH8</t>
  </si>
  <si>
    <t>KC1G1</t>
  </si>
  <si>
    <t>P10493</t>
  </si>
  <si>
    <t>NID1</t>
  </si>
  <si>
    <t>Q80UP3</t>
  </si>
  <si>
    <t>DGKZ</t>
  </si>
  <si>
    <t>Q80SW1</t>
  </si>
  <si>
    <t>SAHH2</t>
  </si>
  <si>
    <t>P70670</t>
  </si>
  <si>
    <t>NACAM</t>
  </si>
  <si>
    <t>P19536</t>
  </si>
  <si>
    <t>COX5B</t>
  </si>
  <si>
    <t>P56400</t>
  </si>
  <si>
    <t>GP1BB</t>
  </si>
  <si>
    <t>Q9WTP6</t>
  </si>
  <si>
    <t>KAD2</t>
  </si>
  <si>
    <t>P01029</t>
  </si>
  <si>
    <t>CO4B</t>
  </si>
  <si>
    <t>Q9EQH3</t>
  </si>
  <si>
    <t>VPS35</t>
  </si>
  <si>
    <t>P97789</t>
  </si>
  <si>
    <t>XRN1</t>
  </si>
  <si>
    <t>P42932</t>
  </si>
  <si>
    <t>TCPQ</t>
  </si>
  <si>
    <t>O35930</t>
  </si>
  <si>
    <t>GP1BA</t>
  </si>
  <si>
    <t>Q9CPY0</t>
  </si>
  <si>
    <t>MRM2</t>
  </si>
  <si>
    <t>O08638</t>
  </si>
  <si>
    <t>MYH11</t>
  </si>
  <si>
    <t>Q80W00</t>
  </si>
  <si>
    <t>PP1RA</t>
  </si>
  <si>
    <t>Q9ES74</t>
  </si>
  <si>
    <t>NEK7</t>
  </si>
  <si>
    <t>Q9D404</t>
  </si>
  <si>
    <t>OXSM</t>
  </si>
  <si>
    <t>Q8BR92</t>
  </si>
  <si>
    <t>PALM2</t>
  </si>
  <si>
    <t>Q9ER35</t>
  </si>
  <si>
    <t>FN3K</t>
  </si>
  <si>
    <t>Q71FD7</t>
  </si>
  <si>
    <t>FBLI1</t>
  </si>
  <si>
    <t>Q60605</t>
  </si>
  <si>
    <t>MYL6</t>
  </si>
  <si>
    <t>P49312</t>
  </si>
  <si>
    <t>ROA1</t>
  </si>
  <si>
    <t>Q99J09</t>
  </si>
  <si>
    <t>MEP50</t>
  </si>
  <si>
    <t>Q99N57</t>
  </si>
  <si>
    <t>RAF1</t>
  </si>
  <si>
    <t>Q80U62</t>
  </si>
  <si>
    <t>RUBIC</t>
  </si>
  <si>
    <t>Q8CGY8</t>
  </si>
  <si>
    <t>OGT1</t>
  </si>
  <si>
    <t>Q9CWX2</t>
  </si>
  <si>
    <t>CIA30</t>
  </si>
  <si>
    <t>Q8R092</t>
  </si>
  <si>
    <t>CA043</t>
  </si>
  <si>
    <t>Q8K0L0</t>
  </si>
  <si>
    <t>ASB2</t>
  </si>
  <si>
    <t>Q6NVE9</t>
  </si>
  <si>
    <t>PPTC7</t>
  </si>
  <si>
    <t>O70475</t>
  </si>
  <si>
    <t>UGDH</t>
  </si>
  <si>
    <t>Q8K3I9</t>
  </si>
  <si>
    <t>GLCI1</t>
  </si>
  <si>
    <t>Q80U78</t>
  </si>
  <si>
    <t>PUM1</t>
  </si>
  <si>
    <t>Q5I1X5</t>
  </si>
  <si>
    <t>IASPP</t>
  </si>
  <si>
    <t>Q71FD5</t>
  </si>
  <si>
    <t>ZNRF2</t>
  </si>
  <si>
    <t>Q8JZN5</t>
  </si>
  <si>
    <t>ACAD9</t>
  </si>
  <si>
    <t>Q04447</t>
  </si>
  <si>
    <t>KCRB</t>
  </si>
  <si>
    <t>Q9R0G7</t>
  </si>
  <si>
    <t>ZEB2</t>
  </si>
  <si>
    <t>Q7TQK5</t>
  </si>
  <si>
    <t>CCD93</t>
  </si>
  <si>
    <t>Q9CWU6</t>
  </si>
  <si>
    <t>UQCC1</t>
  </si>
  <si>
    <t>Q63943</t>
  </si>
  <si>
    <t>MEF2D</t>
  </si>
  <si>
    <t>Q3TJ91</t>
  </si>
  <si>
    <t>L2GL2</t>
  </si>
  <si>
    <t>Q69ZA1</t>
  </si>
  <si>
    <t>CDK13</t>
  </si>
  <si>
    <t>Q8BMB3</t>
  </si>
  <si>
    <t>IF4E2</t>
  </si>
  <si>
    <t>Q6PB66</t>
  </si>
  <si>
    <t>LPPRC</t>
  </si>
  <si>
    <t>Q3UM18</t>
  </si>
  <si>
    <t>LSG1</t>
  </si>
  <si>
    <t>Q69ZR2</t>
  </si>
  <si>
    <t>HECD1</t>
  </si>
  <si>
    <t>Q6PA06</t>
  </si>
  <si>
    <t>ATLA2</t>
  </si>
  <si>
    <t>P28828</t>
  </si>
  <si>
    <t>PTPRM</t>
  </si>
  <si>
    <t>Q8BKC5</t>
  </si>
  <si>
    <t>IPO5</t>
  </si>
  <si>
    <t>Q9D1N9</t>
  </si>
  <si>
    <t>RM21</t>
  </si>
  <si>
    <t>Q9JLV1</t>
  </si>
  <si>
    <t>BAG3</t>
  </si>
  <si>
    <t>P70335</t>
  </si>
  <si>
    <t>ROCK1</t>
  </si>
  <si>
    <t>Q8BH55</t>
  </si>
  <si>
    <t>THNS1</t>
  </si>
  <si>
    <t>P62631</t>
  </si>
  <si>
    <t>EF1A2</t>
  </si>
  <si>
    <t>O70152</t>
  </si>
  <si>
    <t>DPM1</t>
  </si>
  <si>
    <t>Q3UHB1</t>
  </si>
  <si>
    <t>NT5D3</t>
  </si>
  <si>
    <t>Q8BIJ6</t>
  </si>
  <si>
    <t>SYIM</t>
  </si>
  <si>
    <t>P41241</t>
  </si>
  <si>
    <t>CSK</t>
  </si>
  <si>
    <t>Q9JLN5</t>
  </si>
  <si>
    <t>ERMAP</t>
  </si>
  <si>
    <t>Q9QZB7</t>
  </si>
  <si>
    <t>ARP10</t>
  </si>
  <si>
    <t>Q9D0Q7</t>
  </si>
  <si>
    <t>RM45</t>
  </si>
  <si>
    <t>P28659</t>
  </si>
  <si>
    <t>CELF1</t>
  </si>
  <si>
    <t>P70426</t>
  </si>
  <si>
    <t>RIT1</t>
  </si>
  <si>
    <t>Q8BGQ7</t>
  </si>
  <si>
    <t>SYAC</t>
  </si>
  <si>
    <t>Q9WV60</t>
  </si>
  <si>
    <t>GSK3B</t>
  </si>
  <si>
    <t>Q9WTU6</t>
  </si>
  <si>
    <t>MK09</t>
  </si>
  <si>
    <t>Q91YT0</t>
  </si>
  <si>
    <t>NDUV1</t>
  </si>
  <si>
    <t>P27612</t>
  </si>
  <si>
    <t>PLAP</t>
  </si>
  <si>
    <t>Q9D0M0</t>
  </si>
  <si>
    <t>EXOS7</t>
  </si>
  <si>
    <t>Q8BXK8</t>
  </si>
  <si>
    <t>AGAP1</t>
  </si>
  <si>
    <t>Q8CGC7</t>
  </si>
  <si>
    <t>SYEP</t>
  </si>
  <si>
    <t>P63037</t>
  </si>
  <si>
    <t>DNJA1</t>
  </si>
  <si>
    <t>Q3U0S6</t>
  </si>
  <si>
    <t>RAIN</t>
  </si>
  <si>
    <t>P58021</t>
  </si>
  <si>
    <t>TM9S2</t>
  </si>
  <si>
    <t>Q9CZ30</t>
  </si>
  <si>
    <t>OLA1</t>
  </si>
  <si>
    <t>Q03141</t>
  </si>
  <si>
    <t>MARK3</t>
  </si>
  <si>
    <t>Q8CIP4</t>
  </si>
  <si>
    <t>MARK4</t>
  </si>
  <si>
    <t>Q99JB2</t>
  </si>
  <si>
    <t>STML2</t>
  </si>
  <si>
    <t>Q9R069</t>
  </si>
  <si>
    <t>BCAM</t>
  </si>
  <si>
    <t>Q6P9R4</t>
  </si>
  <si>
    <t>ARHGI</t>
  </si>
  <si>
    <t>Q9QXM1</t>
  </si>
  <si>
    <t>JMY</t>
  </si>
  <si>
    <t>P12382</t>
  </si>
  <si>
    <t>PFKAL</t>
  </si>
  <si>
    <t>O35166</t>
  </si>
  <si>
    <t>GOSR2</t>
  </si>
  <si>
    <t>P59764</t>
  </si>
  <si>
    <t>DOCK4</t>
  </si>
  <si>
    <t>Q8VCX6</t>
  </si>
  <si>
    <t>KPTN</t>
  </si>
  <si>
    <t>Q9JIG7</t>
  </si>
  <si>
    <t>CCD22</t>
  </si>
  <si>
    <t>P62754</t>
  </si>
  <si>
    <t>RS6</t>
  </si>
  <si>
    <t>Q791T5</t>
  </si>
  <si>
    <t>MTCH1</t>
  </si>
  <si>
    <t>Q8BU11</t>
  </si>
  <si>
    <t>TOX4</t>
  </si>
  <si>
    <t>Q8CFI7</t>
  </si>
  <si>
    <t>RPB2</t>
  </si>
  <si>
    <t>P17751</t>
  </si>
  <si>
    <t>TPIS</t>
  </si>
  <si>
    <t>P03991</t>
  </si>
  <si>
    <t>HA1W</t>
  </si>
  <si>
    <t>Q61749</t>
  </si>
  <si>
    <t>EI2BD</t>
  </si>
  <si>
    <t>Q3V4B5</t>
  </si>
  <si>
    <t>COMD6</t>
  </si>
  <si>
    <t>Q8BVG4</t>
  </si>
  <si>
    <t>DPP9</t>
  </si>
  <si>
    <t>Q922H4</t>
  </si>
  <si>
    <t>GMPPA</t>
  </si>
  <si>
    <t>Q9CZS1</t>
  </si>
  <si>
    <t>AL1B1</t>
  </si>
  <si>
    <t>Q8VDZ4</t>
  </si>
  <si>
    <t>ZDHC5</t>
  </si>
  <si>
    <t>Q7TPM9</t>
  </si>
  <si>
    <t>MTMRA</t>
  </si>
  <si>
    <t>B2RX14</t>
  </si>
  <si>
    <t>TUT4</t>
  </si>
  <si>
    <t>Q6KAU7</t>
  </si>
  <si>
    <t>PKHG2</t>
  </si>
  <si>
    <t>P63094</t>
  </si>
  <si>
    <t>GNAS2</t>
  </si>
  <si>
    <t>Q6R0H7</t>
  </si>
  <si>
    <t>GNAS1</t>
  </si>
  <si>
    <t>Q9WTQ8</t>
  </si>
  <si>
    <t>TIM23</t>
  </si>
  <si>
    <t>O08796</t>
  </si>
  <si>
    <t>EF2K</t>
  </si>
  <si>
    <t>Q99LD4</t>
  </si>
  <si>
    <t>CSN1</t>
  </si>
  <si>
    <t>Q9CVB6</t>
  </si>
  <si>
    <t>ARPC2</t>
  </si>
  <si>
    <t>P26443</t>
  </si>
  <si>
    <t>DHE3</t>
  </si>
  <si>
    <t>P58137</t>
  </si>
  <si>
    <t>ACOT8</t>
  </si>
  <si>
    <t>Q8BGV8</t>
  </si>
  <si>
    <t>MID51</t>
  </si>
  <si>
    <t>Q811D0</t>
  </si>
  <si>
    <t>DLG1</t>
  </si>
  <si>
    <t>Q61655</t>
  </si>
  <si>
    <t>DD19A</t>
  </si>
  <si>
    <t>Q920A7</t>
  </si>
  <si>
    <t>AFG31</t>
  </si>
  <si>
    <t>Q80U63</t>
  </si>
  <si>
    <t>MFN2</t>
  </si>
  <si>
    <t>Q9CY27</t>
  </si>
  <si>
    <t>TECR</t>
  </si>
  <si>
    <t>Q61286</t>
  </si>
  <si>
    <t>HTF4</t>
  </si>
  <si>
    <t>Q7TPW1</t>
  </si>
  <si>
    <t>NEXN</t>
  </si>
  <si>
    <t>Q8R151</t>
  </si>
  <si>
    <t>ZNFX1</t>
  </si>
  <si>
    <t>Q9CQP0</t>
  </si>
  <si>
    <t>RM33</t>
  </si>
  <si>
    <t>O35387</t>
  </si>
  <si>
    <t>HAX1</t>
  </si>
  <si>
    <t>Q8C0M0</t>
  </si>
  <si>
    <t>WDR59</t>
  </si>
  <si>
    <t>Q9Z2N8</t>
  </si>
  <si>
    <t>ACL6A</t>
  </si>
  <si>
    <t>Q9Z1T6</t>
  </si>
  <si>
    <t>FYV1</t>
  </si>
  <si>
    <t>Q80U35</t>
  </si>
  <si>
    <t>ARHGH</t>
  </si>
  <si>
    <t>Q3THW5</t>
  </si>
  <si>
    <t>H2AV</t>
  </si>
  <si>
    <t>P0C0S6</t>
  </si>
  <si>
    <t>H2AZ</t>
  </si>
  <si>
    <t>Q9WUX5</t>
  </si>
  <si>
    <t>IRAG1</t>
  </si>
  <si>
    <t>Q8BH01</t>
  </si>
  <si>
    <t>TMCO3</t>
  </si>
  <si>
    <t>Q9DB30</t>
  </si>
  <si>
    <t>PHKG2</t>
  </si>
  <si>
    <t>O09039</t>
  </si>
  <si>
    <t>SH2B3</t>
  </si>
  <si>
    <t>O08582</t>
  </si>
  <si>
    <t>GTPB1</t>
  </si>
  <si>
    <t>P04117</t>
  </si>
  <si>
    <t>FABP4</t>
  </si>
  <si>
    <t>A2A8U2</t>
  </si>
  <si>
    <t>TM201</t>
  </si>
  <si>
    <t>Q9Z0X4</t>
  </si>
  <si>
    <t>PDE3A</t>
  </si>
  <si>
    <t>Q9CZU3</t>
  </si>
  <si>
    <t>MTREX</t>
  </si>
  <si>
    <t>Q8K1Y2</t>
  </si>
  <si>
    <t>KPCD3</t>
  </si>
  <si>
    <t>P99029</t>
  </si>
  <si>
    <t>PRDX5</t>
  </si>
  <si>
    <t>A2BH40</t>
  </si>
  <si>
    <t>ARI1A</t>
  </si>
  <si>
    <t>P35585</t>
  </si>
  <si>
    <t>AP1M1</t>
  </si>
  <si>
    <t>O09110</t>
  </si>
  <si>
    <t>MP2K3</t>
  </si>
  <si>
    <t>Q9QZN4</t>
  </si>
  <si>
    <t>FBX6</t>
  </si>
  <si>
    <t>P97820</t>
  </si>
  <si>
    <t>M4K4</t>
  </si>
  <si>
    <t>P81122</t>
  </si>
  <si>
    <t>IRS2</t>
  </si>
  <si>
    <t>O70405</t>
  </si>
  <si>
    <t>ULK1</t>
  </si>
  <si>
    <t>O89023</t>
  </si>
  <si>
    <t>TPP1</t>
  </si>
  <si>
    <t>Q8BXK9</t>
  </si>
  <si>
    <t>CLIC5</t>
  </si>
  <si>
    <t>P09542</t>
  </si>
  <si>
    <t>MYL3</t>
  </si>
  <si>
    <t>Q01730</t>
  </si>
  <si>
    <t>RSU1</t>
  </si>
  <si>
    <t>O70373</t>
  </si>
  <si>
    <t>XIRP1</t>
  </si>
  <si>
    <t>Q3UJB9</t>
  </si>
  <si>
    <t>EDC4</t>
  </si>
  <si>
    <t>Q9D1H6</t>
  </si>
  <si>
    <t>NDUF4</t>
  </si>
  <si>
    <t>Q91W86</t>
  </si>
  <si>
    <t>VPS11</t>
  </si>
  <si>
    <t>O08599</t>
  </si>
  <si>
    <t>STXB1</t>
  </si>
  <si>
    <t>A2A9C3</t>
  </si>
  <si>
    <t>SZT2</t>
  </si>
  <si>
    <t>Q9CYZ8</t>
  </si>
  <si>
    <t>SSBP2</t>
  </si>
  <si>
    <t>Q9D032</t>
  </si>
  <si>
    <t>SSBP3</t>
  </si>
  <si>
    <t>Q811P8</t>
  </si>
  <si>
    <t>RHG32</t>
  </si>
  <si>
    <t>Q9CSB4</t>
  </si>
  <si>
    <t>PAR3L</t>
  </si>
  <si>
    <t>Q91VK1</t>
  </si>
  <si>
    <t>5MP1</t>
  </si>
  <si>
    <t>P97863</t>
  </si>
  <si>
    <t>NFIB</t>
  </si>
  <si>
    <t>Q64339</t>
  </si>
  <si>
    <t>ISG15</t>
  </si>
  <si>
    <t>O35345</t>
  </si>
  <si>
    <t>IMA7</t>
  </si>
  <si>
    <t>Q505F5</t>
  </si>
  <si>
    <t>LRC47</t>
  </si>
  <si>
    <t>P56399</t>
  </si>
  <si>
    <t>UBP5</t>
  </si>
  <si>
    <t>P42669</t>
  </si>
  <si>
    <t>PURA</t>
  </si>
  <si>
    <t>Q9QXQ1</t>
  </si>
  <si>
    <t>PDE7B</t>
  </si>
  <si>
    <t>Q64516</t>
  </si>
  <si>
    <t>GLPK</t>
  </si>
  <si>
    <t>Q58A65</t>
  </si>
  <si>
    <t>JIP4</t>
  </si>
  <si>
    <t>O88532</t>
  </si>
  <si>
    <t>ZFR</t>
  </si>
  <si>
    <t>Q8CG79</t>
  </si>
  <si>
    <t>ASPP2</t>
  </si>
  <si>
    <t>Q60974</t>
  </si>
  <si>
    <t>NCOR1</t>
  </si>
  <si>
    <t>Q9WVK4</t>
  </si>
  <si>
    <t>EHD1</t>
  </si>
  <si>
    <t>Q00262</t>
  </si>
  <si>
    <t>STX2</t>
  </si>
  <si>
    <t>P42337</t>
  </si>
  <si>
    <t>PK3CA</t>
  </si>
  <si>
    <t>Q9QXZ0</t>
  </si>
  <si>
    <t>MACF1</t>
  </si>
  <si>
    <t>Q9QXN0</t>
  </si>
  <si>
    <t>SHRM3</t>
  </si>
  <si>
    <t>Q99J45</t>
  </si>
  <si>
    <t>NRBP</t>
  </si>
  <si>
    <t>Q8VHQ9</t>
  </si>
  <si>
    <t>ACO11</t>
  </si>
  <si>
    <t>Q3UGR5</t>
  </si>
  <si>
    <t>HDHD2</t>
  </si>
  <si>
    <t>Q9JK92</t>
  </si>
  <si>
    <t>HSPB8</t>
  </si>
  <si>
    <t>Q62415</t>
  </si>
  <si>
    <t>ASPP1</t>
  </si>
  <si>
    <t>Q61990</t>
  </si>
  <si>
    <t>PCBP2</t>
  </si>
  <si>
    <t>Q99LF4</t>
  </si>
  <si>
    <t>RTCB</t>
  </si>
  <si>
    <t>O35350</t>
  </si>
  <si>
    <t>CAN1</t>
  </si>
  <si>
    <t>P16254</t>
  </si>
  <si>
    <t>SRP14</t>
  </si>
  <si>
    <t>P24529</t>
  </si>
  <si>
    <t>TY3H</t>
  </si>
  <si>
    <t>Q60575</t>
  </si>
  <si>
    <t>KIF1B</t>
  </si>
  <si>
    <t>P70398</t>
  </si>
  <si>
    <t>USP9X</t>
  </si>
  <si>
    <t>Q8BU85</t>
  </si>
  <si>
    <t>MSRB3</t>
  </si>
  <si>
    <t>Q8BHL3</t>
  </si>
  <si>
    <t>TB10B</t>
  </si>
  <si>
    <t>Q8C5H8</t>
  </si>
  <si>
    <t>NAKD2</t>
  </si>
  <si>
    <t>P49138</t>
  </si>
  <si>
    <t>MAPK2</t>
  </si>
  <si>
    <t>P27046</t>
  </si>
  <si>
    <t>MA2A1</t>
  </si>
  <si>
    <t>Q80WJ7</t>
  </si>
  <si>
    <t>LYRIC</t>
  </si>
  <si>
    <t>P40336</t>
  </si>
  <si>
    <t>VP26A</t>
  </si>
  <si>
    <t>Q6ZQA0</t>
  </si>
  <si>
    <t>NBEL2</t>
  </si>
  <si>
    <t>Q08874</t>
  </si>
  <si>
    <t>MITF</t>
  </si>
  <si>
    <t>O35231</t>
  </si>
  <si>
    <t>KIFC3</t>
  </si>
  <si>
    <t>Q6RI63</t>
  </si>
  <si>
    <t>F120B</t>
  </si>
  <si>
    <t>Q9QYI5</t>
  </si>
  <si>
    <t>DNJB2</t>
  </si>
  <si>
    <t>Q9QXS1</t>
  </si>
  <si>
    <t>PLEC</t>
  </si>
  <si>
    <t>Q8BRT1</t>
  </si>
  <si>
    <t>CLAP2</t>
  </si>
  <si>
    <t>Q61193</t>
  </si>
  <si>
    <t>RGL2</t>
  </si>
  <si>
    <t>Q9CWX4</t>
  </si>
  <si>
    <t>RUSD4</t>
  </si>
  <si>
    <t>Q9D6F9</t>
  </si>
  <si>
    <t>TBB4A</t>
  </si>
  <si>
    <t>Q921M7</t>
  </si>
  <si>
    <t>CYRIB</t>
  </si>
  <si>
    <t>Q9CXY6</t>
  </si>
  <si>
    <t>ILF2</t>
  </si>
  <si>
    <t>P35293</t>
  </si>
  <si>
    <t>RAB18</t>
  </si>
  <si>
    <t>Q9Z2C4</t>
  </si>
  <si>
    <t>MTMR1</t>
  </si>
  <si>
    <t>Q9D967</t>
  </si>
  <si>
    <t>MGDP1</t>
  </si>
  <si>
    <t>Q922V4</t>
  </si>
  <si>
    <t>PLRG1</t>
  </si>
  <si>
    <t>Q9WVA3</t>
  </si>
  <si>
    <t>BUB3</t>
  </si>
  <si>
    <t>P49443</t>
  </si>
  <si>
    <t>PPM1A</t>
  </si>
  <si>
    <t>P40124</t>
  </si>
  <si>
    <t>CAP1</t>
  </si>
  <si>
    <t>Q9Z2D1</t>
  </si>
  <si>
    <t>MTMR2</t>
  </si>
  <si>
    <t>G3X9K3</t>
  </si>
  <si>
    <t>BIG1</t>
  </si>
  <si>
    <t>Q69ZZ6</t>
  </si>
  <si>
    <t>TMCC1</t>
  </si>
  <si>
    <t>P25444</t>
  </si>
  <si>
    <t>RS2</t>
  </si>
  <si>
    <t>Q6NV83</t>
  </si>
  <si>
    <t>SR140</t>
  </si>
  <si>
    <t>Q6PD26</t>
  </si>
  <si>
    <t>PIGS</t>
  </si>
  <si>
    <t>Q5NCI0</t>
  </si>
  <si>
    <t>URGCP</t>
  </si>
  <si>
    <t>Q6NSR8</t>
  </si>
  <si>
    <t>PEPL1</t>
  </si>
  <si>
    <t>Q91V41</t>
  </si>
  <si>
    <t>RAB14</t>
  </si>
  <si>
    <t>P97494</t>
  </si>
  <si>
    <t>GSH1</t>
  </si>
  <si>
    <t>Q8BH60</t>
  </si>
  <si>
    <t>GOPC</t>
  </si>
  <si>
    <t>Q6PDI5</t>
  </si>
  <si>
    <t>ECM29</t>
  </si>
  <si>
    <t>P48758</t>
  </si>
  <si>
    <t>CBR1</t>
  </si>
  <si>
    <t>P0DN34</t>
  </si>
  <si>
    <t>NDUB1</t>
  </si>
  <si>
    <t>P56960</t>
  </si>
  <si>
    <t>EXOSX</t>
  </si>
  <si>
    <t>Q9Z1P6</t>
  </si>
  <si>
    <t>NDUA7</t>
  </si>
  <si>
    <t>Q99J83</t>
  </si>
  <si>
    <t>ATG5</t>
  </si>
  <si>
    <t>Q9JI91</t>
  </si>
  <si>
    <t>ACTN2</t>
  </si>
  <si>
    <t>Q99LI2</t>
  </si>
  <si>
    <t>CLCC1</t>
  </si>
  <si>
    <t>Q9D6K8</t>
  </si>
  <si>
    <t>FUND2</t>
  </si>
  <si>
    <t>A2CG49</t>
  </si>
  <si>
    <t>KALRN</t>
  </si>
  <si>
    <t>P56379</t>
  </si>
  <si>
    <t>ATP68</t>
  </si>
  <si>
    <t>Q8CIV8</t>
  </si>
  <si>
    <t>TBCE</t>
  </si>
  <si>
    <t>P62918</t>
  </si>
  <si>
    <t>RL8</t>
  </si>
  <si>
    <t>Q99PU8</t>
  </si>
  <si>
    <t>DHX30</t>
  </si>
  <si>
    <t>P26231</t>
  </si>
  <si>
    <t>CTNA1</t>
  </si>
  <si>
    <t>Q99P30</t>
  </si>
  <si>
    <t>NUDT7</t>
  </si>
  <si>
    <t>P62141</t>
  </si>
  <si>
    <t>PP1B</t>
  </si>
  <si>
    <t>Q9JKY0</t>
  </si>
  <si>
    <t>CNOT9</t>
  </si>
  <si>
    <t>Q8BMA6</t>
  </si>
  <si>
    <t>SRP68</t>
  </si>
  <si>
    <t>P62751</t>
  </si>
  <si>
    <t>RL23A</t>
  </si>
  <si>
    <t>Q9CX30</t>
  </si>
  <si>
    <t>YIF1B</t>
  </si>
  <si>
    <t>Q9DBU0</t>
  </si>
  <si>
    <t>TM9S1</t>
  </si>
  <si>
    <t>Q9DAM5</t>
  </si>
  <si>
    <t>TPC</t>
  </si>
  <si>
    <t>P83887</t>
  </si>
  <si>
    <t>TBG1</t>
  </si>
  <si>
    <t>Q9D6U8</t>
  </si>
  <si>
    <t>F162A</t>
  </si>
  <si>
    <t>Q9CQC9</t>
  </si>
  <si>
    <t>SAR1B</t>
  </si>
  <si>
    <t>Q80X50</t>
  </si>
  <si>
    <t>UBP2L</t>
  </si>
  <si>
    <t>Q9D773</t>
  </si>
  <si>
    <t>RM02</t>
  </si>
  <si>
    <t>Q8R0J7</t>
  </si>
  <si>
    <t>VP37B</t>
  </si>
  <si>
    <t>Q9CR39</t>
  </si>
  <si>
    <t>WIPI3</t>
  </si>
  <si>
    <t>A2AAE1</t>
  </si>
  <si>
    <t>BLTP1</t>
  </si>
  <si>
    <t>B1AVY7</t>
  </si>
  <si>
    <t>KI16B</t>
  </si>
  <si>
    <t>Q8C0V9</t>
  </si>
  <si>
    <t>FRMD6</t>
  </si>
  <si>
    <t>Q8CGZ0</t>
  </si>
  <si>
    <t>CHERP</t>
  </si>
  <si>
    <t>Q91VH6</t>
  </si>
  <si>
    <t>MEMO1</t>
  </si>
  <si>
    <t>Q61210</t>
  </si>
  <si>
    <t>ARHG1</t>
  </si>
  <si>
    <t>A6X8Z5</t>
  </si>
  <si>
    <t>RHG31</t>
  </si>
  <si>
    <t>Q91W39</t>
  </si>
  <si>
    <t>NCOA5</t>
  </si>
  <si>
    <t>O88952</t>
  </si>
  <si>
    <t>LIN7C</t>
  </si>
  <si>
    <t>Q9D024</t>
  </si>
  <si>
    <t>CCD47</t>
  </si>
  <si>
    <t>Q9WV69</t>
  </si>
  <si>
    <t>DEMA</t>
  </si>
  <si>
    <t>Q9D6W8</t>
  </si>
  <si>
    <t>BORC6</t>
  </si>
  <si>
    <t>Q91ZB0</t>
  </si>
  <si>
    <t>ALPK2</t>
  </si>
  <si>
    <t>Q8K3K7</t>
  </si>
  <si>
    <t>PLCB</t>
  </si>
  <si>
    <t>E9Q8T7</t>
  </si>
  <si>
    <t>DYH1</t>
  </si>
  <si>
    <t>Q60631</t>
  </si>
  <si>
    <t>GRB2</t>
  </si>
  <si>
    <t>P03888</t>
  </si>
  <si>
    <t>NU1M</t>
  </si>
  <si>
    <t>Q8VCC8</t>
  </si>
  <si>
    <t>RPGF3</t>
  </si>
  <si>
    <t>P61202</t>
  </si>
  <si>
    <t>CSN2</t>
  </si>
  <si>
    <t>Q8K371</t>
  </si>
  <si>
    <t>AMOL2</t>
  </si>
  <si>
    <t>O70161</t>
  </si>
  <si>
    <t>PI51C</t>
  </si>
  <si>
    <t>Q61831</t>
  </si>
  <si>
    <t>MK10</t>
  </si>
  <si>
    <t>Q91Y86</t>
  </si>
  <si>
    <t>MK08</t>
  </si>
  <si>
    <t>Q3UFY8</t>
  </si>
  <si>
    <t>TM10C</t>
  </si>
  <si>
    <t>O08648</t>
  </si>
  <si>
    <t>M3K4</t>
  </si>
  <si>
    <t>Q8K1B8</t>
  </si>
  <si>
    <t>URP2</t>
  </si>
  <si>
    <t>Q6ZWX6</t>
  </si>
  <si>
    <t>IF2A</t>
  </si>
  <si>
    <t>Q8VDU5</t>
  </si>
  <si>
    <t>SNRK</t>
  </si>
  <si>
    <t>Q19LI2</t>
  </si>
  <si>
    <t>A1BG</t>
  </si>
  <si>
    <t>Q8R5G7</t>
  </si>
  <si>
    <t>ARAP3</t>
  </si>
  <si>
    <t>Q8BHL5</t>
  </si>
  <si>
    <t>ELMO2</t>
  </si>
  <si>
    <t>Q9Z0R6</t>
  </si>
  <si>
    <t>ITSN2</t>
  </si>
  <si>
    <t>Q60931</t>
  </si>
  <si>
    <t>VDAC3</t>
  </si>
  <si>
    <t>P62317</t>
  </si>
  <si>
    <t>SMD2</t>
  </si>
  <si>
    <t>Q02111</t>
  </si>
  <si>
    <t>KPCT</t>
  </si>
  <si>
    <t>Q61838</t>
  </si>
  <si>
    <t>PZP</t>
  </si>
  <si>
    <t>Q91YU6</t>
  </si>
  <si>
    <t>LZTS2</t>
  </si>
  <si>
    <t>Q61035</t>
  </si>
  <si>
    <t>HARS1</t>
  </si>
  <si>
    <t>Q8R4N0</t>
  </si>
  <si>
    <t>CLYBL</t>
  </si>
  <si>
    <t>Q91W92</t>
  </si>
  <si>
    <t>BORG5</t>
  </si>
  <si>
    <t>O70228</t>
  </si>
  <si>
    <t>ATP9A</t>
  </si>
  <si>
    <t>Q61062</t>
  </si>
  <si>
    <t>DVL3</t>
  </si>
  <si>
    <t>Q60838</t>
  </si>
  <si>
    <t>DVL2</t>
  </si>
  <si>
    <t>Q8BSY0</t>
  </si>
  <si>
    <t>ASPH</t>
  </si>
  <si>
    <t>P35283</t>
  </si>
  <si>
    <t>RAB12</t>
  </si>
  <si>
    <t>Q91YM2</t>
  </si>
  <si>
    <t>RHG35</t>
  </si>
  <si>
    <t>Q80TE4</t>
  </si>
  <si>
    <t>SI1L2</t>
  </si>
  <si>
    <t>Q61001</t>
  </si>
  <si>
    <t>LAMA5</t>
  </si>
  <si>
    <t>Q7TQK0</t>
  </si>
  <si>
    <t>CCNT2</t>
  </si>
  <si>
    <t>Q8CI08</t>
  </si>
  <si>
    <t>SLAI2</t>
  </si>
  <si>
    <t>Q9WVP1</t>
  </si>
  <si>
    <t>AP1M2</t>
  </si>
  <si>
    <t>Q71LX4</t>
  </si>
  <si>
    <t>TLN2</t>
  </si>
  <si>
    <t>Q9ESJ1</t>
  </si>
  <si>
    <t>CABL1</t>
  </si>
  <si>
    <t>O35219</t>
  </si>
  <si>
    <t>KCNH2</t>
  </si>
  <si>
    <t>P35235</t>
  </si>
  <si>
    <t>PTN11</t>
  </si>
  <si>
    <t>Q8C4X2</t>
  </si>
  <si>
    <t>KC1G3</t>
  </si>
  <si>
    <t>Q9DBH5</t>
  </si>
  <si>
    <t>LMAN2</t>
  </si>
  <si>
    <t>Q3THE2</t>
  </si>
  <si>
    <t>ML12B</t>
  </si>
  <si>
    <t>Q9JIF7</t>
  </si>
  <si>
    <t>COPB</t>
  </si>
  <si>
    <t>Q60865</t>
  </si>
  <si>
    <t>CAPR1</t>
  </si>
  <si>
    <t>Q02384</t>
  </si>
  <si>
    <t>SOS2</t>
  </si>
  <si>
    <t>Q0P678</t>
  </si>
  <si>
    <t>ZCH18</t>
  </si>
  <si>
    <t>Q61147</t>
  </si>
  <si>
    <t>CERU</t>
  </si>
  <si>
    <t>Q8CGK3</t>
  </si>
  <si>
    <t>LONM</t>
  </si>
  <si>
    <t>P01899</t>
  </si>
  <si>
    <t>HA11</t>
  </si>
  <si>
    <t>Q5M8N4</t>
  </si>
  <si>
    <t>D39U1</t>
  </si>
  <si>
    <t>Q61143</t>
  </si>
  <si>
    <t>TRPC6</t>
  </si>
  <si>
    <t>Q3UHC7</t>
  </si>
  <si>
    <t>DAB2P</t>
  </si>
  <si>
    <t>P63328</t>
  </si>
  <si>
    <t>PP2BA</t>
  </si>
  <si>
    <t>P35980</t>
  </si>
  <si>
    <t>RL18</t>
  </si>
  <si>
    <t>Q99KK2</t>
  </si>
  <si>
    <t>NEUA</t>
  </si>
  <si>
    <t>Q80YR5</t>
  </si>
  <si>
    <t>SAFB2</t>
  </si>
  <si>
    <t>Q9JJW5</t>
  </si>
  <si>
    <t>MYOZ2</t>
  </si>
  <si>
    <t>P70261</t>
  </si>
  <si>
    <t>PALD</t>
  </si>
  <si>
    <t>Q9CS42</t>
  </si>
  <si>
    <t>PRPS2</t>
  </si>
  <si>
    <t>P61089</t>
  </si>
  <si>
    <t>UBE2N</t>
  </si>
  <si>
    <t>P55012</t>
  </si>
  <si>
    <t>S12A2</t>
  </si>
  <si>
    <t>Q80XI3</t>
  </si>
  <si>
    <t>IF4G3</t>
  </si>
  <si>
    <t>Q8BHF7</t>
  </si>
  <si>
    <t>PGPS1</t>
  </si>
  <si>
    <t>Q99JR6</t>
  </si>
  <si>
    <t>NMNA3</t>
  </si>
  <si>
    <t>P61982</t>
  </si>
  <si>
    <t>1433G</t>
  </si>
  <si>
    <t>P01872</t>
  </si>
  <si>
    <t>IGHM</t>
  </si>
  <si>
    <t>A2AQ25</t>
  </si>
  <si>
    <t>SKT</t>
  </si>
  <si>
    <t>E9Q7D5</t>
  </si>
  <si>
    <t>ARHG5</t>
  </si>
  <si>
    <t>Q5IRJ6</t>
  </si>
  <si>
    <t>ZNT9</t>
  </si>
  <si>
    <t>Q3UQS8</t>
  </si>
  <si>
    <t>RBM20</t>
  </si>
  <si>
    <t>Q9JJ06</t>
  </si>
  <si>
    <t>C1GLT</t>
  </si>
  <si>
    <t>Q9CY58</t>
  </si>
  <si>
    <t>SERB1</t>
  </si>
  <si>
    <t>P28665</t>
  </si>
  <si>
    <t>MUG1</t>
  </si>
  <si>
    <t>Q3UHD2</t>
  </si>
  <si>
    <t>GFOD1</t>
  </si>
  <si>
    <t>Q91YJ5</t>
  </si>
  <si>
    <t>IF2M</t>
  </si>
  <si>
    <t>Q8K0D5</t>
  </si>
  <si>
    <t>EFGM</t>
  </si>
  <si>
    <t>O35643</t>
  </si>
  <si>
    <t>AP1B1</t>
  </si>
  <si>
    <t>P51881</t>
  </si>
  <si>
    <t>ADT2</t>
  </si>
  <si>
    <t>P70288</t>
  </si>
  <si>
    <t>HDAC2</t>
  </si>
  <si>
    <t>Q8BKX1</t>
  </si>
  <si>
    <t>BAIP2</t>
  </si>
  <si>
    <t>Q9ES34</t>
  </si>
  <si>
    <t>UBE3B</t>
  </si>
  <si>
    <t>Q61214</t>
  </si>
  <si>
    <t>DYR1A</t>
  </si>
  <si>
    <t>P50462</t>
  </si>
  <si>
    <t>CSRP3</t>
  </si>
  <si>
    <t>O88569</t>
  </si>
  <si>
    <t>ROA2</t>
  </si>
  <si>
    <t>Q61249</t>
  </si>
  <si>
    <t>IGBP1</t>
  </si>
  <si>
    <t>Q8BXC6</t>
  </si>
  <si>
    <t>COMD2</t>
  </si>
  <si>
    <t>Q61464</t>
  </si>
  <si>
    <t>ZN638</t>
  </si>
  <si>
    <t>Q9R118</t>
  </si>
  <si>
    <t>HTRA1</t>
  </si>
  <si>
    <t>Q3TEA8</t>
  </si>
  <si>
    <t>HP1B3</t>
  </si>
  <si>
    <t>O88343</t>
  </si>
  <si>
    <t>S4A4</t>
  </si>
  <si>
    <t>P22315</t>
  </si>
  <si>
    <t>HEMH</t>
  </si>
  <si>
    <t>Q9Z2Y3</t>
  </si>
  <si>
    <t>HOME1</t>
  </si>
  <si>
    <t>Q9CRD2</t>
  </si>
  <si>
    <t>EMC2</t>
  </si>
  <si>
    <t>Q99N92</t>
  </si>
  <si>
    <t>RM27</t>
  </si>
  <si>
    <t>Q9CR21</t>
  </si>
  <si>
    <t>ACPM</t>
  </si>
  <si>
    <t>Q7TNC9</t>
  </si>
  <si>
    <t>I5P1</t>
  </si>
  <si>
    <t>P13707</t>
  </si>
  <si>
    <t>GPDA</t>
  </si>
  <si>
    <t>P23242</t>
  </si>
  <si>
    <t>CXA1</t>
  </si>
  <si>
    <t>P07901</t>
  </si>
  <si>
    <t>HS90A</t>
  </si>
  <si>
    <t>Q9D6J5</t>
  </si>
  <si>
    <t>NDUB8</t>
  </si>
  <si>
    <t>Q61301</t>
  </si>
  <si>
    <t>CTNA2</t>
  </si>
  <si>
    <t>Q99MR1</t>
  </si>
  <si>
    <t>GGYF1</t>
  </si>
  <si>
    <t>Q8VBT0</t>
  </si>
  <si>
    <t>TMX1</t>
  </si>
  <si>
    <t>Q9Z1R2</t>
  </si>
  <si>
    <t>BAG6</t>
  </si>
  <si>
    <t>O08579</t>
  </si>
  <si>
    <t>EMD</t>
  </si>
  <si>
    <t>Q60770</t>
  </si>
  <si>
    <t>STXB3</t>
  </si>
  <si>
    <t>O88466</t>
  </si>
  <si>
    <t>ZN106</t>
  </si>
  <si>
    <t>Q9Z321</t>
  </si>
  <si>
    <t>TOP3B</t>
  </si>
  <si>
    <t>Q3U1J4</t>
  </si>
  <si>
    <t>DDB1</t>
  </si>
  <si>
    <t>Q9D0L4</t>
  </si>
  <si>
    <t>ADCK1</t>
  </si>
  <si>
    <t>Q4JIM5</t>
  </si>
  <si>
    <t>ABL2</t>
  </si>
  <si>
    <t>P67871</t>
  </si>
  <si>
    <t>CSK2B</t>
  </si>
  <si>
    <t>O08600</t>
  </si>
  <si>
    <t>NUCG</t>
  </si>
  <si>
    <t>Q8BUL6</t>
  </si>
  <si>
    <t>PKHA1</t>
  </si>
  <si>
    <t>Q68FL4</t>
  </si>
  <si>
    <t>SAHH3</t>
  </si>
  <si>
    <t>Q6PAV2</t>
  </si>
  <si>
    <t>HERC4</t>
  </si>
  <si>
    <t>Q64105</t>
  </si>
  <si>
    <t>SPRE</t>
  </si>
  <si>
    <t>Q3TGW2</t>
  </si>
  <si>
    <t>EEPD1</t>
  </si>
  <si>
    <t>P27661</t>
  </si>
  <si>
    <t>H2AX</t>
  </si>
  <si>
    <t>Q8CGP5</t>
  </si>
  <si>
    <t>H2A1F</t>
  </si>
  <si>
    <t>C0HKE6</t>
  </si>
  <si>
    <t>H2A1I</t>
  </si>
  <si>
    <t>Q8CGP6</t>
  </si>
  <si>
    <t>H2A1H</t>
  </si>
  <si>
    <t>Q8BFU2</t>
  </si>
  <si>
    <t>H2A3</t>
  </si>
  <si>
    <t>Q6GSS7</t>
  </si>
  <si>
    <t>H2A2A</t>
  </si>
  <si>
    <t>Q64523</t>
  </si>
  <si>
    <t>H2A2C</t>
  </si>
  <si>
    <t>C0HKE9</t>
  </si>
  <si>
    <t>H2A1P</t>
  </si>
  <si>
    <t>Q8CGP7</t>
  </si>
  <si>
    <t>H2A1K</t>
  </si>
  <si>
    <t>Q8R1M2</t>
  </si>
  <si>
    <t>H2AJ</t>
  </si>
  <si>
    <t>C0HKE4</t>
  </si>
  <si>
    <t>H2A1E</t>
  </si>
  <si>
    <t>C0HKE7</t>
  </si>
  <si>
    <t>H2A1N</t>
  </si>
  <si>
    <t>C0HKE1</t>
  </si>
  <si>
    <t>H2A1B</t>
  </si>
  <si>
    <t>C0HKE2</t>
  </si>
  <si>
    <t>H2A1C</t>
  </si>
  <si>
    <t>C0HKE5</t>
  </si>
  <si>
    <t>H2A1G</t>
  </si>
  <si>
    <t>C0HKE3</t>
  </si>
  <si>
    <t>H2A1D</t>
  </si>
  <si>
    <t>C0HKE8</t>
  </si>
  <si>
    <t>H2A1O</t>
  </si>
  <si>
    <t>O70378</t>
  </si>
  <si>
    <t>EMC8</t>
  </si>
  <si>
    <t>P04627</t>
  </si>
  <si>
    <t>ARAF</t>
  </si>
  <si>
    <t>Q9D6Y7</t>
  </si>
  <si>
    <t>MSRA</t>
  </si>
  <si>
    <t>P47791</t>
  </si>
  <si>
    <t>GSHR</t>
  </si>
  <si>
    <t>Q91VS8</t>
  </si>
  <si>
    <t>FARP2</t>
  </si>
  <si>
    <t>Q9D358</t>
  </si>
  <si>
    <t>PPAC</t>
  </si>
  <si>
    <t>P48025</t>
  </si>
  <si>
    <t>KSYK</t>
  </si>
  <si>
    <t>Q9Z176</t>
  </si>
  <si>
    <t>P2R3D</t>
  </si>
  <si>
    <t>Q9ESC8</t>
  </si>
  <si>
    <t>AFF4</t>
  </si>
  <si>
    <t>A2RSY6</t>
  </si>
  <si>
    <t>TRM1L</t>
  </si>
  <si>
    <t>Q8BUE4</t>
  </si>
  <si>
    <t>FSP1</t>
  </si>
  <si>
    <t>Q3TVI8</t>
  </si>
  <si>
    <t>PBIP1</t>
  </si>
  <si>
    <t>Q9ESJ4</t>
  </si>
  <si>
    <t>SPN90</t>
  </si>
  <si>
    <t>P39054</t>
  </si>
  <si>
    <t>DYN2</t>
  </si>
  <si>
    <t>Q9QUH0</t>
  </si>
  <si>
    <t>GLRX1</t>
  </si>
  <si>
    <t>Q06138</t>
  </si>
  <si>
    <t>CAB39</t>
  </si>
  <si>
    <t>Q8BGB8</t>
  </si>
  <si>
    <t>COQ4</t>
  </si>
  <si>
    <t>Q8K4G5</t>
  </si>
  <si>
    <t>ABLM1</t>
  </si>
  <si>
    <t>Q80UZ0</t>
  </si>
  <si>
    <t>FGD5</t>
  </si>
  <si>
    <t>Q5SW75</t>
  </si>
  <si>
    <t>SSH2</t>
  </si>
  <si>
    <t>P23298</t>
  </si>
  <si>
    <t>KPCL</t>
  </si>
  <si>
    <t>Q3UYI5</t>
  </si>
  <si>
    <t>RGL3</t>
  </si>
  <si>
    <t>Q02257</t>
  </si>
  <si>
    <t>PLAK</t>
  </si>
  <si>
    <t>Q6ZQ82</t>
  </si>
  <si>
    <t>RHG26</t>
  </si>
  <si>
    <t>Q9D0R8</t>
  </si>
  <si>
    <t>LSM12</t>
  </si>
  <si>
    <t>Q9DCB8</t>
  </si>
  <si>
    <t>ISCA2</t>
  </si>
  <si>
    <t>Q9JJK2</t>
  </si>
  <si>
    <t>LANC2</t>
  </si>
  <si>
    <t>Q921I1</t>
  </si>
  <si>
    <t>TRFE</t>
  </si>
  <si>
    <t>P68037</t>
  </si>
  <si>
    <t>UB2L3</t>
  </si>
  <si>
    <t>P61022</t>
  </si>
  <si>
    <t>CHP1</t>
  </si>
  <si>
    <t>Q8K310</t>
  </si>
  <si>
    <t>MATR3</t>
  </si>
  <si>
    <t>Q91ZM2</t>
  </si>
  <si>
    <t>SH2B1</t>
  </si>
  <si>
    <t>Q8VI56</t>
  </si>
  <si>
    <t>LRP4</t>
  </si>
  <si>
    <t>P54729</t>
  </si>
  <si>
    <t>NUB1</t>
  </si>
  <si>
    <t>Q8CIB5</t>
  </si>
  <si>
    <t>FERM2</t>
  </si>
  <si>
    <t>Q8BK08</t>
  </si>
  <si>
    <t>TMM11</t>
  </si>
  <si>
    <t>P82350</t>
  </si>
  <si>
    <t>SGCA</t>
  </si>
  <si>
    <t>Q9D0Z3</t>
  </si>
  <si>
    <t>TMM53</t>
  </si>
  <si>
    <t>Q922F4</t>
  </si>
  <si>
    <t>TBB6</t>
  </si>
  <si>
    <t>Q8BSD5</t>
  </si>
  <si>
    <t>SHE</t>
  </si>
  <si>
    <t>P82349</t>
  </si>
  <si>
    <t>SGCB</t>
  </si>
  <si>
    <t>P51174</t>
  </si>
  <si>
    <t>ACADL</t>
  </si>
  <si>
    <t>E9Q6P5</t>
  </si>
  <si>
    <t>TTC7B</t>
  </si>
  <si>
    <t>Q9ERS2</t>
  </si>
  <si>
    <t>NDUAD</t>
  </si>
  <si>
    <t>A2ALU4</t>
  </si>
  <si>
    <t>SHRM2</t>
  </si>
  <si>
    <t>Q9ESL4</t>
  </si>
  <si>
    <t>M3K20</t>
  </si>
  <si>
    <t>Q8CCN5</t>
  </si>
  <si>
    <t>BCAS3</t>
  </si>
  <si>
    <t>Q9D125</t>
  </si>
  <si>
    <t>RT25</t>
  </si>
  <si>
    <t>Q3TDQ1</t>
  </si>
  <si>
    <t>STT3B</t>
  </si>
  <si>
    <t>Q9CQ89</t>
  </si>
  <si>
    <t>CUTA</t>
  </si>
  <si>
    <t>O88342</t>
  </si>
  <si>
    <t>WDR1</t>
  </si>
  <si>
    <t>P39447</t>
  </si>
  <si>
    <t>ZO1</t>
  </si>
  <si>
    <t>Q6PEB6</t>
  </si>
  <si>
    <t>PHOCN</t>
  </si>
  <si>
    <t>Q9WVG6</t>
  </si>
  <si>
    <t>CARM1</t>
  </si>
  <si>
    <t>Q9EPU0</t>
  </si>
  <si>
    <t>RENT1</t>
  </si>
  <si>
    <t>P83940</t>
  </si>
  <si>
    <t>ELOC</t>
  </si>
  <si>
    <t>Q8BWW4</t>
  </si>
  <si>
    <t>LARP4</t>
  </si>
  <si>
    <t>Q9QUR7</t>
  </si>
  <si>
    <t>PIN1</t>
  </si>
  <si>
    <t>Q9JIY5</t>
  </si>
  <si>
    <t>HTRA2</t>
  </si>
  <si>
    <t>P45481</t>
  </si>
  <si>
    <t>CBP</t>
  </si>
  <si>
    <t>O35730</t>
  </si>
  <si>
    <t>RING1</t>
  </si>
  <si>
    <t>Q9EPC1</t>
  </si>
  <si>
    <t>PARVA</t>
  </si>
  <si>
    <t>Q9D2G5</t>
  </si>
  <si>
    <t>SYNJ2</t>
  </si>
  <si>
    <t>Q9JKP5</t>
  </si>
  <si>
    <t>MBNL1</t>
  </si>
  <si>
    <t>Q60875</t>
  </si>
  <si>
    <t>ARHG2</t>
  </si>
  <si>
    <t>Q8K4R4</t>
  </si>
  <si>
    <t>PITC1</t>
  </si>
  <si>
    <t>P58006</t>
  </si>
  <si>
    <t>SESN1</t>
  </si>
  <si>
    <t>P03921</t>
  </si>
  <si>
    <t>NU5M</t>
  </si>
  <si>
    <t>Q8C3F2</t>
  </si>
  <si>
    <t>F120C</t>
  </si>
  <si>
    <t>Q9CXZ1</t>
  </si>
  <si>
    <t>NDUS4</t>
  </si>
  <si>
    <t>Q6PAJ1</t>
  </si>
  <si>
    <t>BCR</t>
  </si>
  <si>
    <t>Q99K90</t>
  </si>
  <si>
    <t>TAB2</t>
  </si>
  <si>
    <t>Q3TPX4</t>
  </si>
  <si>
    <t>EXOC5</t>
  </si>
  <si>
    <t>A2AWP8</t>
  </si>
  <si>
    <t>ARGAL</t>
  </si>
  <si>
    <t>P58771</t>
  </si>
  <si>
    <t>TPM1</t>
  </si>
  <si>
    <t>Q99JR5</t>
  </si>
  <si>
    <t>TINAL</t>
  </si>
  <si>
    <t>Q8BG95</t>
  </si>
  <si>
    <t>MYPT2</t>
  </si>
  <si>
    <t>Q9JME5</t>
  </si>
  <si>
    <t>AP3B2</t>
  </si>
  <si>
    <t>Q91W18</t>
  </si>
  <si>
    <t>TDRD3</t>
  </si>
  <si>
    <t>Q9CR61</t>
  </si>
  <si>
    <t>NDUB7</t>
  </si>
  <si>
    <t>Q9EPU4</t>
  </si>
  <si>
    <t>CPSF1</t>
  </si>
  <si>
    <t>Q9QYC7</t>
  </si>
  <si>
    <t>VKGC</t>
  </si>
  <si>
    <t>Q8K215</t>
  </si>
  <si>
    <t>LYRM4</t>
  </si>
  <si>
    <t>Q7TSE6</t>
  </si>
  <si>
    <t>ST38L</t>
  </si>
  <si>
    <t>Q8C3X8</t>
  </si>
  <si>
    <t>LMF2</t>
  </si>
  <si>
    <t>Q9D8B4</t>
  </si>
  <si>
    <t>NDUAB</t>
  </si>
  <si>
    <t>Q148W8</t>
  </si>
  <si>
    <t>STYL2</t>
  </si>
  <si>
    <t>P16381</t>
  </si>
  <si>
    <t>DDX3L</t>
  </si>
  <si>
    <t>P16858</t>
  </si>
  <si>
    <t>G3P</t>
  </si>
  <si>
    <t>Q68EF0</t>
  </si>
  <si>
    <t>RAB3I</t>
  </si>
  <si>
    <t>O88829</t>
  </si>
  <si>
    <t>SIAT9</t>
  </si>
  <si>
    <t>Q9DCS9</t>
  </si>
  <si>
    <t>NDUBA</t>
  </si>
  <si>
    <t>Q3UIJ9</t>
  </si>
  <si>
    <t>MYZAP</t>
  </si>
  <si>
    <t>E9Q557</t>
  </si>
  <si>
    <t>DESP</t>
  </si>
  <si>
    <t>Q5SWD9</t>
  </si>
  <si>
    <t>TSR1</t>
  </si>
  <si>
    <t>Q99LB0</t>
  </si>
  <si>
    <t>TDIF1</t>
  </si>
  <si>
    <t>Q64012</t>
  </si>
  <si>
    <t>RALY</t>
  </si>
  <si>
    <t>Q9EQW7</t>
  </si>
  <si>
    <t>KI13A</t>
  </si>
  <si>
    <t>P19157</t>
  </si>
  <si>
    <t>GSTP1</t>
  </si>
  <si>
    <t>Q8C0J2</t>
  </si>
  <si>
    <t>A16L1</t>
  </si>
  <si>
    <t>Q9Z0P5</t>
  </si>
  <si>
    <t>TWF2</t>
  </si>
  <si>
    <t>Q80VQ1</t>
  </si>
  <si>
    <t>LRRC1</t>
  </si>
  <si>
    <t>Q8CI32</t>
  </si>
  <si>
    <t>BAG5</t>
  </si>
  <si>
    <t>Q9CRC6</t>
  </si>
  <si>
    <t>BORC7</t>
  </si>
  <si>
    <t>A2ARP1</t>
  </si>
  <si>
    <t>VIP1</t>
  </si>
  <si>
    <t>Q9JM96</t>
  </si>
  <si>
    <t>BORG4</t>
  </si>
  <si>
    <t>P59016</t>
  </si>
  <si>
    <t>VP33B</t>
  </si>
  <si>
    <t>Q6PB93</t>
  </si>
  <si>
    <t>GALT2</t>
  </si>
  <si>
    <t>Q9CQJ8</t>
  </si>
  <si>
    <t>NDUB9</t>
  </si>
  <si>
    <t>Q60737</t>
  </si>
  <si>
    <t>CSK21</t>
  </si>
  <si>
    <t>P12367</t>
  </si>
  <si>
    <t>KAP2</t>
  </si>
  <si>
    <t>P03911</t>
  </si>
  <si>
    <t>NU4M</t>
  </si>
  <si>
    <t>P70206</t>
  </si>
  <si>
    <t>PLXA1</t>
  </si>
  <si>
    <t>Q920R0</t>
  </si>
  <si>
    <t>ALS2</t>
  </si>
  <si>
    <t>Q9QXK3</t>
  </si>
  <si>
    <t>COPG2</t>
  </si>
  <si>
    <t>P19123</t>
  </si>
  <si>
    <t>TNNC1</t>
  </si>
  <si>
    <t>Q3UIU2</t>
  </si>
  <si>
    <t>NDUB6</t>
  </si>
  <si>
    <t>Q9DBB5</t>
  </si>
  <si>
    <t>IF4E3</t>
  </si>
  <si>
    <t>Q8K268</t>
  </si>
  <si>
    <t>ABCF3</t>
  </si>
  <si>
    <t>Q9CQE8</t>
  </si>
  <si>
    <t>RTRAF</t>
  </si>
  <si>
    <t>Q8C0E2</t>
  </si>
  <si>
    <t>VP26B</t>
  </si>
  <si>
    <t>Q8BKX6</t>
  </si>
  <si>
    <t>SMG1</t>
  </si>
  <si>
    <t>Q8K1M6</t>
  </si>
  <si>
    <t>DNM1L</t>
  </si>
  <si>
    <t>Q61187</t>
  </si>
  <si>
    <t>TS101</t>
  </si>
  <si>
    <t>Q09XV5</t>
  </si>
  <si>
    <t>CHD8</t>
  </si>
  <si>
    <t>E9Q3L2</t>
  </si>
  <si>
    <t>PI4KA</t>
  </si>
  <si>
    <t>Q9DBB9</t>
  </si>
  <si>
    <t>CPN2</t>
  </si>
  <si>
    <t>Q9CQM9</t>
  </si>
  <si>
    <t>GLRX3</t>
  </si>
  <si>
    <t>Q7TNP2</t>
  </si>
  <si>
    <t>2AAB</t>
  </si>
  <si>
    <t>Q8BPN8</t>
  </si>
  <si>
    <t>DMXL2</t>
  </si>
  <si>
    <t>P43024</t>
  </si>
  <si>
    <t>CX6A1</t>
  </si>
  <si>
    <t>Q3TLP5</t>
  </si>
  <si>
    <t>ECHD2</t>
  </si>
  <si>
    <t>Q80YV4</t>
  </si>
  <si>
    <t>PANK4</t>
  </si>
  <si>
    <t>O88967</t>
  </si>
  <si>
    <t>YMEL1</t>
  </si>
  <si>
    <t>O88845</t>
  </si>
  <si>
    <t>AKA10</t>
  </si>
  <si>
    <t>Q8BXZ1</t>
  </si>
  <si>
    <t>TMX3</t>
  </si>
  <si>
    <t>O35955</t>
  </si>
  <si>
    <t>PSB10</t>
  </si>
  <si>
    <t>Q9D1L9</t>
  </si>
  <si>
    <t>LTOR5</t>
  </si>
  <si>
    <t>Q68ED7</t>
  </si>
  <si>
    <t>CRTC1</t>
  </si>
  <si>
    <t>Q66GT5</t>
  </si>
  <si>
    <t>PTPM1</t>
  </si>
  <si>
    <t>O08709</t>
  </si>
  <si>
    <t>PRDX6</t>
  </si>
  <si>
    <t>Q9JHU4</t>
  </si>
  <si>
    <t>DYHC1</t>
  </si>
  <si>
    <t>Q91XD2</t>
  </si>
  <si>
    <t>LIMS2</t>
  </si>
  <si>
    <t>P80318</t>
  </si>
  <si>
    <t>TCPG</t>
  </si>
  <si>
    <t>Q924W7</t>
  </si>
  <si>
    <t>DEN2B</t>
  </si>
  <si>
    <t>P51125</t>
  </si>
  <si>
    <t>ICAL</t>
  </si>
  <si>
    <t>O08677</t>
  </si>
  <si>
    <t>KNG1</t>
  </si>
  <si>
    <t>P16627</t>
  </si>
  <si>
    <t>HS71L</t>
  </si>
  <si>
    <t>Q6ZWN5</t>
  </si>
  <si>
    <t>RS9</t>
  </si>
  <si>
    <t>P83870</t>
  </si>
  <si>
    <t>PHF5A</t>
  </si>
  <si>
    <t>Q91YD3</t>
  </si>
  <si>
    <t>DCP1A</t>
  </si>
  <si>
    <t>Q91XS1</t>
  </si>
  <si>
    <t>MTMR4</t>
  </si>
  <si>
    <t>Q9D1M4</t>
  </si>
  <si>
    <t>MCA3</t>
  </si>
  <si>
    <t>Q9D0M5</t>
  </si>
  <si>
    <t>DYL2</t>
  </si>
  <si>
    <t>P61222</t>
  </si>
  <si>
    <t>ABCE1</t>
  </si>
  <si>
    <t>P48193</t>
  </si>
  <si>
    <t>EPB41</t>
  </si>
  <si>
    <t>Q8VHH5</t>
  </si>
  <si>
    <t>AGAP3</t>
  </si>
  <si>
    <t>Q9Z2A5</t>
  </si>
  <si>
    <t>ATE1</t>
  </si>
  <si>
    <t>Q68FH4</t>
  </si>
  <si>
    <t>GALK2</t>
  </si>
  <si>
    <t>Q9JIK5</t>
  </si>
  <si>
    <t>DDX21</t>
  </si>
  <si>
    <t>Q9JHK5</t>
  </si>
  <si>
    <t>PLEK</t>
  </si>
  <si>
    <t>Q9ESN9</t>
  </si>
  <si>
    <t>JIP3</t>
  </si>
  <si>
    <t>Q9QXG4</t>
  </si>
  <si>
    <t>ACSA</t>
  </si>
  <si>
    <t>Q811U4</t>
  </si>
  <si>
    <t>MFN1</t>
  </si>
  <si>
    <t>Q4LDD4</t>
  </si>
  <si>
    <t>ARAP1</t>
  </si>
  <si>
    <t>P01897</t>
  </si>
  <si>
    <t>HA1L</t>
  </si>
  <si>
    <t>P63242</t>
  </si>
  <si>
    <t>IF5A1</t>
  </si>
  <si>
    <t>P81270</t>
  </si>
  <si>
    <t>ERG</t>
  </si>
  <si>
    <t>Q7TNC4</t>
  </si>
  <si>
    <t>LC7L2</t>
  </si>
  <si>
    <t>Q9R0Q7</t>
  </si>
  <si>
    <t>TEBP</t>
  </si>
  <si>
    <t>Q921H8</t>
  </si>
  <si>
    <t>THIKA</t>
  </si>
  <si>
    <t>Q8R3N6</t>
  </si>
  <si>
    <t>THOC1</t>
  </si>
  <si>
    <t>Q3TWW8</t>
  </si>
  <si>
    <t>SRSF6</t>
  </si>
  <si>
    <t>Q99PL5</t>
  </si>
  <si>
    <t>RRBP1</t>
  </si>
  <si>
    <t>P15116</t>
  </si>
  <si>
    <t>CADH2</t>
  </si>
  <si>
    <t>P19253</t>
  </si>
  <si>
    <t>RL13A</t>
  </si>
  <si>
    <t>Q6PDM2</t>
  </si>
  <si>
    <t>SRSF1</t>
  </si>
  <si>
    <t>P62880</t>
  </si>
  <si>
    <t>GBB2</t>
  </si>
  <si>
    <t>Q8R2U0</t>
  </si>
  <si>
    <t>SEH1</t>
  </si>
  <si>
    <t>Q61037</t>
  </si>
  <si>
    <t>TSC2</t>
  </si>
  <si>
    <t>Q3ULW8</t>
  </si>
  <si>
    <t>PARP3</t>
  </si>
  <si>
    <t>Q9CQZ5</t>
  </si>
  <si>
    <t>NDUA6</t>
  </si>
  <si>
    <t>Q3THS6</t>
  </si>
  <si>
    <t>METK2</t>
  </si>
  <si>
    <t>Q3U319</t>
  </si>
  <si>
    <t>BRE1B</t>
  </si>
  <si>
    <t>P80316</t>
  </si>
  <si>
    <t>TCPE</t>
  </si>
  <si>
    <t>Q91YQ5</t>
  </si>
  <si>
    <t>RPN1</t>
  </si>
  <si>
    <t>Q0VGY8</t>
  </si>
  <si>
    <t>TANC1</t>
  </si>
  <si>
    <t>Q571I4</t>
  </si>
  <si>
    <t>PRAG1</t>
  </si>
  <si>
    <t>Q8CFI0</t>
  </si>
  <si>
    <t>NED4L</t>
  </si>
  <si>
    <t>Q9DB52</t>
  </si>
  <si>
    <t>PBIR1</t>
  </si>
  <si>
    <t>Q62077</t>
  </si>
  <si>
    <t>PLCG1</t>
  </si>
  <si>
    <t>Q5SYD0</t>
  </si>
  <si>
    <t>MYO1D</t>
  </si>
  <si>
    <t>O89112</t>
  </si>
  <si>
    <t>LANC1</t>
  </si>
  <si>
    <t>Q923Q2</t>
  </si>
  <si>
    <t>STA13</t>
  </si>
  <si>
    <t>Q3UHC2</t>
  </si>
  <si>
    <t>LRRK1</t>
  </si>
  <si>
    <t>Q9JMC3</t>
  </si>
  <si>
    <t>DNJA4</t>
  </si>
  <si>
    <t>Q9Z0R4</t>
  </si>
  <si>
    <t>ITSN1</t>
  </si>
  <si>
    <t>Q3U9G9</t>
  </si>
  <si>
    <t>LBR</t>
  </si>
  <si>
    <t>Q8JZY4</t>
  </si>
  <si>
    <t>MRPP3</t>
  </si>
  <si>
    <t>Q571K4</t>
  </si>
  <si>
    <t>TAB3</t>
  </si>
  <si>
    <t>Q8BIJ7</t>
  </si>
  <si>
    <t>RUFY1</t>
  </si>
  <si>
    <t>O35711</t>
  </si>
  <si>
    <t>LIPB2</t>
  </si>
  <si>
    <t>Q8VC52</t>
  </si>
  <si>
    <t>RBPS2</t>
  </si>
  <si>
    <t>Q91ZV8</t>
  </si>
  <si>
    <t>AGRA2</t>
  </si>
  <si>
    <t>Q9CQC7</t>
  </si>
  <si>
    <t>NDUB4</t>
  </si>
  <si>
    <t>P68181</t>
  </si>
  <si>
    <t>KAPCB</t>
  </si>
  <si>
    <t>Q76MZ3</t>
  </si>
  <si>
    <t>2AAA</t>
  </si>
  <si>
    <t>Q8BPM0</t>
  </si>
  <si>
    <t>DAAM1</t>
  </si>
  <si>
    <t>Q60817</t>
  </si>
  <si>
    <t>NACA</t>
  </si>
  <si>
    <t>P46737</t>
  </si>
  <si>
    <t>BRCC3</t>
  </si>
  <si>
    <t>Q9JJZ2</t>
  </si>
  <si>
    <t>TBA8</t>
  </si>
  <si>
    <t>P23492</t>
  </si>
  <si>
    <t>PNPH</t>
  </si>
  <si>
    <t>Q8BH59</t>
  </si>
  <si>
    <t>S2512</t>
  </si>
  <si>
    <t>Q00623</t>
  </si>
  <si>
    <t>APOA1</t>
  </si>
  <si>
    <t>P28740</t>
  </si>
  <si>
    <t>KIF2A</t>
  </si>
  <si>
    <t>B2RXS4</t>
  </si>
  <si>
    <t>PLXB2</t>
  </si>
  <si>
    <t>Q9CQ19</t>
  </si>
  <si>
    <t>MYL9</t>
  </si>
  <si>
    <t>Q8K1E6</t>
  </si>
  <si>
    <t>ALKB3</t>
  </si>
  <si>
    <t>Q9ES00</t>
  </si>
  <si>
    <t>UBE4B</t>
  </si>
  <si>
    <t>Q8K0V4</t>
  </si>
  <si>
    <t>CNOT3</t>
  </si>
  <si>
    <t>Q8R1B4</t>
  </si>
  <si>
    <t>EIF3C</t>
  </si>
  <si>
    <t>Q99JI4</t>
  </si>
  <si>
    <t>PSMD6</t>
  </si>
  <si>
    <t>P55284</t>
  </si>
  <si>
    <t>CADH5</t>
  </si>
  <si>
    <t>Q9Z1X4</t>
  </si>
  <si>
    <t>ILF3</t>
  </si>
  <si>
    <t>Q3U6U5</t>
  </si>
  <si>
    <t>GTPB6</t>
  </si>
  <si>
    <t>P62806</t>
  </si>
  <si>
    <t>H4</t>
  </si>
  <si>
    <t>Q3TC46</t>
  </si>
  <si>
    <t>PATL1</t>
  </si>
  <si>
    <t>Q99MI1</t>
  </si>
  <si>
    <t>RB6I2</t>
  </si>
  <si>
    <t>P35564</t>
  </si>
  <si>
    <t>CALX</t>
  </si>
  <si>
    <t>Q60766</t>
  </si>
  <si>
    <t>IRGM1</t>
  </si>
  <si>
    <t>Q99LH9</t>
  </si>
  <si>
    <t>3BP5L</t>
  </si>
  <si>
    <t>Q9CQ40</t>
  </si>
  <si>
    <t>RM49</t>
  </si>
  <si>
    <t>Q9ES46</t>
  </si>
  <si>
    <t>PARVB</t>
  </si>
  <si>
    <t>Q8K330</t>
  </si>
  <si>
    <t>SSH3</t>
  </si>
  <si>
    <t>Q8JZS0</t>
  </si>
  <si>
    <t>LIN7A</t>
  </si>
  <si>
    <t>O88942</t>
  </si>
  <si>
    <t>NFAC1</t>
  </si>
  <si>
    <t>Q91X84</t>
  </si>
  <si>
    <t>CRTC3</t>
  </si>
  <si>
    <t>E9Q8I9</t>
  </si>
  <si>
    <t>FRY</t>
  </si>
  <si>
    <t>Q8VEK3</t>
  </si>
  <si>
    <t>HNRPU</t>
  </si>
  <si>
    <t>Q9R0Q6</t>
  </si>
  <si>
    <t>ARC1A</t>
  </si>
  <si>
    <t>Q9D1F4</t>
  </si>
  <si>
    <t>AKTS1</t>
  </si>
  <si>
    <t>Q9CQA6</t>
  </si>
  <si>
    <t>CHCH1</t>
  </si>
  <si>
    <t>O88738</t>
  </si>
  <si>
    <t>BIRC6</t>
  </si>
  <si>
    <t>P15508</t>
  </si>
  <si>
    <t>SPTB1</t>
  </si>
  <si>
    <t>Q8BJ56</t>
  </si>
  <si>
    <t>PLPL2</t>
  </si>
  <si>
    <t>E9Q1P8</t>
  </si>
  <si>
    <t>I2BP2</t>
  </si>
  <si>
    <t>Q8BP67</t>
  </si>
  <si>
    <t>RL24</t>
  </si>
  <si>
    <t>A2AQ07</t>
  </si>
  <si>
    <t>TBB1</t>
  </si>
  <si>
    <t>Q3U186</t>
  </si>
  <si>
    <t>SYRM</t>
  </si>
  <si>
    <t>Q80UM3</t>
  </si>
  <si>
    <t>NAA15</t>
  </si>
  <si>
    <t>Q9DBB4</t>
  </si>
  <si>
    <t>NAA16</t>
  </si>
  <si>
    <t>Q8N7N5</t>
  </si>
  <si>
    <t>DCAF8</t>
  </si>
  <si>
    <t>Q8CGA0</t>
  </si>
  <si>
    <t>PPM1F</t>
  </si>
  <si>
    <t>Q8BKH7</t>
  </si>
  <si>
    <t>SIN1</t>
  </si>
  <si>
    <t>Q5SYL3</t>
  </si>
  <si>
    <t>BLTP2</t>
  </si>
  <si>
    <t>Q5SXY1</t>
  </si>
  <si>
    <t>CYTSB</t>
  </si>
  <si>
    <t>Q9D8X1</t>
  </si>
  <si>
    <t>CUTC</t>
  </si>
  <si>
    <t>Q9R1C7</t>
  </si>
  <si>
    <t>PR40A</t>
  </si>
  <si>
    <t>P46425</t>
  </si>
  <si>
    <t>GSTP2</t>
  </si>
  <si>
    <t>P05064</t>
  </si>
  <si>
    <t>ALDOA</t>
  </si>
  <si>
    <t>Q5F2E7</t>
  </si>
  <si>
    <t>NUFP2</t>
  </si>
  <si>
    <t>Q78JE5</t>
  </si>
  <si>
    <t>FBX22</t>
  </si>
  <si>
    <t>Q9CR56</t>
  </si>
  <si>
    <t>KBRS2</t>
  </si>
  <si>
    <t>Q8CFH6</t>
  </si>
  <si>
    <t>SIK2</t>
  </si>
  <si>
    <t>Q9QZS8</t>
  </si>
  <si>
    <t>SH2D3</t>
  </si>
  <si>
    <t>Q91Z49</t>
  </si>
  <si>
    <t>UIF</t>
  </si>
  <si>
    <t>Q62073</t>
  </si>
  <si>
    <t>M3K7</t>
  </si>
  <si>
    <t>Q91YX5</t>
  </si>
  <si>
    <t>LGAT1</t>
  </si>
  <si>
    <t>Q9R0Q1</t>
  </si>
  <si>
    <t>SYTL4</t>
  </si>
  <si>
    <t>Q8CHG7</t>
  </si>
  <si>
    <t>RPGF2</t>
  </si>
  <si>
    <t>Q8K382</t>
  </si>
  <si>
    <t>DEN1A</t>
  </si>
  <si>
    <t>P84228</t>
  </si>
  <si>
    <t>H32</t>
  </si>
  <si>
    <t>P02301</t>
  </si>
  <si>
    <t>H3C</t>
  </si>
  <si>
    <t>P84244</t>
  </si>
  <si>
    <t>H33</t>
  </si>
  <si>
    <t>P68433</t>
  </si>
  <si>
    <t>H31</t>
  </si>
  <si>
    <t>Q9CZW5</t>
  </si>
  <si>
    <t>TOM70</t>
  </si>
  <si>
    <t>A2AHC3</t>
  </si>
  <si>
    <t>CAMP1</t>
  </si>
  <si>
    <t>Q5EBG6</t>
  </si>
  <si>
    <t>HSPB6</t>
  </si>
  <si>
    <t>Q8R123</t>
  </si>
  <si>
    <t>FAD1</t>
  </si>
  <si>
    <t>Q9ESW4</t>
  </si>
  <si>
    <t>AGK</t>
  </si>
  <si>
    <t>A2ADY9</t>
  </si>
  <si>
    <t>DDI2</t>
  </si>
  <si>
    <t>Q8R409</t>
  </si>
  <si>
    <t>HEXI1</t>
  </si>
  <si>
    <t>Q6PDM1</t>
  </si>
  <si>
    <t>MSL1</t>
  </si>
  <si>
    <t>Q8BUK6</t>
  </si>
  <si>
    <t>HOOK3</t>
  </si>
  <si>
    <t>Q61508</t>
  </si>
  <si>
    <t>ECM1</t>
  </si>
  <si>
    <t>P80315</t>
  </si>
  <si>
    <t>TCPD</t>
  </si>
  <si>
    <t>Q9ESB3</t>
  </si>
  <si>
    <t>HRG</t>
  </si>
  <si>
    <t>Q6PH08</t>
  </si>
  <si>
    <t>ERC2</t>
  </si>
  <si>
    <t>P23927</t>
  </si>
  <si>
    <t>CRYAB</t>
  </si>
  <si>
    <t>Q9D832</t>
  </si>
  <si>
    <t>DNJB4</t>
  </si>
  <si>
    <t>Q80X95</t>
  </si>
  <si>
    <t>RRAGA</t>
  </si>
  <si>
    <t>Q6NTA4</t>
  </si>
  <si>
    <t>RRAGB</t>
  </si>
  <si>
    <t>Q91XU3</t>
  </si>
  <si>
    <t>PI42C</t>
  </si>
  <si>
    <t>Q9DCC8</t>
  </si>
  <si>
    <t>TOM20</t>
  </si>
  <si>
    <t>Q9EP53</t>
  </si>
  <si>
    <t>TSC1</t>
  </si>
  <si>
    <t>P84104</t>
  </si>
  <si>
    <t>SRSF3</t>
  </si>
  <si>
    <t>Q8BTX9</t>
  </si>
  <si>
    <t>HSDL1</t>
  </si>
  <si>
    <t>O55222</t>
  </si>
  <si>
    <t>ILK</t>
  </si>
  <si>
    <t>Q9DCU6</t>
  </si>
  <si>
    <t>RM04</t>
  </si>
  <si>
    <t>Q5DTX6</t>
  </si>
  <si>
    <t>JCAD</t>
  </si>
  <si>
    <t>O70251</t>
  </si>
  <si>
    <t>EF1B</t>
  </si>
  <si>
    <t>Q9DCJ1</t>
  </si>
  <si>
    <t>LST8</t>
  </si>
  <si>
    <t>Q7M753</t>
  </si>
  <si>
    <t>PANK2</t>
  </si>
  <si>
    <t>P07758</t>
  </si>
  <si>
    <t>A1AT1</t>
  </si>
  <si>
    <t>Q00896</t>
  </si>
  <si>
    <t>A1AT3</t>
  </si>
  <si>
    <t>Q99MB1</t>
  </si>
  <si>
    <t>TLR3</t>
  </si>
  <si>
    <t>O88492</t>
  </si>
  <si>
    <t>PLIN4</t>
  </si>
  <si>
    <t>Q9WU40</t>
  </si>
  <si>
    <t>MAN1</t>
  </si>
  <si>
    <t>Q8JZX4</t>
  </si>
  <si>
    <t>SPF45</t>
  </si>
  <si>
    <t>Q9CQ54</t>
  </si>
  <si>
    <t>NDUC2</t>
  </si>
  <si>
    <t>Q60930</t>
  </si>
  <si>
    <t>VDAC2</t>
  </si>
  <si>
    <t>P47963</t>
  </si>
  <si>
    <t>RL13</t>
  </si>
  <si>
    <t>Q6NZJ6</t>
  </si>
  <si>
    <t>IF4G1</t>
  </si>
  <si>
    <t>P20444</t>
  </si>
  <si>
    <t>KPCA</t>
  </si>
  <si>
    <t>Q8CIG8</t>
  </si>
  <si>
    <t>ANM5</t>
  </si>
  <si>
    <t>Q3TKT4</t>
  </si>
  <si>
    <t>SMCA4</t>
  </si>
  <si>
    <t>P11983</t>
  </si>
  <si>
    <t>TCPA</t>
  </si>
  <si>
    <t>Q6PDG5</t>
  </si>
  <si>
    <t>SMRC2</t>
  </si>
  <si>
    <t>Q9JHW4</t>
  </si>
  <si>
    <t>SELB</t>
  </si>
  <si>
    <t>P00520</t>
  </si>
  <si>
    <t>ABL1</t>
  </si>
  <si>
    <t>Q6P9N1</t>
  </si>
  <si>
    <t>HYCCI</t>
  </si>
  <si>
    <t>Q80U30</t>
  </si>
  <si>
    <t>CL16A</t>
  </si>
  <si>
    <t>Q6A068</t>
  </si>
  <si>
    <t>CDC5L</t>
  </si>
  <si>
    <t>P50752</t>
  </si>
  <si>
    <t>TNNT2</t>
  </si>
  <si>
    <t>A2AJ76</t>
  </si>
  <si>
    <t>HMCN2</t>
  </si>
  <si>
    <t>P11499</t>
  </si>
  <si>
    <t>HS90B</t>
  </si>
  <si>
    <t>Q8K411</t>
  </si>
  <si>
    <t>PREP</t>
  </si>
  <si>
    <t>P97414</t>
  </si>
  <si>
    <t>KCNQ1</t>
  </si>
  <si>
    <t>P33215</t>
  </si>
  <si>
    <t>NEDD1</t>
  </si>
  <si>
    <t>Q63829</t>
  </si>
  <si>
    <t>COMD3</t>
  </si>
  <si>
    <t>Q9CR57</t>
  </si>
  <si>
    <t>RL14</t>
  </si>
  <si>
    <t>Q8R2Y0</t>
  </si>
  <si>
    <t>ABHD6</t>
  </si>
  <si>
    <t>Q9JM52</t>
  </si>
  <si>
    <t>MINK1</t>
  </si>
  <si>
    <t>Q8R307</t>
  </si>
  <si>
    <t>VPS18</t>
  </si>
  <si>
    <t>Q9QZ88</t>
  </si>
  <si>
    <t>VPS29</t>
  </si>
  <si>
    <t>Q8BH64</t>
  </si>
  <si>
    <t>EHD2</t>
  </si>
  <si>
    <t>Q8CJG0</t>
  </si>
  <si>
    <t>AGO2</t>
  </si>
  <si>
    <t>Q8R0G9</t>
  </si>
  <si>
    <t>NU133</t>
  </si>
  <si>
    <t>Q8BP48</t>
  </si>
  <si>
    <t>MAP11</t>
  </si>
  <si>
    <t>Q9Z1M4</t>
  </si>
  <si>
    <t>KS6B2</t>
  </si>
  <si>
    <t>Q99J23</t>
  </si>
  <si>
    <t>GHDC</t>
  </si>
  <si>
    <t>Q8R310</t>
  </si>
  <si>
    <t>TMCC3</t>
  </si>
  <si>
    <t>Q8BSS9</t>
  </si>
  <si>
    <t>LIPA2</t>
  </si>
  <si>
    <t>Q9QWV9</t>
  </si>
  <si>
    <t>CCNT1</t>
  </si>
  <si>
    <t>Q8R2Q4</t>
  </si>
  <si>
    <t>RRF2M</t>
  </si>
  <si>
    <t>Q6A0D4</t>
  </si>
  <si>
    <t>RFTN1</t>
  </si>
  <si>
    <t>Q0KL02</t>
  </si>
  <si>
    <t>TRIO</t>
  </si>
  <si>
    <t>Q8BGY2</t>
  </si>
  <si>
    <t>IF5A2</t>
  </si>
  <si>
    <t>Q64521</t>
  </si>
  <si>
    <t>GPDM</t>
  </si>
  <si>
    <t>Q99KP6</t>
  </si>
  <si>
    <t>PRP19</t>
  </si>
  <si>
    <t>Q6ZPV2</t>
  </si>
  <si>
    <t>INO80</t>
  </si>
  <si>
    <t>Q3TXS7</t>
  </si>
  <si>
    <t>PSMD1</t>
  </si>
  <si>
    <t>Q9ERK4</t>
  </si>
  <si>
    <t>XPO2</t>
  </si>
  <si>
    <t>P56873</t>
  </si>
  <si>
    <t>ZNRD2</t>
  </si>
  <si>
    <t>Q60866</t>
  </si>
  <si>
    <t>PTER</t>
  </si>
  <si>
    <t>Q62448</t>
  </si>
  <si>
    <t>IF4G2</t>
  </si>
  <si>
    <t>Q9CZ83</t>
  </si>
  <si>
    <t>RM55</t>
  </si>
  <si>
    <t>Q9DBS9</t>
  </si>
  <si>
    <t>OSBL3</t>
  </si>
  <si>
    <t>Q8VCK3</t>
  </si>
  <si>
    <t>TBG2</t>
  </si>
  <si>
    <t>Q9Z2V6</t>
  </si>
  <si>
    <t>HDAC5</t>
  </si>
  <si>
    <t>Q99LX0</t>
  </si>
  <si>
    <t>PARK7</t>
  </si>
  <si>
    <t>Q61937</t>
  </si>
  <si>
    <t>NPM</t>
  </si>
  <si>
    <t>Q9CQF0</t>
  </si>
  <si>
    <t>RM11</t>
  </si>
  <si>
    <t>Q8VDJ3</t>
  </si>
  <si>
    <t>VIGLN</t>
  </si>
  <si>
    <t>Q60676</t>
  </si>
  <si>
    <t>PPP5</t>
  </si>
  <si>
    <t>Q9Z2X1</t>
  </si>
  <si>
    <t>HNRPF</t>
  </si>
  <si>
    <t>Q9ERI6</t>
  </si>
  <si>
    <t>RDH14</t>
  </si>
  <si>
    <t>Q64096</t>
  </si>
  <si>
    <t>MCF2L</t>
  </si>
  <si>
    <t>Q9CWG8</t>
  </si>
  <si>
    <t>NDUF7</t>
  </si>
  <si>
    <t>Q9JII1</t>
  </si>
  <si>
    <t>INP5E</t>
  </si>
  <si>
    <t>P27601</t>
  </si>
  <si>
    <t>GNA13</t>
  </si>
  <si>
    <t>Q8CBY3</t>
  </si>
  <si>
    <t>LENG8</t>
  </si>
  <si>
    <t>Q9D4F8</t>
  </si>
  <si>
    <t>GCP4</t>
  </si>
  <si>
    <t>Q8BJE2</t>
  </si>
  <si>
    <t>BTNL9</t>
  </si>
  <si>
    <t>Q80X73</t>
  </si>
  <si>
    <t>PELO</t>
  </si>
  <si>
    <t>Q8CF89</t>
  </si>
  <si>
    <t>TAB1</t>
  </si>
  <si>
    <t>P61164</t>
  </si>
  <si>
    <t>ACTZ</t>
  </si>
  <si>
    <t>Q8BHC4</t>
  </si>
  <si>
    <t>DCAKD</t>
  </si>
  <si>
    <t>Q1W617</t>
  </si>
  <si>
    <t>SHRM4</t>
  </si>
  <si>
    <t>Q6PFR5</t>
  </si>
  <si>
    <t>TRA2A</t>
  </si>
  <si>
    <t>Q9D824</t>
  </si>
  <si>
    <t>FIP1</t>
  </si>
  <si>
    <t>P09103</t>
  </si>
  <si>
    <t>PDIA1</t>
  </si>
  <si>
    <t>Q4VBD2</t>
  </si>
  <si>
    <t>TAPT1</t>
  </si>
  <si>
    <t>Q5RKZ7</t>
  </si>
  <si>
    <t>MOCS1</t>
  </si>
  <si>
    <t>O89032</t>
  </si>
  <si>
    <t>SPD2A</t>
  </si>
  <si>
    <t>Q9EQN3</t>
  </si>
  <si>
    <t>T22D4</t>
  </si>
  <si>
    <t>O70456</t>
  </si>
  <si>
    <t>1433S</t>
  </si>
  <si>
    <t>Q62082</t>
  </si>
  <si>
    <t>MYL10</t>
  </si>
  <si>
    <t>P16330</t>
  </si>
  <si>
    <t>CN37</t>
  </si>
  <si>
    <t>E9Q3C1</t>
  </si>
  <si>
    <t>C2CD2</t>
  </si>
  <si>
    <t>Q91YN9</t>
  </si>
  <si>
    <t>BAG2</t>
  </si>
  <si>
    <t>Q6PD03</t>
  </si>
  <si>
    <t>2A5A</t>
  </si>
  <si>
    <t>Q9Z2D6</t>
  </si>
  <si>
    <t>MECP2</t>
  </si>
  <si>
    <t>Q8R5H1</t>
  </si>
  <si>
    <t>UBP15</t>
  </si>
  <si>
    <t>P62996</t>
  </si>
  <si>
    <t>TRA2B</t>
  </si>
  <si>
    <t>P26516</t>
  </si>
  <si>
    <t>PSMD7</t>
  </si>
  <si>
    <t>Q8R1G2</t>
  </si>
  <si>
    <t>CMBL</t>
  </si>
  <si>
    <t>Q6PD21</t>
  </si>
  <si>
    <t>SHB</t>
  </si>
  <si>
    <t>Q9WUA2</t>
  </si>
  <si>
    <t>SYFB</t>
  </si>
  <si>
    <t>P61255</t>
  </si>
  <si>
    <t>RL26</t>
  </si>
  <si>
    <t>Q8BLY2</t>
  </si>
  <si>
    <t>SYTC2</t>
  </si>
  <si>
    <t>Q7TQH0</t>
  </si>
  <si>
    <t>ATX2L</t>
  </si>
  <si>
    <t>Q99L43</t>
  </si>
  <si>
    <t>CDS2</t>
  </si>
  <si>
    <t>Q18PE0</t>
  </si>
  <si>
    <t>DOK7</t>
  </si>
  <si>
    <t>P26450</t>
  </si>
  <si>
    <t>P85A</t>
  </si>
  <si>
    <t>Q07113</t>
  </si>
  <si>
    <t>MPRI</t>
  </si>
  <si>
    <t>Q9CQA1</t>
  </si>
  <si>
    <t>TPPC5</t>
  </si>
  <si>
    <t>P36536</t>
  </si>
  <si>
    <t>SAR1A</t>
  </si>
  <si>
    <t>Q9WTL8</t>
  </si>
  <si>
    <t>BMAL1</t>
  </si>
  <si>
    <t>Q80U58</t>
  </si>
  <si>
    <t>PUM2</t>
  </si>
  <si>
    <t>S4R2K0</t>
  </si>
  <si>
    <t>DEFM</t>
  </si>
  <si>
    <t>Q8BIP0</t>
  </si>
  <si>
    <t>SYDM</t>
  </si>
  <si>
    <t>Q922S4</t>
  </si>
  <si>
    <t>PDE2A</t>
  </si>
  <si>
    <t>Q64511</t>
  </si>
  <si>
    <t>TOP2B</t>
  </si>
  <si>
    <t>Q9ESK9</t>
  </si>
  <si>
    <t>RBCC1</t>
  </si>
  <si>
    <t>Q3UJU9</t>
  </si>
  <si>
    <t>RMD3</t>
  </si>
  <si>
    <t>Q3UV70</t>
  </si>
  <si>
    <t>PDP1</t>
  </si>
  <si>
    <t>Q68FL6</t>
  </si>
  <si>
    <t>SYMC</t>
  </si>
  <si>
    <t>O35954</t>
  </si>
  <si>
    <t>PITM1</t>
  </si>
  <si>
    <t>Q8C5L3</t>
  </si>
  <si>
    <t>CNOT2</t>
  </si>
  <si>
    <t>Q9CR24</t>
  </si>
  <si>
    <t>NUDT8</t>
  </si>
  <si>
    <t>Q5U458</t>
  </si>
  <si>
    <t>DJC11</t>
  </si>
  <si>
    <t>Q9R049</t>
  </si>
  <si>
    <t>AMFR</t>
  </si>
  <si>
    <t>Q8VCS3</t>
  </si>
  <si>
    <t>XYLK</t>
  </si>
  <si>
    <t>Q2KN98</t>
  </si>
  <si>
    <t>CYTSA</t>
  </si>
  <si>
    <t>Q9JIK9</t>
  </si>
  <si>
    <t>RT34</t>
  </si>
  <si>
    <t>Q8CGY6</t>
  </si>
  <si>
    <t>UN45B</t>
  </si>
  <si>
    <t>Q3TDK6</t>
  </si>
  <si>
    <t>ROGDI</t>
  </si>
  <si>
    <t>Q6DVA0</t>
  </si>
  <si>
    <t>LEMD2</t>
  </si>
  <si>
    <t>Q9D287</t>
  </si>
  <si>
    <t>SPF27</t>
  </si>
  <si>
    <t>Q6RHR9</t>
  </si>
  <si>
    <t>MAGI1</t>
  </si>
  <si>
    <t>P32233</t>
  </si>
  <si>
    <t>DRG1</t>
  </si>
  <si>
    <t>Q9Z266</t>
  </si>
  <si>
    <t>SNAPN</t>
  </si>
  <si>
    <t>Q6P9S0</t>
  </si>
  <si>
    <t>MTSS2</t>
  </si>
  <si>
    <t>Q9ESZ8</t>
  </si>
  <si>
    <t>GTF2I</t>
  </si>
  <si>
    <t>P19096</t>
  </si>
  <si>
    <t>FAS</t>
  </si>
  <si>
    <t>Q80X80</t>
  </si>
  <si>
    <t>C2C2L</t>
  </si>
  <si>
    <t>O70566</t>
  </si>
  <si>
    <t>DIAP2</t>
  </si>
  <si>
    <t>Q9QXX4</t>
  </si>
  <si>
    <t>S2513</t>
  </si>
  <si>
    <t>P68510</t>
  </si>
  <si>
    <t>1433F</t>
  </si>
  <si>
    <t>Q9QYJ0</t>
  </si>
  <si>
    <t>DNJA2</t>
  </si>
  <si>
    <t>Q9DCI9</t>
  </si>
  <si>
    <t>RM32</t>
  </si>
  <si>
    <t>Q9D0I4</t>
  </si>
  <si>
    <t>STX17</t>
  </si>
  <si>
    <t>Q6P5E4</t>
  </si>
  <si>
    <t>UGGG1</t>
  </si>
  <si>
    <t>Q8VDP4</t>
  </si>
  <si>
    <t>CCAR2</t>
  </si>
  <si>
    <t>P97333</t>
  </si>
  <si>
    <t>NRP1</t>
  </si>
  <si>
    <t>P47758</t>
  </si>
  <si>
    <t>SRPRB</t>
  </si>
  <si>
    <t>G3X9Z4</t>
  </si>
  <si>
    <t>PCF11</t>
  </si>
  <si>
    <t>O70400</t>
  </si>
  <si>
    <t>PDLI1</t>
  </si>
  <si>
    <t>Q9Z108</t>
  </si>
  <si>
    <t>STAU1</t>
  </si>
  <si>
    <t>P08607</t>
  </si>
  <si>
    <t>C4BPA</t>
  </si>
  <si>
    <t>Q9D6K5</t>
  </si>
  <si>
    <t>SYJ2B</t>
  </si>
  <si>
    <t>Q3ULF4</t>
  </si>
  <si>
    <t>SPG7</t>
  </si>
  <si>
    <t>B7ZMP1</t>
  </si>
  <si>
    <t>XPP3</t>
  </si>
  <si>
    <t>Q99LE6</t>
  </si>
  <si>
    <t>ABCF2</t>
  </si>
  <si>
    <t>Q9CQB5</t>
  </si>
  <si>
    <t>CISD2</t>
  </si>
  <si>
    <t>Q8K2X3</t>
  </si>
  <si>
    <t>STN1</t>
  </si>
  <si>
    <t>P62911</t>
  </si>
  <si>
    <t>RL32</t>
  </si>
  <si>
    <t>Q9JKS4</t>
  </si>
  <si>
    <t>LDB3</t>
  </si>
  <si>
    <t>Q91VM5</t>
  </si>
  <si>
    <t>RMXL1</t>
  </si>
  <si>
    <t>Q9WV02</t>
  </si>
  <si>
    <t>RBMX</t>
  </si>
  <si>
    <t>Q3V1L4</t>
  </si>
  <si>
    <t>5NTC</t>
  </si>
  <si>
    <t>B2RUR8</t>
  </si>
  <si>
    <t>OTU7B</t>
  </si>
  <si>
    <t>Q5SWT3</t>
  </si>
  <si>
    <t>S2535</t>
  </si>
  <si>
    <t>Q7TMY8</t>
  </si>
  <si>
    <t>HUWE1</t>
  </si>
  <si>
    <t>Q8R4H2</t>
  </si>
  <si>
    <t>ARHGC</t>
  </si>
  <si>
    <t>Q7TSH8</t>
  </si>
  <si>
    <t>TMM94</t>
  </si>
  <si>
    <t>Q99104</t>
  </si>
  <si>
    <t>MYO5A</t>
  </si>
  <si>
    <t>Q69Z99</t>
  </si>
  <si>
    <t>ZN512</t>
  </si>
  <si>
    <t>Q8BJY1</t>
  </si>
  <si>
    <t>PSMD5</t>
  </si>
  <si>
    <t>Q8C2E4</t>
  </si>
  <si>
    <t>PTCD1</t>
  </si>
  <si>
    <t>B9EJ86</t>
  </si>
  <si>
    <t>OSBL8</t>
  </si>
  <si>
    <t>Q61543</t>
  </si>
  <si>
    <t>GSLG1</t>
  </si>
  <si>
    <t>Q02566</t>
  </si>
  <si>
    <t>MYH6</t>
  </si>
  <si>
    <t>P63073</t>
  </si>
  <si>
    <t>IF4E</t>
  </si>
  <si>
    <t>Q8C1Q6</t>
  </si>
  <si>
    <t>UQCC5</t>
  </si>
  <si>
    <t>Q8BJS4</t>
  </si>
  <si>
    <t>SUN2</t>
  </si>
  <si>
    <t>Q9R061</t>
  </si>
  <si>
    <t>NUBP2</t>
  </si>
  <si>
    <t>P42128</t>
  </si>
  <si>
    <t>FOXK1</t>
  </si>
  <si>
    <t>Q9QY76</t>
  </si>
  <si>
    <t>VAPB</t>
  </si>
  <si>
    <t>Q6NXI6</t>
  </si>
  <si>
    <t>RPRD2</t>
  </si>
  <si>
    <t>Q5DU25</t>
  </si>
  <si>
    <t>IQEC2</t>
  </si>
  <si>
    <t>Q8BQZ4</t>
  </si>
  <si>
    <t>RLGPB</t>
  </si>
  <si>
    <t>Q8BFR5</t>
  </si>
  <si>
    <t>EFTU</t>
  </si>
  <si>
    <t>P35700</t>
  </si>
  <si>
    <t>PRDX1</t>
  </si>
  <si>
    <t>Q61738</t>
  </si>
  <si>
    <t>ITA7</t>
  </si>
  <si>
    <t>Q9WTX6</t>
  </si>
  <si>
    <t>CUL1</t>
  </si>
  <si>
    <t>P13808</t>
  </si>
  <si>
    <t>B3A2</t>
  </si>
  <si>
    <t>P70699</t>
  </si>
  <si>
    <t>LYAG</t>
  </si>
  <si>
    <t>Q9D799</t>
  </si>
  <si>
    <t>FMT</t>
  </si>
  <si>
    <t>Q99ME2</t>
  </si>
  <si>
    <t>WDR6</t>
  </si>
  <si>
    <t>P84099</t>
  </si>
  <si>
    <t>RL19</t>
  </si>
  <si>
    <t>Q80XA6</t>
  </si>
  <si>
    <t>REPS2</t>
  </si>
  <si>
    <t>P51667</t>
  </si>
  <si>
    <t>MLRV</t>
  </si>
  <si>
    <t>Q6ZQ08</t>
  </si>
  <si>
    <t>CNOT1</t>
  </si>
  <si>
    <t>Q9JIF0</t>
  </si>
  <si>
    <t>ANM1</t>
  </si>
  <si>
    <t>Q9CQY6</t>
  </si>
  <si>
    <t>UQCC2</t>
  </si>
  <si>
    <t>Q8K012</t>
  </si>
  <si>
    <t>FBP1L</t>
  </si>
  <si>
    <t>Q9QUG9</t>
  </si>
  <si>
    <t>GRP2</t>
  </si>
  <si>
    <t>D3YXK2</t>
  </si>
  <si>
    <t>SAFB1</t>
  </si>
  <si>
    <t>Q8K2M0</t>
  </si>
  <si>
    <t>RM38</t>
  </si>
  <si>
    <t>P84091</t>
  </si>
  <si>
    <t>AP2M1</t>
  </si>
  <si>
    <t>Q8R5J9</t>
  </si>
  <si>
    <t>PRAF3</t>
  </si>
  <si>
    <t>Q8CFN5</t>
  </si>
  <si>
    <t>MEF2C</t>
  </si>
  <si>
    <t>Q60929</t>
  </si>
  <si>
    <t>MEF2A</t>
  </si>
  <si>
    <t>P54116</t>
  </si>
  <si>
    <t>STOM</t>
  </si>
  <si>
    <t>G5E870</t>
  </si>
  <si>
    <t>TRIPC</t>
  </si>
  <si>
    <t>Q9JJG9</t>
  </si>
  <si>
    <t>NOA1</t>
  </si>
  <si>
    <t>Q62167</t>
  </si>
  <si>
    <t>DDX3X</t>
  </si>
  <si>
    <t>Q80U72</t>
  </si>
  <si>
    <t>SCRIB</t>
  </si>
  <si>
    <t>Q80XQ2</t>
  </si>
  <si>
    <t>TBCD5</t>
  </si>
  <si>
    <t>Q8BG67</t>
  </si>
  <si>
    <t>EFR3A</t>
  </si>
  <si>
    <t>Q9QZB9</t>
  </si>
  <si>
    <t>DCTN5</t>
  </si>
  <si>
    <t>Q9D4H8</t>
  </si>
  <si>
    <t>CUL2</t>
  </si>
  <si>
    <t>Q6A0A9</t>
  </si>
  <si>
    <t>F120A</t>
  </si>
  <si>
    <t>Q07417</t>
  </si>
  <si>
    <t>ACADS</t>
  </si>
  <si>
    <t>Q9D1H7</t>
  </si>
  <si>
    <t>GET4</t>
  </si>
  <si>
    <t>Q8BL97</t>
  </si>
  <si>
    <t>SRSF7</t>
  </si>
  <si>
    <t>Q80TA6</t>
  </si>
  <si>
    <t>MTMRC</t>
  </si>
  <si>
    <t>Q9CQJ4</t>
  </si>
  <si>
    <t>RING2</t>
  </si>
  <si>
    <t>O35343</t>
  </si>
  <si>
    <t>IMA3</t>
  </si>
  <si>
    <t>Q3TL26</t>
  </si>
  <si>
    <t>TFB2M</t>
  </si>
  <si>
    <t>Q8K0S0</t>
  </si>
  <si>
    <t>PHYIP</t>
  </si>
  <si>
    <t>Q9EQC5</t>
  </si>
  <si>
    <t>SCYL1</t>
  </si>
  <si>
    <t>Q9D4F2</t>
  </si>
  <si>
    <t>PLPP6</t>
  </si>
  <si>
    <t>Q7TPM1</t>
  </si>
  <si>
    <t>PRC2B</t>
  </si>
  <si>
    <t>P52734</t>
  </si>
  <si>
    <t>FGD1</t>
  </si>
  <si>
    <t>Q9ER64</t>
  </si>
  <si>
    <t>OSBL5</t>
  </si>
  <si>
    <t>Q6P9Z1</t>
  </si>
  <si>
    <t>SMRD3</t>
  </si>
  <si>
    <t>P82348</t>
  </si>
  <si>
    <t>SGCG</t>
  </si>
  <si>
    <t>Q8BTY8</t>
  </si>
  <si>
    <t>SCFD2</t>
  </si>
  <si>
    <t>Q9DCL9</t>
  </si>
  <si>
    <t>PUR6</t>
  </si>
  <si>
    <t>Q5KU39</t>
  </si>
  <si>
    <t>VPS41</t>
  </si>
  <si>
    <t>Q9EP72</t>
  </si>
  <si>
    <t>EMC7</t>
  </si>
  <si>
    <t>Q6ZPE2</t>
  </si>
  <si>
    <t>MTMR5</t>
  </si>
  <si>
    <t>Q3UMT1</t>
  </si>
  <si>
    <t>PP12C</t>
  </si>
  <si>
    <t>P63017</t>
  </si>
  <si>
    <t>HSP7C</t>
  </si>
  <si>
    <t>P46718</t>
  </si>
  <si>
    <t>PDCD2</t>
  </si>
  <si>
    <t>P38060</t>
  </si>
  <si>
    <t>HMGCL</t>
  </si>
  <si>
    <t>Q9WUE4</t>
  </si>
  <si>
    <t>NPRL2</t>
  </si>
  <si>
    <t>Q8QZY1</t>
  </si>
  <si>
    <t>EIF3L</t>
  </si>
  <si>
    <t>Q922Q1</t>
  </si>
  <si>
    <t>MARC2</t>
  </si>
  <si>
    <t>Q8VDH1</t>
  </si>
  <si>
    <t>FBX21</t>
  </si>
  <si>
    <t>P97370</t>
  </si>
  <si>
    <t>AT1B3</t>
  </si>
  <si>
    <t>Q921T2</t>
  </si>
  <si>
    <t>TOIP1</t>
  </si>
  <si>
    <t>Q64737</t>
  </si>
  <si>
    <t>PUR2</t>
  </si>
  <si>
    <t>Q8K0L9</t>
  </si>
  <si>
    <t>ZBT20</t>
  </si>
  <si>
    <t>Q8C181</t>
  </si>
  <si>
    <t>MBNL2</t>
  </si>
  <si>
    <t>Q9CQ73</t>
  </si>
  <si>
    <t>PKP2</t>
  </si>
  <si>
    <t>Q5SFM8</t>
  </si>
  <si>
    <t>RBM27</t>
  </si>
  <si>
    <t>P17156</t>
  </si>
  <si>
    <t>HSP72</t>
  </si>
  <si>
    <t>Q9Z1M8</t>
  </si>
  <si>
    <t>RED</t>
  </si>
  <si>
    <t>Q9D0I6</t>
  </si>
  <si>
    <t>WSDU1</t>
  </si>
  <si>
    <t>Q8BHB0</t>
  </si>
  <si>
    <t>NOD1</t>
  </si>
  <si>
    <t>P80314</t>
  </si>
  <si>
    <t>TCPB</t>
  </si>
  <si>
    <t>Q9CXK9</t>
  </si>
  <si>
    <t>RBM33</t>
  </si>
  <si>
    <t>Q9R1C6</t>
  </si>
  <si>
    <t>DGKE</t>
  </si>
  <si>
    <t>Q04750</t>
  </si>
  <si>
    <t>TOP1</t>
  </si>
  <si>
    <t>Q69ZS7</t>
  </si>
  <si>
    <t>HBS1L</t>
  </si>
  <si>
    <t>P80313</t>
  </si>
  <si>
    <t>TCPH</t>
  </si>
  <si>
    <t>Q99KB8</t>
  </si>
  <si>
    <t>GLO2</t>
  </si>
  <si>
    <t>Q922B2</t>
  </si>
  <si>
    <t>SYDC</t>
  </si>
  <si>
    <t>Q9D7H3</t>
  </si>
  <si>
    <t>RTCA</t>
  </si>
  <si>
    <t>Q9D517</t>
  </si>
  <si>
    <t>PLCC</t>
  </si>
  <si>
    <t>P56375</t>
  </si>
  <si>
    <t>ACYP2</t>
  </si>
  <si>
    <t>B2RY56</t>
  </si>
  <si>
    <t>RBM25</t>
  </si>
  <si>
    <t>Q7SIG6</t>
  </si>
  <si>
    <t>ASAP2</t>
  </si>
  <si>
    <t>P28650</t>
  </si>
  <si>
    <t>PURA1</t>
  </si>
  <si>
    <t>E9Q9K5</t>
  </si>
  <si>
    <t>TRDN</t>
  </si>
  <si>
    <t>Q8R010</t>
  </si>
  <si>
    <t>AIMP2</t>
  </si>
  <si>
    <t>Q99J95</t>
  </si>
  <si>
    <t>CDK9</t>
  </si>
  <si>
    <t>Q91VR5</t>
  </si>
  <si>
    <t>DDX1</t>
  </si>
  <si>
    <t>P35385</t>
  </si>
  <si>
    <t>HSPB7</t>
  </si>
  <si>
    <t>Q9JIY0</t>
  </si>
  <si>
    <t>PKHO1</t>
  </si>
  <si>
    <t>Q7TMV3</t>
  </si>
  <si>
    <t>FAKD5</t>
  </si>
  <si>
    <t>Q9CQ75</t>
  </si>
  <si>
    <t>NDUA2</t>
  </si>
  <si>
    <t>A6H6E2</t>
  </si>
  <si>
    <t>MMRN2</t>
  </si>
  <si>
    <t>Q8BTZ7</t>
  </si>
  <si>
    <t>GMPPB</t>
  </si>
  <si>
    <t>Q9D710</t>
  </si>
  <si>
    <t>TMX2</t>
  </si>
  <si>
    <t>Q5DTJ9</t>
  </si>
  <si>
    <t>MYPN</t>
  </si>
  <si>
    <t>P97384</t>
  </si>
  <si>
    <t>ANX11</t>
  </si>
  <si>
    <t>Q6ZWR6</t>
  </si>
  <si>
    <t>SYNE1</t>
  </si>
  <si>
    <t>Q91Z83</t>
  </si>
  <si>
    <t>MYH7</t>
  </si>
  <si>
    <t>Q8CGF1</t>
  </si>
  <si>
    <t>RHG29</t>
  </si>
  <si>
    <t>Q8VCH0</t>
  </si>
  <si>
    <t>THIKB</t>
  </si>
  <si>
    <t>Q4U4S6</t>
  </si>
  <si>
    <t>XIRP2</t>
  </si>
  <si>
    <t>Q9CSU0</t>
  </si>
  <si>
    <t>RPR1B</t>
  </si>
  <si>
    <t>Q91ZU6</t>
  </si>
  <si>
    <t>DYST</t>
  </si>
  <si>
    <t>Q9JKN1</t>
  </si>
  <si>
    <t>ZNT7</t>
  </si>
  <si>
    <t>Q9QWW1</t>
  </si>
  <si>
    <t>HOME2</t>
  </si>
  <si>
    <t>Q9DCC4</t>
  </si>
  <si>
    <t>P5CR3</t>
  </si>
  <si>
    <t>Q9R0U0</t>
  </si>
  <si>
    <t>SRS10</t>
  </si>
  <si>
    <t>Q9CZX9</t>
  </si>
  <si>
    <t>EMC4</t>
  </si>
  <si>
    <t>Q9JLV5</t>
  </si>
  <si>
    <t>CUL3</t>
  </si>
  <si>
    <t>Q80VP0</t>
  </si>
  <si>
    <t>TCPR1</t>
  </si>
  <si>
    <t>Q8K400</t>
  </si>
  <si>
    <t>STXB5</t>
  </si>
  <si>
    <t>P70336</t>
  </si>
  <si>
    <t>ROCK2</t>
  </si>
  <si>
    <t>Q8C2Q3</t>
  </si>
  <si>
    <t>RBM14</t>
  </si>
  <si>
    <t>P62900</t>
  </si>
  <si>
    <t>RL31</t>
  </si>
  <si>
    <t>Q8C310</t>
  </si>
  <si>
    <t>ROBO4</t>
  </si>
  <si>
    <t>Q4VC33</t>
  </si>
  <si>
    <t>MAEA</t>
  </si>
  <si>
    <t>Q61081</t>
  </si>
  <si>
    <t>CDC37</t>
  </si>
  <si>
    <t>P98192</t>
  </si>
  <si>
    <t>GNPAT</t>
  </si>
  <si>
    <t>Q8R127</t>
  </si>
  <si>
    <t>SCPDL</t>
  </si>
  <si>
    <t>P0DP26</t>
  </si>
  <si>
    <t>CALM1</t>
  </si>
  <si>
    <t>P0DP27</t>
  </si>
  <si>
    <t>CALM2</t>
  </si>
  <si>
    <t>P0DP28</t>
  </si>
  <si>
    <t>CALM3</t>
  </si>
  <si>
    <t>Q9D6P8</t>
  </si>
  <si>
    <t>CALL3</t>
  </si>
  <si>
    <t>Q8VEA4</t>
  </si>
  <si>
    <t>MIA40</t>
  </si>
  <si>
    <t>Q68FE6</t>
  </si>
  <si>
    <t>RIPR1</t>
  </si>
  <si>
    <t>Q80V03</t>
  </si>
  <si>
    <t>ADCK5</t>
  </si>
  <si>
    <t>Q99KW3</t>
  </si>
  <si>
    <t>TARA</t>
  </si>
  <si>
    <t>O09000</t>
  </si>
  <si>
    <t>NCOA3</t>
  </si>
  <si>
    <t>P00329</t>
  </si>
  <si>
    <t>ADH1</t>
  </si>
  <si>
    <t>P21614</t>
  </si>
  <si>
    <t>VTDB</t>
  </si>
  <si>
    <t>Q9D920</t>
  </si>
  <si>
    <t>BORC5</t>
  </si>
  <si>
    <t>Q8CFJ9</t>
  </si>
  <si>
    <t>WDR24</t>
  </si>
  <si>
    <t>Q5XJY4</t>
  </si>
  <si>
    <t>PARL</t>
  </si>
  <si>
    <t>Q9QXK7</t>
  </si>
  <si>
    <t>CPSF3</t>
  </si>
  <si>
    <t>Q8C863</t>
  </si>
  <si>
    <t>ITCH</t>
  </si>
  <si>
    <t>Q3UZA1</t>
  </si>
  <si>
    <t>CPZIP</t>
  </si>
  <si>
    <t>P01027</t>
  </si>
  <si>
    <t>CO3</t>
  </si>
  <si>
    <t>Q3TLI0</t>
  </si>
  <si>
    <t>TPC10</t>
  </si>
  <si>
    <t>Q8C0C7</t>
  </si>
  <si>
    <t>SYFA</t>
  </si>
  <si>
    <t>P97471</t>
  </si>
  <si>
    <t>SMAD4</t>
  </si>
  <si>
    <t>Q05920</t>
  </si>
  <si>
    <t>PYC</t>
  </si>
  <si>
    <t>Q9JII5</t>
  </si>
  <si>
    <t>DAZP1</t>
  </si>
  <si>
    <t>P54310</t>
  </si>
  <si>
    <t>LIPS</t>
  </si>
  <si>
    <t>Q8BHJ5</t>
  </si>
  <si>
    <t>TBL1R</t>
  </si>
  <si>
    <t>Description</t>
  </si>
  <si>
    <t>Mean of TnT (R92Q)</t>
  </si>
  <si>
    <t>Mean of NTG</t>
  </si>
  <si>
    <t>Difference</t>
  </si>
  <si>
    <t>SE of difference</t>
  </si>
  <si>
    <t>t ratio</t>
  </si>
  <si>
    <t>df</t>
  </si>
  <si>
    <t>"-log10 q-value"</t>
  </si>
  <si>
    <t>"-log10 p-value"</t>
  </si>
  <si>
    <t>FC (KO/WT)</t>
  </si>
  <si>
    <t>Annexin A6 OS=Mus musculus OX=10090 GN=Anxa6 PE=1 SV=3</t>
  </si>
  <si>
    <t>Alpha-enolase OS=Mus musculus OX=10090 GN=Eno1 PE=1 SV=3</t>
  </si>
  <si>
    <t>Carnitine O-acetyltransferase OS=Mus musculus OX=10090 GN=Crat PE=1 SV=3</t>
  </si>
  <si>
    <t>Putative mitochondrial transporter UCP3 OS=Mus musculus OX=10090 GN=Ucp3 PE=1 SV=1</t>
  </si>
  <si>
    <t>Dihydropyrimidinase-related protein 3 OS=Mus musculus OX=10090 GN=Dpysl3 PE=1 SV=1</t>
  </si>
  <si>
    <t>Cytoskeleton-associated protein 4 OS=Mus musculus OX=10090 GN=Ckap4 PE=1 SV=2</t>
  </si>
  <si>
    <t>Pleckstrin homology domain-containing family O member 2 OS=Mus musculus OX=10090 GN=Plekho2 PE=1 SV=1</t>
  </si>
  <si>
    <t>Mitochondrial coenzyme A transporter SLC25A42 OS=Mus musculus OX=10090 GN=Slc25a42 PE=1 SV=1</t>
  </si>
  <si>
    <t>Ankyrin repeat domain-containing protein 1 OS=Mus musculus OX=10090 GN=Ankrd1 PE=1 SV=1</t>
  </si>
  <si>
    <t>ATP-binding cassette sub-family B member 10, mitochondrial OS=Mus musculus OX=10090 GN=Abcb10 PE=1 SV=1</t>
  </si>
  <si>
    <t>Angiopoietin-related protein 2 OS=Mus musculus OX=10090 GN=Angptl2 PE=2 SV=2</t>
  </si>
  <si>
    <t>Tight junction protein ZO-2 OS=Mus musculus OX=10090 GN=Tjp2 PE=1 SV=2</t>
  </si>
  <si>
    <t>Isochorismatase domain-containing protein 2A OS=Mus musculus OX=10090 GN=Isoc2a PE=1 SV=1</t>
  </si>
  <si>
    <t>Synaptopodin 2-like protein OS=Mus musculus OX=10090 GN=Synpo2l PE=1 SV=1</t>
  </si>
  <si>
    <t>Thyroid receptor-interacting protein 6 OS=Mus musculus OX=10090 GN=Trip6 PE=1 SV=1</t>
  </si>
  <si>
    <t>Cardiac phospholamban OS=Mus musculus OX=10090 GN=Pln PE=1 SV=1</t>
  </si>
  <si>
    <t>Hydroxysteroid dehydrogenase-like protein 2 OS=Mus musculus OX=10090 GN=Hsdl2 PE=1 SV=1</t>
  </si>
  <si>
    <t>Valacyclovir hydrolase OS=Mus musculus OX=10090 GN=Bphl PE=1 SV=1</t>
  </si>
  <si>
    <t>Mitochondrial fission process protein 1 OS=Mus musculus OX=10090 GN=Mtfp1 PE=1 SV=1</t>
  </si>
  <si>
    <t>Small ribosomal subunit protein eS19 OS=Mus musculus OX=10090 GN=Rps19 PE=1 SV=3</t>
  </si>
  <si>
    <t>Glycogen [starch] synthase, muscle OS=Mus musculus OX=10090 GN=Gys1 PE=1 SV=2</t>
  </si>
  <si>
    <t>Small ribosomal subunit protein eS25 OS=Mus musculus OX=10090 GN=Rps25 PE=1 SV=1</t>
  </si>
  <si>
    <t>Serine/threonine-protein kinase WNK2 OS=Mus musculus OX=10090 GN=Wnk2 PE=1 SV=2</t>
  </si>
  <si>
    <t>E3 ubiquitin-protein ligase TRIM47 OS=Mus musculus OX=10090 GN=Trim47 PE=1 SV=2</t>
  </si>
  <si>
    <t>Creatine kinase M-type OS=Mus musculus OX=10090 GN=Ckm PE=1 SV=1</t>
  </si>
  <si>
    <t>Cyclin-dependent kinase 18 OS=Mus musculus OX=10090 GN=Cdk18 PE=1 SV=1</t>
  </si>
  <si>
    <t>Protein phosphatase 1K, mitochondrial OS=Mus musculus OX=10090 GN=Ppm1k PE=1 SV=1</t>
  </si>
  <si>
    <t>Influenza virus NS1A-binding protein homolog OS=Mus musculus OX=10090 GN=Ivns1abp PE=1 SV=2</t>
  </si>
  <si>
    <t>FERM, ARHGEF and pleckstrin domain-containing protein 1 OS=Mus musculus OX=10090 GN=Farp1 PE=1 SV=1</t>
  </si>
  <si>
    <t>Dihydropyrimidinase-related protein 2 OS=Mus musculus OX=10090 GN=Dpysl2 PE=1 SV=2</t>
  </si>
  <si>
    <t>Small ribosomal subunit protein uS12m OS=Mus musculus OX=10090 GN=Mrps12 PE=1 SV=1</t>
  </si>
  <si>
    <t>PDZ and LIM domain protein 3 OS=Mus musculus OX=10090 GN=Pdlim3 PE=1 SV=1</t>
  </si>
  <si>
    <t>Kinesin light chain 1 OS=Mus musculus OX=10090 GN=Klc1 PE=1 SV=3</t>
  </si>
  <si>
    <t>2-amino-3-ketobutyrate coenzyme A ligase, mitochondrial OS=Mus musculus OX=10090 GN=Gcat PE=1 SV=2</t>
  </si>
  <si>
    <t>Myoglobin OS=Mus musculus OX=10090 GN=Mb PE=1 SV=3</t>
  </si>
  <si>
    <t>Kinesin heavy chain isoform 5C OS=Mus musculus OX=10090 GN=Kif5c PE=1 SV=3</t>
  </si>
  <si>
    <t>Enoyl-CoA delta isomerase 1, mitochondrial OS=Mus musculus OX=10090 GN=Eci1 PE=1 SV=2</t>
  </si>
  <si>
    <t>Anaphase-promoting complex subunit 1 OS=Mus musculus OX=10090 GN=Anapc1 PE=1 SV=2</t>
  </si>
  <si>
    <t>ADP-ribosylation factor 4 OS=Mus musculus OX=10090 GN=Arf4 PE=1 SV=2</t>
  </si>
  <si>
    <t>Small ribosomal subunit protein uS14 OS=Mus musculus OX=10090 GN=Rps29 PE=1 SV=2</t>
  </si>
  <si>
    <t>Small ribosomal subunit protein eS1 OS=Mus musculus OX=10090 GN=Rps3a PE=1 SV=3</t>
  </si>
  <si>
    <t>Sorbin and SH3 domain-containing protein 2 OS=Mus musculus OX=10090 GN=Sorbs2 PE=1 SV=2</t>
  </si>
  <si>
    <t>Src substrate cortactin OS=Mus musculus OX=10090 GN=Cttn PE=1 SV=2</t>
  </si>
  <si>
    <t>Long-chain fatty acid transport protein 1 OS=Mus musculus OX=10090 GN=Slc27a1 PE=1 SV=1</t>
  </si>
  <si>
    <t>Tyrosine-protein phosphatase non-receptor type 23 OS=Mus musculus OX=10090 GN=Ptpn23 PE=1 SV=2</t>
  </si>
  <si>
    <t>Enoyl-CoA delta isomerase 3, peroxisomal OS=Mus musculus OX=10090 GN=Eci3 PE=1 SV=1</t>
  </si>
  <si>
    <t>Zinc finger FYVE domain-containing protein 1 OS=Mus musculus OX=10090 GN=Zfyve1 PE=1 SV=2</t>
  </si>
  <si>
    <t>Enoyl-CoA hydratase, mitochondrial OS=Mus musculus OX=10090 GN=Echs1 PE=1 SV=1</t>
  </si>
  <si>
    <t>Dedicator of cytokinesis protein 9 OS=Mus musculus OX=10090 GN=Dock9 PE=1 SV=2</t>
  </si>
  <si>
    <t>Small ribosomal subunit protein mS27 OS=Mus musculus OX=10090 GN=Mrps27 PE=1 SV=2</t>
  </si>
  <si>
    <t>3-ketoacyl-CoA thiolase, mitochondrial OS=Mus musculus OX=10090 GN=Acaa2 PE=1 SV=3</t>
  </si>
  <si>
    <t>TBC1 domain family member 4 OS=Mus musculus OX=10090 GN=Tbc1d4 PE=1 SV=2</t>
  </si>
  <si>
    <t>Twinfilin-1 OS=Mus musculus OX=10090 GN=Twf1 PE=1 SV=2</t>
  </si>
  <si>
    <t>Aconitate hydratase, mitochondrial OS=Mus musculus OX=10090 GN=Aco2 PE=1 SV=1</t>
  </si>
  <si>
    <t>Acetyl-coenzyme A synthetase 2-like, mitochondrial OS=Mus musculus OX=10090 GN=Acss1 PE=1 SV=1</t>
  </si>
  <si>
    <t>Nuclear pore complex protein Nup155 OS=Mus musculus OX=10090 GN=Nup155 PE=1 SV=1</t>
  </si>
  <si>
    <t>Cleavage and polyadenylation specificity factor subunit 5 OS=Mus musculus OX=10090 GN=Nudt21 PE=1 SV=1</t>
  </si>
  <si>
    <t>Endoplasmic reticulum resident protein 44 OS=Mus musculus OX=10090 GN=Erp44 PE=1 SV=1</t>
  </si>
  <si>
    <t>Complex I assembly factor TMEM126B, mitochondrial OS=Mus musculus OX=10090 GN=Tmem126b PE=1 SV=1</t>
  </si>
  <si>
    <t>Dual specificity protein phosphatase 3 OS=Mus musculus OX=10090 GN=Dusp3 PE=1 SV=1</t>
  </si>
  <si>
    <t>Matrix remodeling-associated protein 8 OS=Mus musculus OX=10090 GN=Mxra8 PE=1 SV=1</t>
  </si>
  <si>
    <t>Glutathione S-transferase kappa 1 OS=Mus musculus OX=10090 GN=Gstk1 PE=1 SV=3</t>
  </si>
  <si>
    <t>Cysteine-rich protein 2 OS=Mus musculus OX=10090 GN=Crip2 PE=1 SV=1</t>
  </si>
  <si>
    <t>Electron transfer flavoprotein subunit beta OS=Mus musculus OX=10090 GN=Etfb PE=1 SV=3</t>
  </si>
  <si>
    <t>ATP synthase subunit d, mitochondrial OS=Mus musculus OX=10090 GN=Atp5pd PE=1 SV=3</t>
  </si>
  <si>
    <t>MICOS complex subunit Mic26 OS=Mus musculus OX=10090 GN=Apoo PE=1 SV=2</t>
  </si>
  <si>
    <t>Glycogen phosphorylase, liver form OS=Mus musculus OX=10090 GN=Pygl PE=1 SV=4</t>
  </si>
  <si>
    <t>Laforin OS=Mus musculus OX=10090 GN=Epm2a PE=1 SV=2</t>
  </si>
  <si>
    <t>Glycogen phosphorylase, muscle form OS=Mus musculus OX=10090 GN=Pygm PE=1 SV=3</t>
  </si>
  <si>
    <t>Enoyl-CoA delta isomerase 2 OS=Mus musculus OX=10090 GN=Eci2 PE=1 SV=2</t>
  </si>
  <si>
    <t>GRB2-associated-binding protein 2 OS=Mus musculus OX=10090 GN=Gab2 PE=1 SV=2</t>
  </si>
  <si>
    <t>Potassium channel subfamily K member 3 OS=Mus musculus OX=10090 GN=Kcnk3 PE=1 SV=2</t>
  </si>
  <si>
    <t>Kinesin light chain 2 OS=Mus musculus OX=10090 GN=Klc2 PE=1 SV=1</t>
  </si>
  <si>
    <t>WD repeat-containing protein 26 OS=Mus musculus OX=10090 GN=Wdr26 PE=1 SV=3</t>
  </si>
  <si>
    <t>3-oxoacyl-[acyl-carrier-protein] reductase OS=Mus musculus OX=10090 GN=Cbr4 PE=1 SV=2</t>
  </si>
  <si>
    <t>Bifunctional UDP-N-acetylglucosamine 2-epimerase/N-acetylmannosamine kinase OS=Mus musculus OX=10090 GN=Gne PE=1 SV=1</t>
  </si>
  <si>
    <t>Glutamine amidotransferase-like class 1 domain-containing protein 3, mitochondrial OS=Mus musculus OX=10090 GN=Gatd3 PE=1 SV=1</t>
  </si>
  <si>
    <t>Ryanodine receptor 2 OS=Mus musculus OX=10090 GN=Ryr2 PE=1 SV=1</t>
  </si>
  <si>
    <t>Catechol O-methyltransferase OS=Mus musculus OX=10090 GN=Comt PE=1 SV=2</t>
  </si>
  <si>
    <t>Small ribosomal subunit protein eS12 OS=Mus musculus OX=10090 GN=Rps12 PE=1 SV=3</t>
  </si>
  <si>
    <t>D-beta-hydroxybutyrate dehydrogenase, mitochondrial OS=Mus musculus OX=10090 GN=Bdh1 PE=1 SV=2</t>
  </si>
  <si>
    <t>Nucleoside diphosphate-linked moiety X motif 6 OS=Mus musculus OX=10090 GN=Nudt6 PE=1 SV=1</t>
  </si>
  <si>
    <t>E3 ubiquitin-protein ligase NHLRC1 OS=Mus musculus OX=10090 GN=Nhlrc1 PE=2 SV=1</t>
  </si>
  <si>
    <t>Succinate--CoA ligase [ADP/GDP-forming] subunit alpha, mitochondrial OS=Mus musculus OX=10090 GN=Suclg1 PE=1 SV=4</t>
  </si>
  <si>
    <t>Cytochrome c, somatic OS=Mus musculus OX=10090 GN=Cycs PE=1 SV=2</t>
  </si>
  <si>
    <t>Kelch-like protein 40 OS=Mus musculus OX=10090 GN=Klhl40 PE=1 SV=1</t>
  </si>
  <si>
    <t>Oxysterol-binding protein-related protein 9 OS=Mus musculus OX=10090 GN=Osbpl9 PE=1 SV=1</t>
  </si>
  <si>
    <t>Solute carrier family 2, facilitated glucose transporter member 4 OS=Mus musculus OX=10090 GN=Slc2a4 PE=1 SV=3</t>
  </si>
  <si>
    <t>Sodium/potassium-transporting ATPase subunit alpha-1 OS=Mus musculus OX=10090 GN=Atp1a1 PE=1 SV=1</t>
  </si>
  <si>
    <t>Protein kinase C and casein kinase II substrate protein 3 OS=Mus musculus OX=10090 GN=Pacsin3 PE=1 SV=1</t>
  </si>
  <si>
    <t>Uncharacterized protein KIAA0930 homolog OS=Mus musculus OX=10090 PE=1 SV=2</t>
  </si>
  <si>
    <t>Protein-tyrosine kinase 2-beta OS=Mus musculus OX=10090 GN=Ptk2b PE=1 SV=2</t>
  </si>
  <si>
    <t>Protein S100-A11 OS=Mus musculus OX=10090 GN=S100a11 PE=1 SV=1</t>
  </si>
  <si>
    <t>Small ribosomal subunit protein uS9m OS=Mus musculus OX=10090 GN=Mrps9 PE=1 SV=3</t>
  </si>
  <si>
    <t>Ras GTPase-activating-like protein IQGAP1 OS=Mus musculus OX=10090 GN=Iqgap1 PE=1 SV=2</t>
  </si>
  <si>
    <t>Small ribosomal subunit protein mS29 OS=Mus musculus OX=10090 GN=Dap3 PE=1 SV=1</t>
  </si>
  <si>
    <t>Caveolae-associated protein 2 OS=Mus musculus OX=10090 GN=Cavin2 PE=1 SV=3</t>
  </si>
  <si>
    <t>2-oxoisovalerate dehydrogenase subunit beta, mitochondrial OS=Mus musculus OX=10090 GN=Bckdhb PE=1 SV=2</t>
  </si>
  <si>
    <t>Malonyl-CoA decarboxylase, mitochondrial OS=Mus musculus OX=10090 GN=Mlycd PE=1 SV=1</t>
  </si>
  <si>
    <t>Nicotinamide phosphoribosyltransferase OS=Mus musculus OX=10090 GN=Nampt PE=1 SV=1</t>
  </si>
  <si>
    <t>Phospholipid hydroperoxide glutathione peroxidase OS=Mus musculus OX=10090 GN=Gpx4 PE=1 SV=4</t>
  </si>
  <si>
    <t>Protein Smaug homolog 1 OS=Mus musculus OX=10090 GN=Samd4a PE=1 SV=2</t>
  </si>
  <si>
    <t>Prolow-density lipoprotein receptor-related protein 1 OS=Mus musculus OX=10090 GN=Lrp1 PE=1 SV=1</t>
  </si>
  <si>
    <t>Peroxiredoxin-4 OS=Mus musculus OX=10090 GN=Prdx4 PE=1 SV=1</t>
  </si>
  <si>
    <t>ATP synthase subunit a OS=Mus musculus OX=10090 GN=Mtatp6 PE=1 SV=1</t>
  </si>
  <si>
    <t>Tyrosine--tRNA ligase, mitochondrial OS=Mus musculus OX=10090 GN=Yars2 PE=1 SV=2</t>
  </si>
  <si>
    <t>Sideroflexin-3 OS=Mus musculus OX=10090 GN=Sfxn3 PE=1 SV=1</t>
  </si>
  <si>
    <t>Disco-interacting protein 2 homolog A OS=Mus musculus OX=10090 GN=Dip2a PE=1 SV=3</t>
  </si>
  <si>
    <t>Glutamine--fructose-6-phosphate aminotransferase [isomerizing] 1 OS=Mus musculus OX=10090 GN=Gfpt1 PE=1 SV=3</t>
  </si>
  <si>
    <t>Kinesin-1 heavy chain OS=Mus musculus OX=10090 GN=Kif5b PE=1 SV=3</t>
  </si>
  <si>
    <t>Splicing factor, proline- and glutamine-rich OS=Mus musculus OX=10090 GN=Sfpq PE=1 SV=1</t>
  </si>
  <si>
    <t>Dedicator of cytokinesis protein 11 OS=Mus musculus OX=10090 GN=Dock11 PE=1 SV=1</t>
  </si>
  <si>
    <t>Exocyst complex component 7 OS=Mus musculus OX=10090 GN=Exoc7 PE=1 SV=2</t>
  </si>
  <si>
    <t>Medium-chain specific acyl-CoA dehydrogenase, mitochondrial OS=Mus musculus OX=10090 GN=Acadm PE=1 SV=1</t>
  </si>
  <si>
    <t>Splicing factor 3B subunit 6 OS=Mus musculus OX=10090 GN=Sf3b6 PE=1 SV=1</t>
  </si>
  <si>
    <t>Nebulin-related-anchoring protein OS=Mus musculus OX=10090 GN=Nrap PE=1 SV=3</t>
  </si>
  <si>
    <t>DISP complex protein LRCH3 OS=Mus musculus OX=10090 GN=Lrch3 PE=1 SV=3</t>
  </si>
  <si>
    <t>Phosphoglucomutase-like protein 5 OS=Mus musculus OX=10090 GN=Pgm5 PE=1 SV=2</t>
  </si>
  <si>
    <t>5-oxoprolinase OS=Mus musculus OX=10090 GN=Oplah PE=1 SV=1</t>
  </si>
  <si>
    <t>5'-AMP-activated protein kinase subunit gamma-2 OS=Mus musculus OX=10090 GN=Prkag2 PE=1 SV=2</t>
  </si>
  <si>
    <t>Non-POU domain-containing octamer-binding protein OS=Mus musculus OX=10090 GN=Nono PE=1 SV=3</t>
  </si>
  <si>
    <t>Mitochondrial glutamate carrier 1 OS=Mus musculus OX=10090 GN=Slc25a22 PE=1 SV=1</t>
  </si>
  <si>
    <t>Mitochondrial glutamate carrier 2 OS=Mus musculus OX=10090 GN=Slc25a18 PE=1 SV=4</t>
  </si>
  <si>
    <t>Proline dehydrogenase 1, mitochondrial OS=Mus musculus OX=10090 GN=Prodh PE=1 SV=2</t>
  </si>
  <si>
    <t>Forkhead box protein O3 OS=Mus musculus OX=10090 GN=Foxo3 PE=1 SV=1</t>
  </si>
  <si>
    <t>Heterogeneous nuclear ribonucleoprotein U-like protein 2 OS=Mus musculus OX=10090 GN=Hnrnpul2 PE=1 SV=2</t>
  </si>
  <si>
    <t>Mitochondrial basic amino acids transporter OS=Mus musculus OX=10090 GN=Slc25a29 PE=1 SV=1</t>
  </si>
  <si>
    <t>Mitogen-activated protein kinase 1 OS=Mus musculus OX=10090 GN=Mapk1 PE=1 SV=3</t>
  </si>
  <si>
    <t>Serine/threonine-protein kinase DCLK1 OS=Mus musculus OX=10090 GN=Dclk1 PE=1 SV=1</t>
  </si>
  <si>
    <t>E3 ubiquitin-protein ligase NEDD4 OS=Mus musculus OX=10090 GN=Nedd4 PE=1 SV=3</t>
  </si>
  <si>
    <t>Sodium-dependent phosphate transporter 2 OS=Mus musculus OX=10090 GN=Slc20a2 PE=1 SV=2</t>
  </si>
  <si>
    <t>Steryl-sulfatase OS=Mus musculus OX=10090 GN=Sts PE=1 SV=1</t>
  </si>
  <si>
    <t>ATP synthase F(0) complex subunit B1, mitochondrial OS=Mus musculus OX=10090 GN=Atp5pb PE=1 SV=1</t>
  </si>
  <si>
    <t>ATPase family AAA domain-containing protein 3 OS=Mus musculus OX=10090 GN=Atad3 PE=1 SV=1</t>
  </si>
  <si>
    <t>High affinity cAMP-specific and IBMX-insensitive 3',5'-cyclic phosphodiesterase 8A OS=Mus musculus OX=10090 GN=Pde8a PE=1 SV=1</t>
  </si>
  <si>
    <t>Tyrosine-protein phosphatase non-receptor type 12 OS=Mus musculus OX=10090 GN=Ptpn12 PE=1 SV=3</t>
  </si>
  <si>
    <t>Scavenger receptor class F member 2 OS=Mus musculus OX=10090 GN=Scarf2 PE=1 SV=1</t>
  </si>
  <si>
    <t>Four and a half LIM domains protein 1 OS=Mus musculus OX=10090 GN=Fhl1 PE=1 SV=3</t>
  </si>
  <si>
    <t>SH3 and multiple ankyrin repeat domains protein 3 OS=Mus musculus OX=10090 GN=Shank3 PE=1 SV=3</t>
  </si>
  <si>
    <t>CST complex subunit CTC1 OS=Mus musculus OX=10090 GN=Ctc1 PE=1 SV=2</t>
  </si>
  <si>
    <t>Growth arrest-specific protein 7 OS=Mus musculus OX=10090 GN=Gas7 PE=1 SV=1</t>
  </si>
  <si>
    <t>Beta-2-syntrophin OS=Mus musculus OX=10090 GN=Sntb2 PE=1 SV=2</t>
  </si>
  <si>
    <t>Dual specificity protein phosphatase 23 OS=Mus musculus OX=10090 GN=Dusp23 PE=1 SV=1</t>
  </si>
  <si>
    <t>Kynurenine--oxoglutarate transaminase 3 OS=Mus musculus OX=10090 GN=Kyat3 PE=1 SV=1</t>
  </si>
  <si>
    <t>Trans-2,3-enoyl-CoA reductase-like OS=Mus musculus OX=10090 GN=Tecrl PE=1 SV=1</t>
  </si>
  <si>
    <t>D-glutamate cyclase, mitochondrial OS=Mus musculus OX=10090 GN=Dglucy PE=1 SV=1</t>
  </si>
  <si>
    <t>Citrate synthase, mitochondrial OS=Mus musculus OX=10090 GN=Cs PE=1 SV=1</t>
  </si>
  <si>
    <t>Isocitrate dehydrogenase [NAD] subunit alpha, mitochondrial OS=Mus musculus OX=10090 GN=Idh3a PE=1 SV=1</t>
  </si>
  <si>
    <t>Glucose-induced degradation protein 8 homolog OS=Mus musculus OX=10090 GN=Gid8 PE=1 SV=1</t>
  </si>
  <si>
    <t>E3 ubiquitin-protein ligase Midline-1 OS=Mus musculus OX=10090 GN=Mid1 PE=1 SV=2</t>
  </si>
  <si>
    <t>GTPase KRas OS=Mus musculus OX=10090 GN=Kras PE=1 SV=1</t>
  </si>
  <si>
    <t>Platelet-activating factor acetylhydrolase IB subunit beta OS=Mus musculus OX=10090 GN=Pafah1b1 PE=1 SV=2</t>
  </si>
  <si>
    <t>2,4-dienoyl-CoA reductase [(3E)-enoyl-CoA-producing], mitochondrial OS=Mus musculus OX=10090 GN=Decr1 PE=1 SV=1</t>
  </si>
  <si>
    <t>Small ribosomal subunit protein eS7 OS=Mus musculus OX=10090 GN=Rps7 PE=1 SV=1</t>
  </si>
  <si>
    <t>5'-AMP-activated protein kinase catalytic subunit alpha-1 OS=Mus musculus OX=10090 GN=Prkaa1 PE=1 SV=2</t>
  </si>
  <si>
    <t>Small ribosomal subunit protein uS15m OS=Mus musculus OX=10090 GN=Mrps15 PE=1 SV=2</t>
  </si>
  <si>
    <t>Small ribosomal subunit protein uS17 OS=Mus musculus OX=10090 GN=Rps11 PE=1 SV=3</t>
  </si>
  <si>
    <t>Mitogen-activated protein kinase 3 OS=Mus musculus OX=10090 GN=Mapk3 PE=1 SV=5</t>
  </si>
  <si>
    <t>Long-chain-fatty-acid--CoA ligase 1 OS=Mus musculus OX=10090 GN=Acsl1 PE=1 SV=2</t>
  </si>
  <si>
    <t>2-oxoisovalerate dehydrogenase subunit alpha, mitochondrial OS=Mus musculus OX=10090 GN=Bckdha PE=1 SV=1</t>
  </si>
  <si>
    <t>Nuclear envelope pore membrane protein POM 121 OS=Mus musculus OX=10090 GN=Pom121 PE=1 SV=2</t>
  </si>
  <si>
    <t>26S proteasome regulatory subunit 10B OS=Mus musculus OX=10090 GN=Psmc6 PE=1 SV=1</t>
  </si>
  <si>
    <t>Splicing factor 1 OS=Mus musculus OX=10090 GN=Sf1 PE=1 SV=6</t>
  </si>
  <si>
    <t>Serine/arginine-rich splicing factor 9 OS=Mus musculus OX=10090 GN=Srsf9 PE=1 SV=1</t>
  </si>
  <si>
    <t>Large ribosomal subunit protein uL14 OS=Mus musculus OX=10090 GN=Rpl23 PE=1 SV=1</t>
  </si>
  <si>
    <t>Echinoderm microtubule-associated protein-like 3 OS=Mus musculus OX=10090 GN=Eml3 PE=1 SV=1</t>
  </si>
  <si>
    <t>Succinate dehydrogenase [ubiquinone] cytochrome b small subunit, mitochondrial OS=Mus musculus OX=10090 GN=Sdhd PE=1 SV=2</t>
  </si>
  <si>
    <t>Tight junction-associated protein 1 OS=Mus musculus OX=10090 GN=Tjap1 PE=1 SV=2</t>
  </si>
  <si>
    <t>Guanine nucleotide-binding protein G(i) subunit alpha-2 OS=Mus musculus OX=10090 GN=Gnai2 PE=1 SV=5</t>
  </si>
  <si>
    <t>Small ribosomal subunit protein uS7m OS=Mus musculus OX=10090 GN=Mrps7 PE=1 SV=1</t>
  </si>
  <si>
    <t>Fat storage-inducing transmembrane protein 1 OS=Mus musculus OX=10090 GN=Fitm1 PE=1 SV=1</t>
  </si>
  <si>
    <t>Persulfide dioxygenase ETHE1, mitochondrial OS=Mus musculus OX=10090 GN=Ethe1 PE=1 SV=2</t>
  </si>
  <si>
    <t>[Pyruvate dehydrogenase (acetyl-transferring)] kinase isozyme 2, mitochondrial OS=Mus musculus OX=10090 GN=Pdk2 PE=1 SV=2</t>
  </si>
  <si>
    <t>Creatine kinase S-type, mitochondrial OS=Mus musculus OX=10090 GN=Ckmt2 PE=1 SV=1</t>
  </si>
  <si>
    <t>Cysteine desulfurase OS=Mus musculus OX=10090 GN=Nfs1 PE=1 SV=3</t>
  </si>
  <si>
    <t>Glycerol-3-phosphate acyltransferase 1, mitochondrial OS=Mus musculus OX=10090 GN=Gpam PE=1 SV=2</t>
  </si>
  <si>
    <t>V-type proton ATPase subunit H OS=Mus musculus OX=10090 GN=Atp6v1h PE=1 SV=1</t>
  </si>
  <si>
    <t>CAD protein OS=Mus musculus OX=10090 GN=Cad PE=1 SV=1</t>
  </si>
  <si>
    <t>Complement component 1 Q subcomponent-binding protein, mitochondrial OS=Mus musculus OX=10090 GN=C1qbp PE=1 SV=1</t>
  </si>
  <si>
    <t>Lipoamide acyltransferase component of branched-chain alpha-keto acid dehydrogenase complex, mitochondrial OS=Mus musculus OX=10090 GN=Dbt PE=1 SV=2</t>
  </si>
  <si>
    <t>Ras-related protein Rab-8A OS=Mus musculus OX=10090 GN=Rab8a PE=1 SV=2</t>
  </si>
  <si>
    <t>Adhesion G protein-coupled receptor L2 OS=Mus musculus OX=10090 GN=Adgrl2 PE=1 SV=3</t>
  </si>
  <si>
    <t>Long-chain-fatty-acid--CoA ligase 6 OS=Mus musculus OX=10090 GN=Acsl6 PE=1 SV=1</t>
  </si>
  <si>
    <t>SEC23-interacting protein OS=Mus musculus OX=10090 GN=Sec23ip PE=1 SV=2</t>
  </si>
  <si>
    <t>Protein S100-A10 OS=Mus musculus OX=10090 GN=S100a10 PE=1 SV=2</t>
  </si>
  <si>
    <t>Large ribosomal subunit protein uL5 OS=Mus musculus OX=10090 GN=Rpl11 PE=1 SV=4</t>
  </si>
  <si>
    <t>Exocyst complex component 4 OS=Mus musculus OX=10090 GN=Exoc4 PE=1 SV=2</t>
  </si>
  <si>
    <t>Prelamin-A/C OS=Mus musculus OX=10090 GN=Lmna PE=1 SV=2</t>
  </si>
  <si>
    <t>Electron transfer flavoprotein-ubiquinone oxidoreductase, mitochondrial OS=Mus musculus OX=10090 GN=Etfdh PE=1 SV=1</t>
  </si>
  <si>
    <t>Protein phosphatase 1 regulatory subunit 3A OS=Mus musculus OX=10090 GN=Ppp1r3a PE=1 SV=2</t>
  </si>
  <si>
    <t>Fibronectin type III domain-containing protein 3B OS=Mus musculus OX=10090 GN=Fndc3b PE=1 SV=1</t>
  </si>
  <si>
    <t>Annexin A1 OS=Mus musculus OX=10090 GN=Anxa1 PE=1 SV=2</t>
  </si>
  <si>
    <t>Guanine nucleotide-binding protein G(I)/G(S)/G(T) subunit beta-1 OS=Mus musculus OX=10090 GN=Gnb1 PE=1 SV=3</t>
  </si>
  <si>
    <t>Mapk-regulated corepressor-interacting protein 1 OS=Mus musculus OX=10090 GN=Mcrip1 PE=1 SV=1</t>
  </si>
  <si>
    <t>3-hydroxyisobutyrate dehydrogenase, mitochondrial OS=Mus musculus OX=10090 GN=Hibadh PE=1 SV=1</t>
  </si>
  <si>
    <t>C-type mannose receptor 2 OS=Mus musculus OX=10090 GN=Mrc2 PE=1 SV=3</t>
  </si>
  <si>
    <t>Inositol hexakisphosphate and diphosphoinositol-pentakisphosphate kinase 2 OS=Mus musculus OX=10090 GN=Ppip5k2 PE=1 SV=3</t>
  </si>
  <si>
    <t>Dedicator of cytokinesis protein 7 OS=Mus musculus OX=10090 GN=Dock7 PE=1 SV=3</t>
  </si>
  <si>
    <t>Mitochondrial import inner membrane translocase subunit TIM44 OS=Mus musculus OX=10090 GN=Timm44 PE=1 SV=2</t>
  </si>
  <si>
    <t>Small ribosomal subunit protein eS17 OS=Mus musculus OX=10090 GN=Rps17 PE=1 SV=2</t>
  </si>
  <si>
    <t>Blood vessel epicardial substance OS=Mus musculus OX=10090 GN=Bves PE=1 SV=1</t>
  </si>
  <si>
    <t>Cysteine and glycine-rich protein 2 OS=Mus musculus OX=10090 GN=Csrp2 PE=1 SV=3</t>
  </si>
  <si>
    <t>Carbonic anhydrase 14 OS=Mus musculus OX=10090 GN=Ca14 PE=1 SV=1</t>
  </si>
  <si>
    <t>Electron transfer flavoprotein subunit alpha, mitochondrial OS=Mus musculus OX=10090 GN=Etfa PE=1 SV=2</t>
  </si>
  <si>
    <t>Acetyl-CoA carboxylase 2 OS=Mus musculus OX=10090 GN=Acacb PE=1 SV=1</t>
  </si>
  <si>
    <t>F-actin-capping protein subunit beta OS=Mus musculus OX=10090 GN=Capzb PE=1 SV=3</t>
  </si>
  <si>
    <t>ATP-sensitive inward rectifier potassium channel 11 OS=Mus musculus OX=10090 GN=Kcnj11 PE=1 SV=1</t>
  </si>
  <si>
    <t>Band 4.1-like protein 2 OS=Mus musculus OX=10090 GN=Epb41l2 PE=1 SV=2</t>
  </si>
  <si>
    <t>Cytochrome P450 4B1 OS=Mus musculus OX=10090 GN=Cyp4b1 PE=1 SV=1</t>
  </si>
  <si>
    <t>Caveolae-associated protein 1 OS=Mus musculus OX=10090 GN=Cavin1 PE=1 SV=1</t>
  </si>
  <si>
    <t>ATP synthase subunit f, mitochondrial OS=Mus musculus OX=10090 GN=Atp5mf PE=1 SV=3</t>
  </si>
  <si>
    <t>Small nuclear ribonucleoprotein Sm D3 OS=Mus musculus OX=10090 GN=Snrpd3 PE=1 SV=1</t>
  </si>
  <si>
    <t>Succinate dehydrogenase [ubiquinone] flavoprotein subunit, mitochondrial OS=Mus musculus OX=10090 GN=Sdha PE=1 SV=1</t>
  </si>
  <si>
    <t>Protein ABHD1 OS=Mus musculus OX=10090 GN=Abhd1 PE=1 SV=2</t>
  </si>
  <si>
    <t>Ras-related protein Rab-5C OS=Mus musculus OX=10090 GN=Rab5c PE=1 SV=2</t>
  </si>
  <si>
    <t>Guanine nucleotide exchange factor for Rab-3A OS=Mus musculus OX=10090 GN=Rab3il1 PE=1 SV=1</t>
  </si>
  <si>
    <t>Succinate--CoA ligase [ADP-forming] subunit beta, mitochondrial OS=Mus musculus OX=10090 GN=Sucla2 PE=1 SV=2</t>
  </si>
  <si>
    <t>DnaJ homolog subfamily C member 28 OS=Mus musculus OX=10090 GN=Dnajc28 PE=1 SV=2</t>
  </si>
  <si>
    <t>Mitochondrial tRNA-specific 2-thiouridylase 1 OS=Mus musculus OX=10090 GN=Trmu PE=1 SV=1</t>
  </si>
  <si>
    <t>F-actin-capping protein subunit alpha-1 OS=Mus musculus OX=10090 GN=Capza1 PE=1 SV=4</t>
  </si>
  <si>
    <t>Acyl-CoA dehydrogenase family member 11 OS=Mus musculus OX=10090 GN=Acad11 PE=1 SV=2</t>
  </si>
  <si>
    <t>Junctophilin-1 OS=Mus musculus OX=10090 GN=Jph1 PE=1 SV=1</t>
  </si>
  <si>
    <t>Prostaglandin reductase-3 OS=Mus musculus OX=10090 GN=Ptgr3 PE=1 SV=1</t>
  </si>
  <si>
    <t>Biglycan OS=Mus musculus OX=10090 GN=Bgn PE=1 SV=1</t>
  </si>
  <si>
    <t>CDGSH iron-sulfur domain-containing protein 1 OS=Mus musculus OX=10090 GN=Cisd1 PE=1 SV=1</t>
  </si>
  <si>
    <t>Armadillo repeat-containing protein 10 OS=Mus musculus OX=10090 GN=Armc10 PE=1 SV=1</t>
  </si>
  <si>
    <t>Cytochrome b-c1 complex subunit 1, mitochondrial OS=Mus musculus OX=10090 GN=Uqcrc1 PE=1 SV=2</t>
  </si>
  <si>
    <t>ATP-dependent 6-phosphofructokinase, muscle type OS=Mus musculus OX=10090 GN=Pfkm PE=1 SV=3</t>
  </si>
  <si>
    <t>Myomesin-1 OS=Mus musculus OX=10090 GN=Myom1 PE=1 SV=2</t>
  </si>
  <si>
    <t>Epsin-2 OS=Mus musculus OX=10090 GN=Epn2 PE=1 SV=1</t>
  </si>
  <si>
    <t>GATOR complex protein MIOS OS=Mus musculus OX=10090 GN=Mios PE=1 SV=2</t>
  </si>
  <si>
    <t>Fumarylacetoacetate hydrolase domain-containing protein 2A OS=Mus musculus OX=10090 GN=Fahd2 PE=1 SV=1</t>
  </si>
  <si>
    <t>Sulfite oxidase, mitochondrial OS=Mus musculus OX=10090 GN=Suox PE=1 SV=2</t>
  </si>
  <si>
    <t>Glycogen phosphorylase, brain form OS=Mus musculus OX=10090 GN=Pygb PE=1 SV=3</t>
  </si>
  <si>
    <t>Trimeric intracellular cation channel type A OS=Mus musculus OX=10090 GN=Tmem38a PE=1 SV=2</t>
  </si>
  <si>
    <t>Glycogenin-1 OS=Mus musculus OX=10090 GN=Gyg1 PE=1 SV=3</t>
  </si>
  <si>
    <t>Methylcrotonoyl-CoA carboxylase subunit alpha, mitochondrial OS=Mus musculus OX=10090 GN=Mccc1 PE=1 SV=2</t>
  </si>
  <si>
    <t>Prostamide/prostaglandin F synthase OS=Mus musculus OX=10090 GN=Prxl2b PE=1 SV=1</t>
  </si>
  <si>
    <t>Filamin A-interacting protein 1-like OS=Mus musculus OX=10090 GN=Filip1l PE=1 SV=2</t>
  </si>
  <si>
    <t>Small ribosomal subunit protein mS35 OS=Mus musculus OX=10090 GN=Mrps35 PE=1 SV=2</t>
  </si>
  <si>
    <t>Methylmalonic aciduria type A homolog, mitochondrial OS=Mus musculus OX=10090 GN=Mmaa PE=1 SV=1</t>
  </si>
  <si>
    <t>Coatomer subunit alpha OS=Mus musculus OX=10090 GN=Copa PE=1 SV=2</t>
  </si>
  <si>
    <t>ATP-binding cassette sub-family C member 9 OS=Mus musculus OX=10090 GN=Abcc9 PE=1 SV=2</t>
  </si>
  <si>
    <t>ARF GTPase-activating protein GIT2 OS=Mus musculus OX=10090 GN=Git2 PE=1 SV=2</t>
  </si>
  <si>
    <t>Engulfment and cell motility protein 1 OS=Mus musculus OX=10090 GN=Elmo1 PE=1 SV=2</t>
  </si>
  <si>
    <t>DCC-interacting protein 13-alpha OS=Mus musculus OX=10090 GN=Appl1 PE=1 SV=1</t>
  </si>
  <si>
    <t>Kinesin light chain 4 OS=Mus musculus OX=10090 GN=Klc4 PE=1 SV=1</t>
  </si>
  <si>
    <t>Peripheral plasma membrane protein CASK OS=Mus musculus OX=10090 GN=Cask PE=1 SV=2</t>
  </si>
  <si>
    <t>Legumain OS=Mus musculus OX=10090 GN=Lgmn PE=1 SV=1</t>
  </si>
  <si>
    <t>Ferritin light chain 1 OS=Mus musculus OX=10090 GN=Ftl1 PE=1 SV=2</t>
  </si>
  <si>
    <t>Ferritin light chain 2 OS=Mus musculus OX=10090 GN=Ftl2 PE=3 SV=2</t>
  </si>
  <si>
    <t>Acyl-coenzyme A thioesterase 10, mitochondrial OS=Mus musculus OX=10090 GN=Acot10 PE=2 SV=1</t>
  </si>
  <si>
    <t>DmX-like protein 1 OS=Mus musculus OX=10090 GN=Dmxl1 PE=1 SV=1</t>
  </si>
  <si>
    <t>DnaJ homolog subfamily C member 16 OS=Mus musculus OX=10090 GN=Dnajc16 PE=1 SV=2</t>
  </si>
  <si>
    <t>EH domain-binding protein 1-like protein 1 OS=Mus musculus OX=10090 GN=Ehbp1l1 PE=1 SV=1</t>
  </si>
  <si>
    <t>Vacuolar protein sorting-associated protein 33A OS=Mus musculus OX=10090 GN=Vps33a PE=1 SV=2</t>
  </si>
  <si>
    <t>Acyl-coenzyme A thioesterase 9, mitochondrial OS=Mus musculus OX=10090 GN=Acot9 PE=1 SV=1</t>
  </si>
  <si>
    <t>Dihydropyrimidinase-related protein 4 OS=Mus musculus OX=10090 GN=Dpysl4 PE=1 SV=1</t>
  </si>
  <si>
    <t>Succinate dehydrogenase [ubiquinone] iron-sulfur subunit, mitochondrial OS=Mus musculus OX=10090 GN=Sdhb PE=1 SV=1</t>
  </si>
  <si>
    <t>Pyruvate kinase PKM OS=Mus musculus OX=10090 GN=Pkm PE=1 SV=4</t>
  </si>
  <si>
    <t>Small ribosomal subunit protein mS31 OS=Mus musculus OX=10090 GN=Mrps31 PE=1 SV=1</t>
  </si>
  <si>
    <t>Vimentin-type intermediate filament-associated coiled-coil protein OS=Mus musculus OX=10090 GN=Vmac PE=1 SV=1</t>
  </si>
  <si>
    <t>Large ribosomal subunit protein mL50 OS=Mus musculus OX=10090 GN=Mrpl50 PE=1 SV=2</t>
  </si>
  <si>
    <t>Heterogeneous nuclear ribonucleoprotein K OS=Mus musculus OX=10090 GN=Hnrnpk PE=1 SV=1</t>
  </si>
  <si>
    <t>Nck-associated protein 1 OS=Mus musculus OX=10090 GN=Nckap1 PE=1 SV=2</t>
  </si>
  <si>
    <t>Mitochondrial pyruvate carrier 1 OS=Mus musculus OX=10090 GN=Mpc1 PE=1 SV=1</t>
  </si>
  <si>
    <t>26S proteasome regulatory subunit 4 OS=Mus musculus OX=10090 GN=Psmc1 PE=1 SV=1</t>
  </si>
  <si>
    <t>Prolargin OS=Mus musculus OX=10090 GN=Prelp PE=1 SV=2</t>
  </si>
  <si>
    <t>Cerebellar degeneration-related protein 2-like OS=Mus musculus OX=10090 GN=Cdr2l PE=1 SV=1</t>
  </si>
  <si>
    <t>Argininosuccinate synthase OS=Mus musculus OX=10090 GN=Ass1 PE=1 SV=1</t>
  </si>
  <si>
    <t>Cytosolic 5'-nucleotidase 1A OS=Mus musculus OX=10090 GN=Nt5c1a PE=1 SV=1</t>
  </si>
  <si>
    <t>Heterogeneous nuclear ribonucleoprotein M OS=Mus musculus OX=10090 GN=Hnrnpm PE=1 SV=3</t>
  </si>
  <si>
    <t>Phosphoribosyl pyrophosphate synthase-associated protein 1 OS=Mus musculus OX=10090 GN=Prpsap1 PE=1 SV=1</t>
  </si>
  <si>
    <t>Uridine-cytidine kinase 1 OS=Mus musculus OX=10090 GN=Uck1 PE=1 SV=2</t>
  </si>
  <si>
    <t>DnaJ homolog subfamily B member 11 OS=Mus musculus OX=10090 GN=Dnajb11 PE=1 SV=1</t>
  </si>
  <si>
    <t>Actin-binding protein WASF2 OS=Mus musculus OX=10090 GN=Wasf2 PE=1 SV=1</t>
  </si>
  <si>
    <t>Extracellular sulfatase Sulf-2 OS=Mus musculus OX=10090 GN=Sulf2 PE=1 SV=2</t>
  </si>
  <si>
    <t>NADH dehydrogenase (ubiquinone) complex I, assembly factor 6 OS=Mus musculus OX=10090 GN=Ndufaf6 PE=1 SV=1</t>
  </si>
  <si>
    <t>Isocitrate dehydrogenase [NAD] subunit gamma 1, mitochondrial OS=Mus musculus OX=10090 GN=Idh3g PE=1 SV=1</t>
  </si>
  <si>
    <t>Rho-related GTP-binding protein RhoG OS=Mus musculus OX=10090 GN=Rhog PE=1 SV=1</t>
  </si>
  <si>
    <t>Atypical kinase COQ8A, mitochondrial OS=Mus musculus OX=10090 GN=Coq8a PE=1 SV=2</t>
  </si>
  <si>
    <t>Large ribosomal subunit protein uL10 OS=Mus musculus OX=10090 GN=Rplp0 PE=1 SV=3</t>
  </si>
  <si>
    <t>Splicing factor 3A subunit 3 OS=Mus musculus OX=10090 GN=Sf3a3 PE=1 SV=2</t>
  </si>
  <si>
    <t>Coatomer subunit epsilon OS=Mus musculus OX=10090 GN=Cope PE=1 SV=3</t>
  </si>
  <si>
    <t>Collagen alpha-1(XVIII) chain OS=Mus musculus OX=10090 GN=Col18a1 PE=1 SV=4</t>
  </si>
  <si>
    <t>Protein S100-A1 OS=Mus musculus OX=10090 GN=S100a1 PE=1 SV=2</t>
  </si>
  <si>
    <t>Protein SERAC1 OS=Mus musculus OX=10090 GN=Serac1 PE=2 SV=1</t>
  </si>
  <si>
    <t>Peroxisomal ATPase PEX1 OS=Mus musculus OX=10090 GN=Pex1 PE=1 SV=2</t>
  </si>
  <si>
    <t>ATP synthase subunit s, mitochondrial OS=Mus musculus OX=10090 GN=Dmac2l PE=1 SV=1</t>
  </si>
  <si>
    <t>Methionine-R-sulfoxide reductase B2, mitochondrial OS=Mus musculus OX=10090 GN=Msrb2 PE=1 SV=1</t>
  </si>
  <si>
    <t>Dedicator of cytokinesis protein 2 OS=Mus musculus OX=10090 GN=Dock2 PE=1 SV=3</t>
  </si>
  <si>
    <t>AMP deaminase 2 OS=Mus musculus OX=10090 GN=Ampd2 PE=1 SV=2</t>
  </si>
  <si>
    <t>ATP-dependent RNA helicase DHX15 OS=Mus musculus OX=10090 GN=Dhx15 PE=1 SV=2</t>
  </si>
  <si>
    <t>Small ribosomal subunit protein uS3 OS=Mus musculus OX=10090 GN=Rps3 PE=1 SV=1</t>
  </si>
  <si>
    <t>G-protein-signaling modulator 3 OS=Mus musculus OX=10090 GN=Gpsm3 PE=1 SV=2</t>
  </si>
  <si>
    <t>Annexin A2 OS=Mus musculus OX=10090 GN=Anxa2 PE=1 SV=2</t>
  </si>
  <si>
    <t>RNA polymerase II subunit A C-terminal domain phosphatase OS=Mus musculus OX=10090 GN=Ctdp1 PE=1 SV=1</t>
  </si>
  <si>
    <t>Reticulocalbin-3 OS=Mus musculus OX=10090 GN=Rcn3 PE=1 SV=1</t>
  </si>
  <si>
    <t>Inorganic pyrophosphatase 2, mitochondrial OS=Mus musculus OX=10090 GN=Ppa2 PE=1 SV=1</t>
  </si>
  <si>
    <t>Iron-sulfur cluster assembly enzyme ISCU OS=Mus musculus OX=10090 GN=Iscu PE=1 SV=1</t>
  </si>
  <si>
    <t>LIM zinc-binding domain-containing Nebulette OS=Mus musculus OX=10090 GN=Nebl PE=1 SV=1</t>
  </si>
  <si>
    <t>C-terminal-binding protein 2 OS=Mus musculus OX=10090 GN=Ctbp2 PE=1 SV=2</t>
  </si>
  <si>
    <t>L-lactate dehydrogenase B chain OS=Mus musculus OX=10090 GN=Ldhb PE=1 SV=2</t>
  </si>
  <si>
    <t>Coiled-coil domain-containing protein 50 OS=Mus musculus OX=10090 GN=Ccdc50 PE=1 SV=1</t>
  </si>
  <si>
    <t>Rap1 GTPase-activating protein 2 OS=Mus musculus OX=10090 GN=Rap1gap2 PE=1 SV=1</t>
  </si>
  <si>
    <t>Alpha-2-macroglobulin receptor-associated protein OS=Mus musculus OX=10090 GN=Lrpap1 PE=1 SV=1</t>
  </si>
  <si>
    <t>Small ribosomal subunit protein uS11 OS=Mus musculus OX=10090 GN=Rps14 PE=1 SV=3</t>
  </si>
  <si>
    <t>Stabilin-1 OS=Mus musculus OX=10090 GN=Stab1 PE=1 SV=1</t>
  </si>
  <si>
    <t>Tetratricopeptide repeat protein 38 OS=Mus musculus OX=10090 GN=Ttc38 PE=1 SV=2</t>
  </si>
  <si>
    <t>Septin-2 OS=Mus musculus OX=10090 GN=Septin2 PE=1 SV=2</t>
  </si>
  <si>
    <t>Septin-7 OS=Mus musculus OX=10090 GN=Septin7 PE=1 SV=1</t>
  </si>
  <si>
    <t>26S proteasome regulatory subunit 6A OS=Mus musculus OX=10090 GN=Psmc3 PE=1 SV=2</t>
  </si>
  <si>
    <t>Mitochondrial Rho GTPase 1 OS=Mus musculus OX=10090 GN=Rhot1 PE=1 SV=1</t>
  </si>
  <si>
    <t>Hypoxanthine-guanine phosphoribosyltransferase OS=Mus musculus OX=10090 GN=Hprt1 PE=1 SV=3</t>
  </si>
  <si>
    <t>Superoxide dismutase [Mn], mitochondrial OS=Mus musculus OX=10090 GN=Sod2 PE=1 SV=3</t>
  </si>
  <si>
    <t>GTP-binding nuclear protein Ran OS=Mus musculus OX=10090 GN=Ran PE=1 SV=3</t>
  </si>
  <si>
    <t>ATP synthase-coupling factor 6, mitochondrial OS=Mus musculus OX=10090 GN=Atp5pf PE=1 SV=1</t>
  </si>
  <si>
    <t>Glutaryl-CoA dehydrogenase, mitochondrial OS=Mus musculus OX=10090 GN=Gcdh PE=1 SV=2</t>
  </si>
  <si>
    <t>Anaphase-promoting complex subunit 4 OS=Mus musculus OX=10090 GN=Anapc4 PE=1 SV=1</t>
  </si>
  <si>
    <t>Delta-1-pyrroline-5-carboxylate synthase OS=Mus musculus OX=10090 GN=Aldh18a1 PE=1 SV=2</t>
  </si>
  <si>
    <t>[3-methyl-2-oxobutanoate dehydrogenase [lipoamide]] kinase, mitochondrial OS=Mus musculus OX=10090 GN=Bckdk PE=1 SV=1</t>
  </si>
  <si>
    <t>PGC-1 and ERR-induced regulator in muscle protein 1 OS=Mus musculus OX=10090 GN=Perm1 PE=1 SV=2</t>
  </si>
  <si>
    <t>Rab3 GTPase-activating protein non-catalytic subunit OS=Mus musculus OX=10090 GN=Rab3gap2 PE=1 SV=2</t>
  </si>
  <si>
    <t>Atlastin-3 OS=Mus musculus OX=10090 GN=Atl3 PE=1 SV=1</t>
  </si>
  <si>
    <t>Cytochrome c oxidase assembly factor 8 OS=Mus musculus OX=10090 GN=Coa8 PE=1 SV=1</t>
  </si>
  <si>
    <t>5-demethoxyubiquinone hydroxylase, mitochondrial OS=Mus musculus OX=10090 GN=Coq7 PE=1 SV=3</t>
  </si>
  <si>
    <t>Son of sevenless homolog 1 OS=Mus musculus OX=10090 GN=Sos1 PE=1 SV=2</t>
  </si>
  <si>
    <t>Uridine-cytidine kinase-like 1 OS=Mus musculus OX=10090 GN=Uckl1 PE=1 SV=1</t>
  </si>
  <si>
    <t>BTB/POZ domain-containing adapter for CUL3-mediated RhoA degradation protein 3 OS=Mus musculus OX=10090 GN=Kctd10 PE=1 SV=1</t>
  </si>
  <si>
    <t>Caveolae-associated protein 4 OS=Mus musculus OX=10090 GN=Cavin4 PE=1 SV=1</t>
  </si>
  <si>
    <t>Lamin-B1 OS=Mus musculus OX=10090 GN=Lmnb1 PE=1 SV=3</t>
  </si>
  <si>
    <t>Insulin receptor substrate 1 OS=Mus musculus OX=10090 GN=Irs1 PE=1 SV=1</t>
  </si>
  <si>
    <t>Ankyrin repeat and SAM domain-containing protein 1A OS=Mus musculus OX=10090 GN=Anks1a PE=1 SV=3</t>
  </si>
  <si>
    <t>Small ribosomal subunit protein uS10 OS=Mus musculus OX=10090 GN=Rps20 PE=1 SV=1</t>
  </si>
  <si>
    <t>E3 ubiquitin-protein ligase BRE1A OS=Mus musculus OX=10090 GN=Rnf20 PE=1 SV=2</t>
  </si>
  <si>
    <t>Serine/threonine-protein kinase 4 OS=Mus musculus OX=10090 GN=Stk4 PE=1 SV=1</t>
  </si>
  <si>
    <t>Threonine--tRNA ligase, mitochondrial OS=Mus musculus OX=10090 GN=Tars2 PE=1 SV=1</t>
  </si>
  <si>
    <t>Protein wntless homolog OS=Mus musculus OX=10090 GN=Wls PE=1 SV=1</t>
  </si>
  <si>
    <t>Liprin-beta-1 OS=Mus musculus OX=10090 GN=Ppfibp1 PE=1 SV=3</t>
  </si>
  <si>
    <t>Vesicle-trafficking protein SEC22b OS=Mus musculus OX=10090 GN=Sec22b PE=1 SV=3</t>
  </si>
  <si>
    <t>Methanethiol oxidase OS=Mus musculus OX=10090 GN=Selenbp1 PE=1 SV=2</t>
  </si>
  <si>
    <t>Lipoma-preferred partner homolog OS=Mus musculus OX=10090 GN=Lpp PE=1 SV=1</t>
  </si>
  <si>
    <t>Thioredoxin-dependent peroxide reductase, mitochondrial OS=Mus musculus OX=10090 GN=Prdx3 PE=1 SV=1</t>
  </si>
  <si>
    <t>Asparagine--tRNA ligase, cytoplasmic OS=Mus musculus OX=10090 GN=NARS1 PE=1 SV=2</t>
  </si>
  <si>
    <t>Epsin-3 OS=Mus musculus OX=10090 GN=Epn3 PE=1 SV=1</t>
  </si>
  <si>
    <t>Phenylalanine--tRNA ligase, mitochondrial OS=Mus musculus OX=10090 GN=Fars2 PE=1 SV=1</t>
  </si>
  <si>
    <t>F-box-like/WD repeat-containing protein TBL1X OS=Mus musculus OX=10090 GN=Tbl1x PE=1 SV=2</t>
  </si>
  <si>
    <t>D-2-hydroxyglutarate dehydrogenase, mitochondrial OS=Mus musculus OX=10090 GN=D2hgdh PE=1 SV=3</t>
  </si>
  <si>
    <t>Flavin-containing monooxygenase 5 OS=Mus musculus OX=10090 GN=Fmo5 PE=1 SV=4</t>
  </si>
  <si>
    <t>Exocyst complex component 2 OS=Mus musculus OX=10090 GN=Exoc2 PE=1 SV=1</t>
  </si>
  <si>
    <t>Sarcoplasmic/endoplasmic reticulum calcium ATPase 3 OS=Mus musculus OX=10090 GN=Atp2a3 PE=1 SV=4</t>
  </si>
  <si>
    <t>Cofilin-1 OS=Mus musculus OX=10090 GN=Cfl1 PE=1 SV=3</t>
  </si>
  <si>
    <t>Small ribosomal subunit protein uS9 OS=Mus musculus OX=10090 GN=Rps16 PE=1 SV=4</t>
  </si>
  <si>
    <t>Splicing factor 3B subunit 3 OS=Mus musculus OX=10090 GN=Sf3b3 PE=1 SV=1</t>
  </si>
  <si>
    <t>Guanylate cyclase soluble subunit beta-1 OS=Mus musculus OX=10090 GN=Gucy1b1 PE=1 SV=1</t>
  </si>
  <si>
    <t>LIM domain and actin-binding protein 1 OS=Mus musculus OX=10090 GN=Lima1 PE=1 SV=3</t>
  </si>
  <si>
    <t>Trifunctional enzyme subunit beta, mitochondrial OS=Mus musculus OX=10090 GN=Hadhb PE=1 SV=1</t>
  </si>
  <si>
    <t>TNFAIP3-interacting protein 1 OS=Mus musculus OX=10090 GN=Tnip1 PE=1 SV=1</t>
  </si>
  <si>
    <t>Adenylosuccinate lyase OS=Mus musculus OX=10090 GN=Adsl PE=1 SV=2</t>
  </si>
  <si>
    <t>Coiled-coil domain-containing protein 69 OS=Mus musculus OX=10090 GN=Ccdc69 PE=1 SV=1</t>
  </si>
  <si>
    <t>Alanine aminotransferase 2 OS=Mus musculus OX=10090 GN=Gpt2 PE=1 SV=1</t>
  </si>
  <si>
    <t>Endoplasmic reticulum-Golgi intermediate compartment protein 2 OS=Mus musculus OX=10090 GN=Ergic2 PE=1 SV=1</t>
  </si>
  <si>
    <t>Dihydrolipoyllysine-residue succinyltransferase component of 2-oxoglutarate dehydrogenase complex, mitochondrial OS=Mus musculus OX=10090 GN=Dlst PE=1 SV=1</t>
  </si>
  <si>
    <t>DnaJ homolog subfamily C member 4 OS=Mus musculus OX=10090 GN=Dnajc4 PE=2 SV=2</t>
  </si>
  <si>
    <t>Isocitrate dehydrogenase [NADP], mitochondrial OS=Mus musculus OX=10090 GN=Idh2 PE=1 SV=3</t>
  </si>
  <si>
    <t>Glycerol-3-phosphate dehydrogenase 1-like protein OS=Mus musculus OX=10090 GN=Gpd1l PE=1 SV=2</t>
  </si>
  <si>
    <t>Mitochondrial fission regulator 1-like OS=Mus musculus OX=10090 GN=Mtfr1l PE=1 SV=1</t>
  </si>
  <si>
    <t>Clustered mitochondria protein homolog OS=Mus musculus OX=10090 GN=Cluh PE=1 SV=2</t>
  </si>
  <si>
    <t>Serine/threonine-protein phosphatase 2A 55 kDa regulatory subunit B alpha isoform OS=Mus musculus OX=10090 GN=Ppp2r2a PE=1 SV=1</t>
  </si>
  <si>
    <t>Extended synaptotagmin-1 OS=Mus musculus OX=10090 GN=Esyt1 PE=1 SV=2</t>
  </si>
  <si>
    <t>Transmembrane 9 superfamily member 3 OS=Mus musculus OX=10090 GN=Tm9sf3 PE=1 SV=1</t>
  </si>
  <si>
    <t>Sorting nexin-27 OS=Mus musculus OX=10090 GN=Snx27 PE=1 SV=2</t>
  </si>
  <si>
    <t>Cordon-bleu protein-like 1 OS=Mus musculus OX=10090 GN=Cobll1 PE=1 SV=2</t>
  </si>
  <si>
    <t>Transmembrane protein 223 OS=Mus musculus OX=10090 GN=Tmem223 PE=2 SV=1</t>
  </si>
  <si>
    <t>Corrinoid adenosyltransferase MMAB OS=Mus musculus OX=10090 GN=Mmab PE=1 SV=1</t>
  </si>
  <si>
    <t>Abl interactor 1 OS=Mus musculus OX=10090 GN=Abi1 PE=1 SV=3</t>
  </si>
  <si>
    <t>ADP-ribosylation factor 5 OS=Mus musculus OX=10090 GN=Arf5 PE=1 SV=2</t>
  </si>
  <si>
    <t>Cleavage and polyadenylation specificity factor subunit 7 OS=Mus musculus OX=10090 GN=Cpsf7 PE=1 SV=2</t>
  </si>
  <si>
    <t>Sarcoplasmic/endoplasmic reticulum calcium ATPase 2 OS=Mus musculus OX=10090 GN=Atp2a2 PE=1 SV=2</t>
  </si>
  <si>
    <t>Sarcalumenin OS=Mus musculus OX=10090 GN=Srl PE=1 SV=2</t>
  </si>
  <si>
    <t>(3R)-3-hydroxyacyl-CoA dehydrogenase OS=Mus musculus OX=10090 GN=Hsd17b8 PE=1 SV=2</t>
  </si>
  <si>
    <t>Protein transport protein Sec61 subunit alpha isoform 1 OS=Mus musculus OX=10090 GN=Sec61a1 PE=1 SV=2</t>
  </si>
  <si>
    <t>Protein NDRG2 OS=Mus musculus OX=10090 GN=Ndrg2 PE=1 SV=1</t>
  </si>
  <si>
    <t>Methyltransferase-like protein 17, mitochondrial OS=Mus musculus OX=10090 GN=Mettl17 PE=1 SV=2</t>
  </si>
  <si>
    <t>Endoplasmic reticulum chaperone BiP OS=Mus musculus OX=10090 GN=Hspa5 PE=1 SV=3</t>
  </si>
  <si>
    <t>Destrin OS=Mus musculus OX=10090 GN=Dstn PE=1 SV=3</t>
  </si>
  <si>
    <t>Fibronectin type-III domain-containing protein 3A OS=Mus musculus OX=10090 GN=Fndc3a PE=1 SV=3</t>
  </si>
  <si>
    <t>ATP synthase subunit beta, mitochondrial OS=Mus musculus OX=10090 GN=Atp5f1b PE=1 SV=2</t>
  </si>
  <si>
    <t>E3 ubiquitin-protein ligase MYCBP2 OS=Mus musculus OX=10090 GN=Mycbp2 PE=1 SV=3</t>
  </si>
  <si>
    <t>Oxysterol-binding protein-related protein 11 OS=Mus musculus OX=10090 GN=Osbpl11 PE=1 SV=2</t>
  </si>
  <si>
    <t>Acyl-coenzyme A thioesterase 13 OS=Mus musculus OX=10090 GN=Acot13 PE=1 SV=1</t>
  </si>
  <si>
    <t>Unconventional myosin-IXb OS=Mus musculus OX=10090 GN=Myo9b PE=1 SV=2</t>
  </si>
  <si>
    <t>AP-3 complex subunit beta-1 OS=Mus musculus OX=10090 GN=Ap3b1 PE=1 SV=2</t>
  </si>
  <si>
    <t>Large ribosomal subunit protein mL44 OS=Mus musculus OX=10090 GN=Mrpl44 PE=1 SV=3</t>
  </si>
  <si>
    <t>Cystatin-B OS=Mus musculus OX=10090 GN=Cstb PE=1 SV=1</t>
  </si>
  <si>
    <t>Large ribosomal subunit protein eL38 OS=Mus musculus OX=10090 GN=Rpl38 PE=1 SV=3</t>
  </si>
  <si>
    <t>Sphingosine kinase 2 OS=Mus musculus OX=10090 GN=Sphk2 PE=1 SV=2</t>
  </si>
  <si>
    <t>Obscurin OS=Mus musculus OX=10090 GN=Obscn PE=1 SV=3</t>
  </si>
  <si>
    <t>Cell division cycle protein 23 homolog OS=Mus musculus OX=10090 GN=Cdc23 PE=1 SV=2</t>
  </si>
  <si>
    <t>Large ribosomal subunit protein uL14m OS=Mus musculus OX=10090 GN=Mrpl14 PE=1 SV=1</t>
  </si>
  <si>
    <t>Trafficking protein particle complex subunit 3 OS=Mus musculus OX=10090 GN=Trappc3 PE=1 SV=1</t>
  </si>
  <si>
    <t>Trans-1,2-dihydrobenzene-1,2-diol dehydrogenase OS=Mus musculus OX=10090 GN=Dhdh PE=1 SV=1</t>
  </si>
  <si>
    <t>Protein SCO1 homolog, mitochondrial OS=Mus musculus OX=10090 GN=Sco1 PE=1 SV=1</t>
  </si>
  <si>
    <t>Numb-like protein OS=Mus musculus OX=10090 GN=Numbl PE=1 SV=3</t>
  </si>
  <si>
    <t>Neurofibromin OS=Mus musculus OX=10090 GN=Nf1 PE=1 SV=1</t>
  </si>
  <si>
    <t>Large ribosomal subunit protein uL29 OS=Mus musculus OX=10090 GN=Rpl35 PE=1 SV=1</t>
  </si>
  <si>
    <t>Mitochondrial import inner membrane translocase subunit Tim29 OS=Mus musculus OX=10090 GN=Timm29 PE=1 SV=1</t>
  </si>
  <si>
    <t>Dynactin subunit 2 OS=Mus musculus OX=10090 GN=Dctn2 PE=1 SV=3</t>
  </si>
  <si>
    <t>Multidrug resistance-associated protein 1 OS=Mus musculus OX=10090 GN=Abcc1 PE=1 SV=1</t>
  </si>
  <si>
    <t>Cyclin-dependent kinase 17 OS=Mus musculus OX=10090 GN=Cdk17 PE=1 SV=2</t>
  </si>
  <si>
    <t>V-type proton ATPase subunit D OS=Mus musculus OX=10090 GN=Atp6v1d PE=1 SV=1</t>
  </si>
  <si>
    <t>Acetyl-CoA acetyltransferase, mitochondrial OS=Mus musculus OX=10090 GN=Acat1 PE=1 SV=1</t>
  </si>
  <si>
    <t>KH domain-containing, RNA-binding, signal transduction-associated protein 1 OS=Mus musculus OX=10090 GN=Khdrbs1 PE=1 SV=2</t>
  </si>
  <si>
    <t>Uncharacterized protein FLJ45252 homolog OS=Mus musculus OX=10090 PE=1 SV=2</t>
  </si>
  <si>
    <t>Basement membrane-specific heparan sulfate proteoglycan core protein OS=Mus musculus OX=10090 GN=Hspg2 PE=1 SV=1</t>
  </si>
  <si>
    <t>Small nuclear ribonucleoprotein E OS=Mus musculus OX=10090 GN=Snrpe PE=1 SV=1</t>
  </si>
  <si>
    <t>AFG1-like ATPase OS=Mus musculus OX=10090 GN=Afg1l PE=1 SV=1</t>
  </si>
  <si>
    <t>WD repeat-containing protein 47 OS=Mus musculus OX=10090 GN=Wdr47 PE=1 SV=2</t>
  </si>
  <si>
    <t>Protein PBDC1 OS=Mus musculus OX=10090 GN=Pbdc1 PE=1 SV=1</t>
  </si>
  <si>
    <t>OTU domain-containing protein 4 OS=Mus musculus OX=10090 GN=Otud4 PE=1 SV=1</t>
  </si>
  <si>
    <t>Oxidoreductase NAD-binding domain-containing protein 1 OS=Mus musculus OX=10090 GN=Oxnad1 PE=1 SV=2</t>
  </si>
  <si>
    <t>ATP synthase subunit delta, mitochondrial OS=Mus musculus OX=10090 GN=Atp5f1d PE=1 SV=1</t>
  </si>
  <si>
    <t>Voltage-dependent L-type calcium channel subunit alpha-1C OS=Mus musculus OX=10090 GN=Cacna1c PE=1 SV=1</t>
  </si>
  <si>
    <t>Phosphorylase b kinase regulatory subunit beta OS=Mus musculus OX=10090 GN=Phkb PE=1 SV=1</t>
  </si>
  <si>
    <t>Translational activator of cytochrome c oxidase 1 OS=Mus musculus OX=10090 GN=Taco1 PE=1 SV=1</t>
  </si>
  <si>
    <t>Ras GTPase-activating-like protein IQGAP2 OS=Mus musculus OX=10090 GN=Iqgap2 PE=1 SV=2</t>
  </si>
  <si>
    <t>Tyrosine-protein kinase JAK1 OS=Mus musculus OX=10090 GN=Jak1 PE=1 SV=1</t>
  </si>
  <si>
    <t>Eukaryotic translation initiation factor 3 subunit A OS=Mus musculus OX=10090 GN=Eif3a PE=1 SV=5</t>
  </si>
  <si>
    <t>Profilin-2 OS=Mus musculus OX=10090 GN=Pfn2 PE=1 SV=3</t>
  </si>
  <si>
    <t>Microtubule-associated protein 1S OS=Mus musculus OX=10090 GN=Map1s PE=1 SV=2</t>
  </si>
  <si>
    <t>[Pyruvate dehydrogenase (acetyl-transferring)] kinase isozyme 4, mitochondrial OS=Mus musculus OX=10090 GN=Pdk4 PE=1 SV=1</t>
  </si>
  <si>
    <t>Four and a half LIM domains protein 2 OS=Mus musculus OX=10090 GN=Fhl2 PE=1 SV=1</t>
  </si>
  <si>
    <t>Dynamin-like 120 kDa protein, mitochondrial OS=Mus musculus OX=10090 GN=Opa1 PE=1 SV=1</t>
  </si>
  <si>
    <t>Serine/threonine-protein kinase B-raf OS=Mus musculus OX=10090 GN=Braf PE=1 SV=4</t>
  </si>
  <si>
    <t>Methylmalonate-semialdehyde dehydrogenase [acylating], mitochondrial OS=Mus musculus OX=10090 GN=Aldh6a1 PE=1 SV=1</t>
  </si>
  <si>
    <t>Small ribosomal subunit protein uS2 OS=Mus musculus OX=10090 GN=Rpsa PE=1 SV=4</t>
  </si>
  <si>
    <t>Plastin-3 OS=Mus musculus OX=10090 GN=Pls3 PE=1 SV=3</t>
  </si>
  <si>
    <t>ATP-binding cassette sub-family D member 3 OS=Mus musculus OX=10090 GN=Abcd3 PE=1 SV=2</t>
  </si>
  <si>
    <t>Quinone oxidoreductase-like protein 2 OS=Mus musculus OX=10090 GN=Cryzl2 PE=1 SV=1</t>
  </si>
  <si>
    <t>Ephrin-B3 OS=Mus musculus OX=10090 GN=Efnb3 PE=1 SV=1</t>
  </si>
  <si>
    <t>Perilipin-5 OS=Mus musculus OX=10090 GN=Plin5 PE=1 SV=1</t>
  </si>
  <si>
    <t>Dedicator of cytokinesis protein 1 OS=Mus musculus OX=10090 GN=Dock1 PE=1 SV=3</t>
  </si>
  <si>
    <t>Serine/threonine-protein kinase 10 OS=Mus musculus OX=10090 GN=Stk10 PE=1 SV=2</t>
  </si>
  <si>
    <t>Phosphatidylinositol 3,4,5-trisphosphate 5-phosphatase 2 OS=Mus musculus OX=10090 GN=Inppl1 PE=1 SV=1</t>
  </si>
  <si>
    <t>Multivesicular body subunit 12A OS=Mus musculus OX=10090 GN=Mvb12a PE=1 SV=1</t>
  </si>
  <si>
    <t>Dedicator of cytokinesis protein 8 OS=Mus musculus OX=10090 GN=Dock8 PE=1 SV=4</t>
  </si>
  <si>
    <t>Ran-binding protein 9 OS=Mus musculus OX=10090 GN=Ranbp9 PE=1 SV=1</t>
  </si>
  <si>
    <t>Trifunctional enzyme subunit alpha, mitochondrial OS=Mus musculus OX=10090 GN=Hadha PE=1 SV=1</t>
  </si>
  <si>
    <t>Succinate-semialdehyde dehydrogenase, mitochondrial OS=Mus musculus OX=10090 GN=Aldh5a1 PE=1 SV=1</t>
  </si>
  <si>
    <t>Amine oxidase [flavin-containing] A OS=Mus musculus OX=10090 GN=Maoa PE=1 SV=3</t>
  </si>
  <si>
    <t>Inosine-5'-monophosphate dehydrogenase 2 OS=Mus musculus OX=10090 GN=Impdh2 PE=1 SV=2</t>
  </si>
  <si>
    <t>Cytosolic acyl coenzyme A thioester hydrolase OS=Mus musculus OX=10090 GN=Acot7 PE=1 SV=2</t>
  </si>
  <si>
    <t>Tyrosine--tRNA ligase, cytoplasmic OS=Mus musculus OX=10090 GN=Yars1 PE=1 SV=3</t>
  </si>
  <si>
    <t>Two pore calcium channel protein 1 OS=Mus musculus OX=10090 GN=Tpcn1 PE=1 SV=1</t>
  </si>
  <si>
    <t>Bifunctional epoxide hydrolase 2 OS=Mus musculus OX=10090 GN=Ephx2 PE=1 SV=2</t>
  </si>
  <si>
    <t>Cytosolic carboxypeptidase 1 OS=Mus musculus OX=10090 GN=Agtpbp1 PE=1 SV=2</t>
  </si>
  <si>
    <t>Coatomer subunit beta' OS=Mus musculus OX=10090 GN=Copb2 PE=1 SV=2</t>
  </si>
  <si>
    <t>Large ribosomal subunit protein uL30 OS=Mus musculus OX=10090 GN=Rpl7 PE=1 SV=2</t>
  </si>
  <si>
    <t>ATP synthase subunit g, mitochondrial OS=Mus musculus OX=10090 GN=Atp5mg PE=1 SV=1</t>
  </si>
  <si>
    <t>Cytoplasmic dynein 1 light intermediate chain 1 OS=Mus musculus OX=10090 GN=Dync1li1 PE=1 SV=1</t>
  </si>
  <si>
    <t>Phosphatidate phosphatase LPIN1 OS=Mus musculus OX=10090 GN=Lpin1 PE=1 SV=1</t>
  </si>
  <si>
    <t>Tubulin beta-5 chain OS=Mus musculus OX=10090 GN=Tubb5 PE=1 SV=1</t>
  </si>
  <si>
    <t>ADP-ribosylation factor-like protein 2 OS=Mus musculus OX=10090 GN=Arl2 PE=1 SV=1</t>
  </si>
  <si>
    <t>Small ribosomal subunit protein eS26 OS=Mus musculus OX=10090 GN=Rps26 PE=1 SV=3</t>
  </si>
  <si>
    <t>GTP-binding nuclear protein Ran, testis-specific isoform OS=Mus musculus OX=10090 GN=Rasl2-9 PE=2 SV=1</t>
  </si>
  <si>
    <t>WW domain-containing adapter protein with coiled-coil OS=Mus musculus OX=10090 GN=Wac PE=1 SV=2</t>
  </si>
  <si>
    <t>Required for meiotic nuclear division protein 1 homolog OS=Mus musculus OX=10090 GN=Rmnd1 PE=1 SV=1</t>
  </si>
  <si>
    <t>Large ribosomal subunit protein eL30 OS=Mus musculus OX=10090 GN=Rpl30 PE=1 SV=2</t>
  </si>
  <si>
    <t>MAGUK p55 subfamily member 7 OS=Mus musculus OX=10090 GN=Mpp7 PE=1 SV=2</t>
  </si>
  <si>
    <t>Hydroxyacid-oxoacid transhydrogenase, mitochondrial OS=Mus musculus OX=10090 GN=Adhfe1 PE=1 SV=2</t>
  </si>
  <si>
    <t>Cytoplasmic FMR1-interacting protein 1 OS=Mus musculus OX=10090 GN=Cyfip1 PE=1 SV=1</t>
  </si>
  <si>
    <t>WD repeat-containing protein 91 OS=Mus musculus OX=10090 GN=Wdr91 PE=1 SV=1</t>
  </si>
  <si>
    <t>Small ribosomal subunit protein uS3m OS=Mus musculus OX=10090 GN=Mrps24 PE=1 SV=1</t>
  </si>
  <si>
    <t>Dihydrolipoyl dehydrogenase, mitochondrial OS=Mus musculus OX=10090 GN=Dld PE=1 SV=2</t>
  </si>
  <si>
    <t>Cathepsin B OS=Mus musculus OX=10090 GN=Ctsb PE=1 SV=2</t>
  </si>
  <si>
    <t>Protein prune homolog 2 OS=Mus musculus OX=10090 GN=Prune2 PE=1 SV=2</t>
  </si>
  <si>
    <t>Extended synaptotagmin-2 OS=Mus musculus OX=10090 GN=Esyt2 PE=1 SV=1</t>
  </si>
  <si>
    <t>Mitogen-activated protein kinase kinase kinase kinase 5 OS=Mus musculus OX=10090 GN=Map4k5 PE=1 SV=2</t>
  </si>
  <si>
    <t>Docking protein 3 OS=Mus musculus OX=10090 GN=Dok3 PE=1 SV=1</t>
  </si>
  <si>
    <t>Adenylate kinase isoenzyme 1 OS=Mus musculus OX=10090 GN=Ak1 PE=1 SV=1</t>
  </si>
  <si>
    <t>CREB-regulated transcription coactivator 2 OS=Mus musculus OX=10090 GN=Crtc2 PE=1 SV=2</t>
  </si>
  <si>
    <t>Elongator complex protein 1 OS=Mus musculus OX=10090 GN=Elp1 PE=1 SV=2</t>
  </si>
  <si>
    <t>Selenium-binding protein 2 OS=Mus musculus OX=10090 GN=Selenbp2 PE=1 SV=2</t>
  </si>
  <si>
    <t>Phosphoinositide 3-kinase regulatory subunit 4 OS=Mus musculus OX=10090 GN=Pik3r4 PE=1 SV=3</t>
  </si>
  <si>
    <t>Guanine nucleotide-binding protein G(o) subunit alpha OS=Mus musculus OX=10090 GN=Gnao1 PE=1 SV=3</t>
  </si>
  <si>
    <t>Ras-related protein Rab-5B OS=Mus musculus OX=10090 GN=Rab5b PE=1 SV=1</t>
  </si>
  <si>
    <t>ATP synthase membrane subunit K, mitochondrial OS=Mus musculus OX=10090 GN=Atp5mk PE=1 SV=1</t>
  </si>
  <si>
    <t>Small ribosomal subunit protein uS2m OS=Mus musculus OX=10090 GN=Mrps2 PE=1 SV=1</t>
  </si>
  <si>
    <t>E3 ubiquitin-protein ligase CHIP OS=Mus musculus OX=10090 GN=Stub1 PE=1 SV=1</t>
  </si>
  <si>
    <t>Probable cysteine--tRNA ligase, mitochondrial OS=Mus musculus OX=10090 GN=Cars2 PE=1 SV=2</t>
  </si>
  <si>
    <t>NAD(P) transhydrogenase, mitochondrial OS=Mus musculus OX=10090 GN=Nnt PE=1 SV=2</t>
  </si>
  <si>
    <t>Tensin-3 OS=Mus musculus OX=10090 GN=Tns3 PE=1 SV=1</t>
  </si>
  <si>
    <t>Ubiquitin carboxyl-terminal hydrolase 7 OS=Mus musculus OX=10090 GN=Usp7 PE=1 SV=1</t>
  </si>
  <si>
    <t>Transmembrane protein 143 OS=Mus musculus OX=10090 GN=Tmem143 PE=1 SV=1</t>
  </si>
  <si>
    <t>Neuron navigator 1 OS=Mus musculus OX=10090 GN=Nav1 PE=1 SV=2</t>
  </si>
  <si>
    <t>Probable D-lactate dehydrogenase, mitochondrial OS=Mus musculus OX=10090 GN=Ldhd PE=1 SV=1</t>
  </si>
  <si>
    <t>Large ribosomal subunit protein uL22m OS=Mus musculus OX=10090 GN=Mrpl22 PE=1 SV=1</t>
  </si>
  <si>
    <t>Phosphatidylserine synthase 1 OS=Mus musculus OX=10090 GN=Ptdss1 PE=1 SV=1</t>
  </si>
  <si>
    <t>ADP-ribosylhydrolase ARH1 OS=Mus musculus OX=10090 GN=Adprh PE=1 SV=1</t>
  </si>
  <si>
    <t>Probable glutamate--tRNA ligase, mitochondrial OS=Mus musculus OX=10090 GN=Ears2 PE=1 SV=1</t>
  </si>
  <si>
    <t>CTP synthase 1 OS=Mus musculus OX=10090 GN=Ctps1 PE=1 SV=2</t>
  </si>
  <si>
    <t>Mitochondrial proton/calcium exchanger protein OS=Mus musculus OX=10090 GN=Letm1 PE=1 SV=1</t>
  </si>
  <si>
    <t>Septin-8 OS=Mus musculus OX=10090 GN=Septin8 PE=1 SV=4</t>
  </si>
  <si>
    <t>Filamin-A-interacting protein 1 OS=Mus musculus OX=10090 GN=Filip1 PE=1 SV=3</t>
  </si>
  <si>
    <t>Cardiomyopathy-associated protein 5 OS=Mus musculus OX=10090 GN=Cmya5 PE=1 SV=2</t>
  </si>
  <si>
    <t>Elongation factor 2 OS=Mus musculus OX=10090 GN=Eef2 PE=1 SV=2</t>
  </si>
  <si>
    <t>Phosphorylase b kinase gamma catalytic chain, skeletal muscle/heart isoform OS=Mus musculus OX=10090 GN=Phkg1 PE=1 SV=3</t>
  </si>
  <si>
    <t>Phosphorylase b kinase regulatory subunit alpha, skeletal muscle isoform OS=Mus musculus OX=10090 GN=Phka1 PE=1 SV=3</t>
  </si>
  <si>
    <t>Stromal membrane-associated protein 2 OS=Mus musculus OX=10090 GN=Smap2 PE=1 SV=1</t>
  </si>
  <si>
    <t>Probable asparagine--tRNA ligase, mitochondrial OS=Mus musculus OX=10090 GN=Nars2 PE=1 SV=1</t>
  </si>
  <si>
    <t>Protein ERGIC-53 OS=Mus musculus OX=10090 GN=Lman1 PE=1 SV=1</t>
  </si>
  <si>
    <t>Prostaglandin E synthase 2 OS=Mus musculus OX=10090 GN=Ptges2 PE=1 SV=3</t>
  </si>
  <si>
    <t>Anion exchange protein 3 OS=Mus musculus OX=10090 GN=Slc4a3 PE=1 SV=2</t>
  </si>
  <si>
    <t>Oxysterol-binding protein-related protein 10 OS=Mus musculus OX=10090 GN=Osbpl10 PE=1 SV=1</t>
  </si>
  <si>
    <t>Small ribosomal subunit protein uS8 OS=Mus musculus OX=10090 GN=Rps15a PE=1 SV=2</t>
  </si>
  <si>
    <t>m-AAA protease-interacting protein 1, mitochondrial OS=Mus musculus OX=10090 GN=Maip1 PE=1 SV=1</t>
  </si>
  <si>
    <t>Propionyl-CoA carboxylase beta chain, mitochondrial OS=Mus musculus OX=10090 GN=Pccb PE=1 SV=2</t>
  </si>
  <si>
    <t>Mitochondrial inner membrane protease ATP23 homolog OS=Mus musculus OX=10090 GN=Atp23 PE=1 SV=1</t>
  </si>
  <si>
    <t>Negative elongation factor B OS=Mus musculus OX=10090 GN=Nelfb PE=1 SV=2</t>
  </si>
  <si>
    <t>Small ribosomal subunit protein eS10 OS=Mus musculus OX=10090 GN=Rps10 PE=1 SV=1</t>
  </si>
  <si>
    <t>Glutamine--fructose-6-phosphate aminotransferase [isomerizing] 2 OS=Mus musculus OX=10090 GN=Gfpt2 PE=1 SV=3</t>
  </si>
  <si>
    <t>NADH dehydrogenase [ubiquinone] 1 alpha subcomplex assembly factor 3 OS=Mus musculus OX=10090 GN=Ndufaf3 PE=1 SV=1</t>
  </si>
  <si>
    <t>Histone H1.0 OS=Mus musculus OX=10090 GN=H1-0 PE=2 SV=4</t>
  </si>
  <si>
    <t>Propionyl-CoA carboxylase alpha chain, mitochondrial OS=Mus musculus OX=10090 GN=Pcca PE=1 SV=2</t>
  </si>
  <si>
    <t>Elongation factor 1-alpha 1 OS=Mus musculus OX=10090 GN=Eef1a1 PE=1 SV=3</t>
  </si>
  <si>
    <t>Sodium/potassium-transporting ATPase subunit beta-1 OS=Mus musculus OX=10090 GN=Atp1b1 PE=1 SV=1</t>
  </si>
  <si>
    <t>ATP synthase subunit e, mitochondrial OS=Mus musculus OX=10090 GN=Atp5me PE=1 SV=2</t>
  </si>
  <si>
    <t>Nebulette OS=Mus musculus OX=10090 GN=Nebl PE=1 SV=1</t>
  </si>
  <si>
    <t>Serine--tRNA ligase, mitochondrial OS=Mus musculus OX=10090 GN=Sars2 PE=1 SV=2</t>
  </si>
  <si>
    <t>Latent-transforming growth factor beta-binding protein 4 OS=Mus musculus OX=10090 GN=Ltbp4 PE=1 SV=2</t>
  </si>
  <si>
    <t>GATOR1 complex protein NPRL3 OS=Mus musculus OX=10090 GN=Nprl3 PE=1 SV=1</t>
  </si>
  <si>
    <t>Arf-GAP with SH3 domain, ANK repeat and PH domain-containing protein 1 OS=Mus musculus OX=10090 GN=Asap1 PE=1 SV=2</t>
  </si>
  <si>
    <t>Rho guanine nucleotide exchange factor 6 OS=Mus musculus OX=10090 GN=Arhgef6 PE=1 SV=1</t>
  </si>
  <si>
    <t>Cytochrome c oxidase assembly protein COX20, mitochondrial OS=Mus musculus OX=10090 GN=Cox20 PE=1 SV=1</t>
  </si>
  <si>
    <t>Poly(rC)-binding protein 1 OS=Mus musculus OX=10090 GN=Pcbp1 PE=1 SV=1</t>
  </si>
  <si>
    <t>Macrophage mannose receptor 1 OS=Mus musculus OX=10090 GN=Mrc1 PE=1 SV=2</t>
  </si>
  <si>
    <t>Pleckstrin homology-like domain family A member 1 OS=Mus musculus OX=10090 GN=Phlda1 PE=1 SV=2</t>
  </si>
  <si>
    <t>Activator of 90 kDa heat shock protein ATPase homolog 1 OS=Mus musculus OX=10090 GN=Ahsa1 PE=1 SV=2</t>
  </si>
  <si>
    <t>Zinc transporter ZIP6 OS=Mus musculus OX=10090 GN=Slc39a6 PE=1 SV=1</t>
  </si>
  <si>
    <t>Phosphatidate phosphatase LPIN2 OS=Mus musculus OX=10090 GN=Lpin2 PE=1 SV=2</t>
  </si>
  <si>
    <t>Mitochondrial fission factor OS=Mus musculus OX=10090 GN=Mff PE=1 SV=1</t>
  </si>
  <si>
    <t>ARF GTPase-activating protein GIT1 OS=Mus musculus OX=10090 GN=Git1 PE=1 SV=1</t>
  </si>
  <si>
    <t>ATPase WRNIP1 OS=Mus musculus OX=10090 GN=Wrnip1 PE=1 SV=2</t>
  </si>
  <si>
    <t>Mitochondrial pyruvate carrier 2 OS=Mus musculus OX=10090 GN=Mpc2 PE=1 SV=1</t>
  </si>
  <si>
    <t>Cerebral cavernous malformations protein 2 homolog OS=Mus musculus OX=10090 GN=Ccm2 PE=1 SV=1</t>
  </si>
  <si>
    <t>Succinate dehydrogenase cytochrome b560 subunit, mitochondrial OS=Mus musculus OX=10090 GN=Sdhc PE=1 SV=1</t>
  </si>
  <si>
    <t>AP-2 complex subunit alpha-1 OS=Mus musculus OX=10090 GN=Ap2a1 PE=1 SV=1</t>
  </si>
  <si>
    <t>Synaptopodin-2 OS=Mus musculus OX=10090 GN=Synpo2 PE=1 SV=2</t>
  </si>
  <si>
    <t>Ras-related protein R-Ras OS=Mus musculus OX=10090 GN=Rras PE=1 SV=1</t>
  </si>
  <si>
    <t>Paraspeckle component 1 OS=Mus musculus OX=10090 GN=Pspc1 PE=1 SV=1</t>
  </si>
  <si>
    <t>Glucose-6-phosphate 1-dehydrogenase 2 OS=Mus musculus OX=10090 GN=G6pd2 PE=1 SV=3</t>
  </si>
  <si>
    <t>Leucine-rich repeat and calponin homology domain-containing protein 4 OS=Mus musculus OX=10090 GN=Lrch4 PE=1 SV=1</t>
  </si>
  <si>
    <t>Eukaryotic initiation factor 4A-III OS=Mus musculus OX=10090 GN=Eif4a3 PE=1 SV=3</t>
  </si>
  <si>
    <t>Small ribosomal subunit protein uS10m OS=Mus musculus OX=10090 GN=Mrps10 PE=1 SV=1</t>
  </si>
  <si>
    <t>Protein misato homolog 1 OS=Mus musculus OX=10090 GN=Msto1 PE=1 SV=1</t>
  </si>
  <si>
    <t>Golgin subfamily A member 3 OS=Mus musculus OX=10090 GN=Golga3 PE=1 SV=3</t>
  </si>
  <si>
    <t>Galactocerebrosidase OS=Mus musculus OX=10090 GN=Galc PE=1 SV=2</t>
  </si>
  <si>
    <t>Annexin A7 OS=Mus musculus OX=10090 GN=Anxa7 PE=1 SV=2</t>
  </si>
  <si>
    <t>Splicing factor 3B subunit 1 OS=Mus musculus OX=10090 GN=Sf3b1 PE=1 SV=1</t>
  </si>
  <si>
    <t>Protein phosphatase 1H OS=Mus musculus OX=10090 GN=Ppm1h PE=1 SV=1</t>
  </si>
  <si>
    <t>Malate dehydrogenase, mitochondrial OS=Mus musculus OX=10090 GN=Mdh2 PE=1 SV=3</t>
  </si>
  <si>
    <t>AP2-associated protein kinase 1 OS=Mus musculus OX=10090 GN=Aak1 PE=1 SV=2</t>
  </si>
  <si>
    <t>Uracil phosphoribosyltransferase homolog OS=Mus musculus OX=10090 GN=Uprt PE=1 SV=1</t>
  </si>
  <si>
    <t>Phosphatidylinositol 3,4,5-trisphosphate 5-phosphatase 1 OS=Mus musculus OX=10090 GN=Inpp5d PE=1 SV=2</t>
  </si>
  <si>
    <t>TAR DNA-binding protein 43 OS=Mus musculus OX=10090 GN=Tardbp PE=1 SV=1</t>
  </si>
  <si>
    <t>Serine/threonine-protein kinase MARK2 OS=Mus musculus OX=10090 GN=Mark2 PE=1 SV=3</t>
  </si>
  <si>
    <t>3-hydroxyacyl-CoA dehydrogenase type-2 OS=Mus musculus OX=10090 GN=Hsd17b10 PE=1 SV=4</t>
  </si>
  <si>
    <t>Unconventional myosin-Ic OS=Mus musculus OX=10090 GN=Myo1c PE=1 SV=2</t>
  </si>
  <si>
    <t>Alpha-mannosidase 2C1 OS=Mus musculus OX=10090 GN=Man2c1 PE=1 SV=1</t>
  </si>
  <si>
    <t>Calcium/calmodulin-dependent protein kinase type II subunit gamma OS=Mus musculus OX=10090 GN=Camk2g PE=1 SV=1</t>
  </si>
  <si>
    <t>Glutathione peroxidase 3 OS=Mus musculus OX=10090 GN=Gpx3 PE=1 SV=2</t>
  </si>
  <si>
    <t>Ubiquitin carboxyl-terminal hydrolase 46 OS=Mus musculus OX=10090 GN=Usp46 PE=1 SV=1</t>
  </si>
  <si>
    <t>60 kDa heat shock protein, mitochondrial OS=Mus musculus OX=10090 GN=Hspd1 PE=1 SV=1</t>
  </si>
  <si>
    <t>Large ribosomal subunit protein uL11 OS=Mus musculus OX=10090 GN=Rpl12 PE=1 SV=2</t>
  </si>
  <si>
    <t>Calcium/calmodulin-dependent protein kinase type II subunit delta OS=Mus musculus OX=10090 GN=Camk2d PE=1 SV=1</t>
  </si>
  <si>
    <t>Ubiquitin carboxyl-terminal hydrolase 8 OS=Mus musculus OX=10090 GN=Usp8 PE=1 SV=2</t>
  </si>
  <si>
    <t>Myotubularin OS=Mus musculus OX=10090 GN=Mtm1 PE=1 SV=2</t>
  </si>
  <si>
    <t>Ankyrin repeat domain-containing protein 17 OS=Mus musculus OX=10090 GN=Ankrd17 PE=1 SV=2</t>
  </si>
  <si>
    <t>Kelch-like protein 31 OS=Mus musculus OX=10090 GN=Klhl31 PE=1 SV=1</t>
  </si>
  <si>
    <t>Voltage-dependent L-type calcium channel subunit beta-2 OS=Mus musculus OX=10090 GN=Cacnb2 PE=1 SV=1</t>
  </si>
  <si>
    <t>Receptor expression-enhancing protein 3 OS=Mus musculus OX=10090 GN=Reep3 PE=1 SV=1</t>
  </si>
  <si>
    <t>Solute carrier family 25 member 34 OS=Mus musculus OX=10090 GN=Slc25a34 PE=1 SV=1</t>
  </si>
  <si>
    <t>Plastin-2 OS=Mus musculus OX=10090 GN=Lcp1 PE=1 SV=4</t>
  </si>
  <si>
    <t>DENN domain-containing protein 4C OS=Mus musculus OX=10090 GN=Dennd4c PE=1 SV=1</t>
  </si>
  <si>
    <t>Microtubule-associated protein tau OS=Mus musculus OX=10090 GN=Mapt PE=1 SV=3</t>
  </si>
  <si>
    <t>Centrosomal protein of 170 kDa OS=Mus musculus OX=10090 GN=Cep170 PE=1 SV=2</t>
  </si>
  <si>
    <t>Apoptosis-inducing factor 1, mitochondrial OS=Mus musculus OX=10090 GN=Aifm1 PE=1 SV=1</t>
  </si>
  <si>
    <t>Long-chain-fatty-acid--CoA ligase 5 OS=Mus musculus OX=10090 GN=Acsl5 PE=1 SV=1</t>
  </si>
  <si>
    <t>Endoplasmic reticulum-Golgi intermediate compartment protein 1 OS=Mus musculus OX=10090 GN=Ergic1 PE=1 SV=1</t>
  </si>
  <si>
    <t>Microtubule-associated protein 1A OS=Mus musculus OX=10090 GN=Map1a PE=1 SV=2</t>
  </si>
  <si>
    <t>Adipose-secreted signaling protein OS=Mus musculus OX=10090 GN=Adissp PE=1 SV=3</t>
  </si>
  <si>
    <t>SH3 domain-containing protein 19 OS=Mus musculus OX=10090 GN=Sh3d19 PE=1 SV=2</t>
  </si>
  <si>
    <t>rRNA 2'-O-methyltransferase fibrillarin OS=Mus musculus OX=10090 GN=Fbl PE=1 SV=2</t>
  </si>
  <si>
    <t>Protein bicaudal C homolog 1 OS=Mus musculus OX=10090 GN=Bicc1 PE=1 SV=1</t>
  </si>
  <si>
    <t>17-beta-hydroxysteroid dehydrogenase 13 OS=Mus musculus OX=10090 GN=Hsd17b13 PE=1 SV=2</t>
  </si>
  <si>
    <t>von Willebrand factor A domain-containing protein 8 OS=Mus musculus OX=10090 GN=Vwa8 PE=1 SV=2</t>
  </si>
  <si>
    <t>Cytochrome b-c1 complex subunit 2, mitochondrial OS=Mus musculus OX=10090 GN=Uqcrc2 PE=1 SV=1</t>
  </si>
  <si>
    <t>Tyrosine-protein phosphatase non-receptor type 1 OS=Mus musculus OX=10090 GN=Ptpn1 PE=1 SV=2</t>
  </si>
  <si>
    <t>Cytochrome c1, heme protein, mitochondrial OS=Mus musculus OX=10090 GN=Cyc1 PE=1 SV=1</t>
  </si>
  <si>
    <t>Echinoderm microtubule-associated protein-like 1 OS=Mus musculus OX=10090 GN=Eml1 PE=1 SV=1</t>
  </si>
  <si>
    <t>Serine/threonine-protein kinase SIK3 OS=Mus musculus OX=10090 GN=Sik3 PE=1 SV=4</t>
  </si>
  <si>
    <t>RNA-binding protein FXR1 OS=Mus musculus OX=10090 GN=Fxr1 PE=1 SV=2</t>
  </si>
  <si>
    <t>Ras-related protein Rab-5A OS=Mus musculus OX=10090 GN=Rab5a PE=1 SV=1</t>
  </si>
  <si>
    <t>Dicarboxylate carrier SLC25A8 OS=Mus musculus OX=10090 GN=Ucp2 PE=1 SV=1</t>
  </si>
  <si>
    <t>Serpin B6 OS=Mus musculus OX=10090 GN=Serpinb6 PE=1 SV=1</t>
  </si>
  <si>
    <t>DnaJ homolog subfamily A member 3, mitochondrial OS=Mus musculus OX=10090 GN=Dnaja3 PE=1 SV=1</t>
  </si>
  <si>
    <t>Regulator of microtubule dynamics protein 2 OS=Mus musculus OX=10090 GN=Rmdn2 PE=1 SV=1</t>
  </si>
  <si>
    <t>Rho guanine nucleotide exchange factor 7 OS=Mus musculus OX=10090 GN=Arhgef7 PE=1 SV=2</t>
  </si>
  <si>
    <t>ELAV-like protein 1 OS=Mus musculus OX=10090 GN=Elavl1 PE=1 SV=2</t>
  </si>
  <si>
    <t>5'-AMP-activated protein kinase subunit beta-2 OS=Mus musculus OX=10090 GN=Prkab2 PE=1 SV=1</t>
  </si>
  <si>
    <t>Paxillin OS=Mus musculus OX=10090 GN=Pxn PE=1 SV=1</t>
  </si>
  <si>
    <t>Small ribosomal subunit protein eS4 OS=Mus musculus OX=10090 GN=Rps4x PE=1 SV=2</t>
  </si>
  <si>
    <t>Methylcrotonoyl-CoA carboxylase beta chain, mitochondrial OS=Mus musculus OX=10090 GN=Mccc2 PE=1 SV=1</t>
  </si>
  <si>
    <t>Mitochondrial potassium channel OS=Mus musculus OX=10090 GN=Ccdc51 PE=1 SV=1</t>
  </si>
  <si>
    <t>Nck-associated protein 1-like OS=Mus musculus OX=10090 GN=Nckap1l PE=1 SV=1</t>
  </si>
  <si>
    <t>Lipoyl synthase, mitochondrial OS=Mus musculus OX=10090 GN=Lias PE=1 SV=1</t>
  </si>
  <si>
    <t>Phosphatidylinositol 4-kinase beta OS=Mus musculus OX=10090 GN=Pi4kb PE=1 SV=2</t>
  </si>
  <si>
    <t>Ankycorbin OS=Mus musculus OX=10090 GN=Rai14 PE=1 SV=1</t>
  </si>
  <si>
    <t>Clusterin OS=Mus musculus OX=10090 GN=Clu PE=1 SV=1</t>
  </si>
  <si>
    <t>Isoleucine--tRNA ligase, cytoplasmic OS=Mus musculus OX=10090 GN=Iars1 PE=1 SV=2</t>
  </si>
  <si>
    <t>Delta-1-pyrroline-5-carboxylate dehydrogenase, mitochondrial OS=Mus musculus OX=10090 GN=Aldh4a1 PE=1 SV=3</t>
  </si>
  <si>
    <t>Transgelin-2 OS=Mus musculus OX=10090 GN=Tagln2 PE=1 SV=4</t>
  </si>
  <si>
    <t>Polypyrimidine tract-binding protein 1 OS=Mus musculus OX=10090 GN=Ptbp1 PE=1 SV=3</t>
  </si>
  <si>
    <t>Cytochrome b-c1 complex subunit 9 OS=Mus musculus OX=10090 GN=Uqcr10 PE=1 SV=1</t>
  </si>
  <si>
    <t>Heat shock 70 kDa protein 12B OS=Mus musculus OX=10090 GN=Hspa12b PE=1 SV=1</t>
  </si>
  <si>
    <t>Small ribosomal subunit protein eS28 OS=Mus musculus OX=10090 GN=Rps28 PE=1 SV=1</t>
  </si>
  <si>
    <t>Probable mitochondrial glutathione transporter SLC25A40 OS=Mus musculus OX=10090 GN=Slc25a40 PE=1 SV=1</t>
  </si>
  <si>
    <t>Exocyst complex component 1 OS=Mus musculus OX=10090 GN=Exoc1 PE=1 SV=4</t>
  </si>
  <si>
    <t>Coiled-coil domain-containing protein 6 OS=Mus musculus OX=10090 GN=Ccdc6 PE=1 SV=1</t>
  </si>
  <si>
    <t>Translation factor Guf1, mitochondrial OS=Mus musculus OX=10090 GN=Guf1 PE=1 SV=1</t>
  </si>
  <si>
    <t>26S proteasome non-ATPase regulatory subunit 11 OS=Mus musculus OX=10090 GN=Psmd11 PE=1 SV=3</t>
  </si>
  <si>
    <t>Phosphoacetylglucosamine mutase OS=Mus musculus OX=10090 GN=Pgm3 PE=1 SV=1</t>
  </si>
  <si>
    <t>Striatin OS=Mus musculus OX=10090 GN=Strn PE=1 SV=2</t>
  </si>
  <si>
    <t>E3 ubiquitin-protein ligase CBL OS=Mus musculus OX=10090 GN=Cbl PE=1 SV=3</t>
  </si>
  <si>
    <t>AP-2 complex subunit beta OS=Mus musculus OX=10090 GN=Ap2b1 PE=1 SV=1</t>
  </si>
  <si>
    <t>FYVE and coiled-coil domain-containing protein 1 OS=Mus musculus OX=10090 GN=Fyco1 PE=1 SV=1</t>
  </si>
  <si>
    <t>Protein Smaug homolog 2 OS=Mus musculus OX=10090 GN=Samd4b PE=1 SV=1</t>
  </si>
  <si>
    <t>Beta-actin-like protein 2 OS=Mus musculus OX=10090 GN=Actbl2 PE=1 SV=1</t>
  </si>
  <si>
    <t>Laminin subunit beta-2 OS=Mus musculus OX=10090 GN=Lamb2 PE=1 SV=2</t>
  </si>
  <si>
    <t>Exopolyphosphatase PRUNE1 OS=Mus musculus OX=10090 GN=Prune1 PE=1 SV=1</t>
  </si>
  <si>
    <t>NADP-dependent malic enzyme, mitochondrial OS=Mus musculus OX=10090 GN=Me3 PE=1 SV=2</t>
  </si>
  <si>
    <t>Phosphatidylserine decarboxylase proenzyme, mitochondrial OS=Mus musculus OX=10090 GN=Pisd PE=2 SV=1</t>
  </si>
  <si>
    <t>Transforming acidic coiled-coil-containing protein 2 OS=Mus musculus OX=10090 GN=Tacc2 PE=1 SV=2</t>
  </si>
  <si>
    <t>A-kinase anchor protein 1, mitochondrial OS=Mus musculus OX=10090 GN=Akap1 PE=1 SV=4</t>
  </si>
  <si>
    <t>Pyruvate dehydrogenase E1 component subunit alpha, somatic form, mitochondrial OS=Mus musculus OX=10090 GN=Pdha1 PE=1 SV=1</t>
  </si>
  <si>
    <t>Anaphase-promoting complex subunit 5 OS=Mus musculus OX=10090 GN=Anapc5 PE=1 SV=1</t>
  </si>
  <si>
    <t>GTPase NRas OS=Mus musculus OX=10090 GN=Nras PE=1 SV=1</t>
  </si>
  <si>
    <t>Tricarboxylate transport protein, mitochondrial OS=Mus musculus OX=10090 GN=Slc25a1 PE=1 SV=1</t>
  </si>
  <si>
    <t>Amyloid beta A4 precursor protein-binding family B member 1-interacting protein OS=Mus musculus OX=10090 GN=Apbb1ip PE=1 SV=2</t>
  </si>
  <si>
    <t>Sideroflexin-4 OS=Mus musculus OX=10090 GN=Sfxn4 PE=2 SV=2</t>
  </si>
  <si>
    <t>Protein mono-ADP-ribosyltransferase PARP4 OS=Mus musculus OX=10090 GN=Parp4 PE=1 SV=1</t>
  </si>
  <si>
    <t>Histone-lysine N-methyltransferase Smyd1 OS=Mus musculus OX=10090 GN=Smyd1 PE=1 SV=3</t>
  </si>
  <si>
    <t>Glucose-6-phosphate 1-dehydrogenase X OS=Mus musculus OX=10090 GN=G6pdx PE=1 SV=3</t>
  </si>
  <si>
    <t>Ribose-phosphate pyrophosphokinase 1 OS=Mus musculus OX=10090 GN=Prps1 PE=1 SV=4</t>
  </si>
  <si>
    <t>Magnesium transporter MRS2 homolog, mitochondrial OS=Mus musculus OX=10090 GN=Mrs2 PE=2 SV=2</t>
  </si>
  <si>
    <t>Insulin-like growth factor 2 mRNA-binding protein 2 OS=Mus musculus OX=10090 GN=Igf2bp2 PE=1 SV=1</t>
  </si>
  <si>
    <t>A-kinase anchor protein 2 OS=Mus musculus OX=10090 GN=Akap2 PE=1 SV=3</t>
  </si>
  <si>
    <t>Cytochrome c oxidase subunit NDUFA4 OS=Mus musculus OX=10090 GN=Ndufa4 PE=1 SV=2</t>
  </si>
  <si>
    <t>Sphingosine-1-phosphate lyase 1 OS=Mus musculus OX=10090 GN=Sgpl1 PE=1 SV=1</t>
  </si>
  <si>
    <t>Protein NipSnap homolog 2 OS=Mus musculus OX=10090 GN=Nipsnap2 PE=1 SV=1</t>
  </si>
  <si>
    <t>Sarcolemmal membrane-associated protein OS=Mus musculus OX=10090 GN=Slmap PE=1 SV=2</t>
  </si>
  <si>
    <t>Large ribosomal subunit protein P2 OS=Mus musculus OX=10090 GN=Rplp2 PE=1 SV=3</t>
  </si>
  <si>
    <t>Paired amphipathic helix protein Sin3a OS=Mus musculus OX=10090 GN=Sin3a PE=1 SV=3</t>
  </si>
  <si>
    <t>Cholinephosphotransferase 1 OS=Mus musculus OX=10090 GN=Chpt1 PE=1 SV=1</t>
  </si>
  <si>
    <t>Ashwin OS=Mus musculus OX=10090 PE=1 SV=1</t>
  </si>
  <si>
    <t>Iron-sulfur protein NUBPL OS=Mus musculus OX=10090 GN=Nubpl PE=1 SV=2</t>
  </si>
  <si>
    <t>Pleckstrin homology-like domain family B member 1 OS=Mus musculus OX=10090 GN=Phldb1 PE=1 SV=1</t>
  </si>
  <si>
    <t>Patatin-like phospholipase domain-containing protein 7 OS=Mus musculus OX=10090 GN=Pnpla7 PE=1 SV=1</t>
  </si>
  <si>
    <t>Isovaleryl-CoA dehydrogenase, mitochondrial OS=Mus musculus OX=10090 GN=Ivd PE=1 SV=1</t>
  </si>
  <si>
    <t>Nidogen-2 OS=Mus musculus OX=10090 GN=Nid2 PE=1 SV=2</t>
  </si>
  <si>
    <t>cGMP-inhibited 3',5'-cyclic phosphodiesterase 3B OS=Mus musculus OX=10090 GN=Pde3b PE=1 SV=2</t>
  </si>
  <si>
    <t>Ubiquitin carboxyl-terminal hydrolase 34 OS=Mus musculus OX=10090 GN=Usp34 PE=1 SV=3</t>
  </si>
  <si>
    <t>Threonine--tRNA ligase 1, cytoplasmic OS=Mus musculus OX=10090 GN=Tars1 PE=1 SV=2</t>
  </si>
  <si>
    <t>Histone-binding protein RBBP4 OS=Mus musculus OX=10090 GN=Rbbp4 PE=1 SV=5</t>
  </si>
  <si>
    <t>Histone-binding protein RBBP7 OS=Mus musculus OX=10090 GN=Rbbp7 PE=1 SV=1</t>
  </si>
  <si>
    <t>Transmembrane emp24 domain-containing protein 10 OS=Mus musculus OX=10090 GN=Tmed10 PE=1 SV=1</t>
  </si>
  <si>
    <t>Small ribosomal subunit protein uS12 OS=Mus musculus OX=10090 GN=Rps23 PE=1 SV=3</t>
  </si>
  <si>
    <t>Microtubule-associated serine/threonine-protein kinase 4 OS=Mus musculus OX=10090 GN=Mast4 PE=1 SV=3</t>
  </si>
  <si>
    <t>Ataxin-2 OS=Mus musculus OX=10090 GN=Atxn2 PE=1 SV=1</t>
  </si>
  <si>
    <t>ATP synthase protein 8 OS=Mus musculus OX=10090 GN=Mtatp8 PE=1 SV=1</t>
  </si>
  <si>
    <t>GATOR1 complex protein DEPDC5 OS=Mus musculus OX=10090 GN=Depdc5 PE=1 SV=2</t>
  </si>
  <si>
    <t>WD repeat and FYVE domain-containing protein 1 OS=Mus musculus OX=10090 GN=Wdfy1 PE=1 SV=1</t>
  </si>
  <si>
    <t>Fibroleukin OS=Mus musculus OX=10090 GN=Fgl2 PE=1 SV=1</t>
  </si>
  <si>
    <t>Casein kinase I isoform alpha OS=Mus musculus OX=10090 GN=Csnk1a1 PE=1 SV=2</t>
  </si>
  <si>
    <t>Nuclear receptor corepressor 2 OS=Mus musculus OX=10090 GN=Ncor2 PE=1 SV=3</t>
  </si>
  <si>
    <t>Inhibitor of nuclear factor kappa-B kinase subunit beta OS=Mus musculus OX=10090 GN=Ikbkb PE=1 SV=1</t>
  </si>
  <si>
    <t>Importin subunit beta-1 OS=Mus musculus OX=10090 GN=Kpnb1 PE=1 SV=2</t>
  </si>
  <si>
    <t>2-oxoglutarate dehydrogenase complex component E1 OS=Mus musculus OX=10090 GN=Ogdh PE=1 SV=3</t>
  </si>
  <si>
    <t>Mitogen-activated protein kinase kinase kinase 2 OS=Mus musculus OX=10090 GN=Map3k2 PE=1 SV=2</t>
  </si>
  <si>
    <t>GTP-binding protein RAD OS=Mus musculus OX=10090 GN=Rrad PE=1 SV=1</t>
  </si>
  <si>
    <t>Ubiquitin thioesterase OTUB1 OS=Mus musculus OX=10090 GN=Otub1 PE=1 SV=2</t>
  </si>
  <si>
    <t>Serine/threonine-protein kinase WNK1 OS=Mus musculus OX=10090 GN=Wnk1 PE=1 SV=2</t>
  </si>
  <si>
    <t>Natriuretic peptides A OS=Mus musculus OX=10090 GN=Nppa PE=1 SV=2</t>
  </si>
  <si>
    <t>Exocyst complex component 3 OS=Mus musculus OX=10090 GN=Exoc3 PE=1 SV=2</t>
  </si>
  <si>
    <t>WD repeat and FYVE domain-containing protein 3 OS=Mus musculus OX=10090 GN=Wdfy3 PE=1 SV=1</t>
  </si>
  <si>
    <t>Mitochondrial import inner membrane translocase subunit Tim21 OS=Mus musculus OX=10090 GN=Timm21 PE=1 SV=2</t>
  </si>
  <si>
    <t>Ras-related protein Rab-10 OS=Mus musculus OX=10090 GN=Rab10 PE=1 SV=1</t>
  </si>
  <si>
    <t>Surfeit locus protein 1 OS=Mus musculus OX=10090 GN=Surf1 PE=1 SV=3</t>
  </si>
  <si>
    <t>Desmocollin-2 OS=Mus musculus OX=10090 GN=Dsc2 PE=1 SV=1</t>
  </si>
  <si>
    <t>Monocarboxylate transporter 1 OS=Mus musculus OX=10090 GN=Slc16a1 PE=1 SV=1</t>
  </si>
  <si>
    <t>Thioredoxin-like protein 1 OS=Mus musculus OX=10090 GN=Txnl1 PE=1 SV=3</t>
  </si>
  <si>
    <t>Mitochondrial intermediate peptidase OS=Mus musculus OX=10090 GN=Mipep PE=1 SV=1</t>
  </si>
  <si>
    <t>COP9 signalosome complex subunit 3 OS=Mus musculus OX=10090 GN=Cops3 PE=1 SV=3</t>
  </si>
  <si>
    <t>Phospholipid-transporting ATPase IA OS=Mus musculus OX=10090 GN=Atp8a1 PE=1 SV=2</t>
  </si>
  <si>
    <t>Probable leucine--tRNA ligase, mitochondrial OS=Mus musculus OX=10090 GN=Lars2 PE=1 SV=1</t>
  </si>
  <si>
    <t>GMP reductase 1 OS=Mus musculus OX=10090 GN=Gmpr PE=1 SV=1</t>
  </si>
  <si>
    <t>TSC22 domain family protein 1 OS=Mus musculus OX=10090 GN=Tsc22d1 PE=1 SV=2</t>
  </si>
  <si>
    <t>Periostin OS=Mus musculus OX=10090 GN=Postn PE=1 SV=2</t>
  </si>
  <si>
    <t>E3 ubiquitin-protein ligase RMND5A OS=Mus musculus OX=10090 GN=Rmnd5a PE=1 SV=2</t>
  </si>
  <si>
    <t>Traf2 and NCK-interacting protein kinase OS=Mus musculus OX=10090 GN=Tnik PE=1 SV=2</t>
  </si>
  <si>
    <t>Synaptic vesicle membrane protein VAT-1 homolog OS=Mus musculus OX=10090 GN=Vat1 PE=1 SV=3</t>
  </si>
  <si>
    <t>Testis-expressed protein 2 OS=Mus musculus OX=10090 GN=Tex2 PE=1 SV=2</t>
  </si>
  <si>
    <t>Phosphatidylinositide phosphatase SAC2 OS=Mus musculus OX=10090 GN=Inpp5f PE=1 SV=1</t>
  </si>
  <si>
    <t>cAMP-dependent protein kinase type I-alpha regulatory subunit OS=Mus musculus OX=10090 GN=Prkar1a PE=1 SV=3</t>
  </si>
  <si>
    <t>EH domain-containing protein 4 OS=Mus musculus OX=10090 GN=Ehd4 PE=1 SV=1</t>
  </si>
  <si>
    <t>Tripeptidyl-peptidase 2 OS=Mus musculus OX=10090 GN=Tpp2 PE=1 SV=3</t>
  </si>
  <si>
    <t>U5 small nuclear ribonucleoprotein 200 kDa helicase OS=Mus musculus OX=10090 GN=Snrnp200 PE=1 SV=1</t>
  </si>
  <si>
    <t>MICOS complex subunit Mic27 OS=Mus musculus OX=10090 GN=Apool PE=1 SV=1</t>
  </si>
  <si>
    <t>[Pyruvate dehydrogenase (acetyl-transferring)] kinase isozyme 1, mitochondrial OS=Mus musculus OX=10090 GN=Pdk1 PE=1 SV=2</t>
  </si>
  <si>
    <t>Rho GTPase-activating protein 24 OS=Mus musculus OX=10090 GN=Arhgap24 PE=1 SV=2</t>
  </si>
  <si>
    <t>Tensin-2 OS=Mus musculus OX=10090 GN=Tns2 PE=1 SV=1</t>
  </si>
  <si>
    <t>UPF0598 protein C8orf82 homolog OS=Mus musculus OX=10090 PE=1 SV=1</t>
  </si>
  <si>
    <t>Mitochondrial calcium uniporter regulator 1 OS=Mus musculus OX=10090 GN=Mcur1 PE=1 SV=1</t>
  </si>
  <si>
    <t>Phosphofurin acidic cluster sorting protein 1 OS=Mus musculus OX=10090 GN=Pacs1 PE=1 SV=2</t>
  </si>
  <si>
    <t>Coagulation factor XIII A chain OS=Mus musculus OX=10090 GN=F13a1 PE=1 SV=3</t>
  </si>
  <si>
    <t>Large ribosomal subunit protein eL22 OS=Mus musculus OX=10090 GN=Rpl22 PE=1 SV=2</t>
  </si>
  <si>
    <t>Transcription termination factor 2, mitochondrial OS=Mus musculus OX=10090 GN=Mterf2 PE=1 SV=1</t>
  </si>
  <si>
    <t>Pre-mRNA-processing factor 6 OS=Mus musculus OX=10090 GN=Prpf6 PE=1 SV=1</t>
  </si>
  <si>
    <t>WD repeat-containing protein 82 OS=Mus musculus OX=10090 GN=Wdr82 PE=1 SV=1</t>
  </si>
  <si>
    <t>Sodium/calcium exchanger 1 OS=Mus musculus OX=10090 GN=Slc8a1 PE=1 SV=1</t>
  </si>
  <si>
    <t>Krev interaction trapped protein 1 OS=Mus musculus OX=10090 GN=Krit1 PE=1 SV=1</t>
  </si>
  <si>
    <t>Distal membrane-arm assembly complex protein 1 OS=Mus musculus OX=10090 GN=Dmac1 PE=1 SV=1</t>
  </si>
  <si>
    <t>Transmembrane protein 177 OS=Mus musculus OX=10090 GN=Tmem177 PE=1 SV=1</t>
  </si>
  <si>
    <t>Cytochrome c oxidase subunit 7A1, mitochondrial OS=Mus musculus OX=10090 GN=Cox7a1 PE=1 SV=1</t>
  </si>
  <si>
    <t>Transcriptional enhancer factor TEF-1 OS=Mus musculus OX=10090 GN=Tead1 PE=1 SV=2</t>
  </si>
  <si>
    <t>Pyridine nucleotide-disulfide oxidoreductase domain-containing protein 2 OS=Mus musculus OX=10090 GN=Pyroxd2 PE=1 SV=3</t>
  </si>
  <si>
    <t>von Willebrand factor A domain-containing protein 5A OS=Mus musculus OX=10090 GN=Vwa5a PE=1 SV=2</t>
  </si>
  <si>
    <t>Small ribosomal subunit protein mS22 OS=Mus musculus OX=10090 GN=Mrps22 PE=1 SV=1</t>
  </si>
  <si>
    <t>Armadillo repeat-containing protein 8 OS=Mus musculus OX=10090 GN=Armc8 PE=1 SV=2</t>
  </si>
  <si>
    <t>Serine/threonine-protein kinase mTOR OS=Mus musculus OX=10090 GN=Mtor PE=1 SV=2</t>
  </si>
  <si>
    <t>DEP domain-containing mTOR-interacting protein OS=Mus musculus OX=10090 GN=Deptor PE=1 SV=2</t>
  </si>
  <si>
    <t>Homeobox-containing protein 1 OS=Mus musculus OX=10090 GN=Hmbox1 PE=1 SV=1</t>
  </si>
  <si>
    <t>Endosomal transmembrane epsin interactor 1 OS=Mus musculus OX=10090 GN=Entrep1 PE=2 SV=3</t>
  </si>
  <si>
    <t>Dolichyl-diphosphooligosaccharide--protein glycosyltransferase 48 kDa subunit OS=Mus musculus OX=10090 GN=Ddost PE=1 SV=2</t>
  </si>
  <si>
    <t>Serine/threonine-protein phosphatase 2A 56 kDa regulatory subunit gamma isoform OS=Mus musculus OX=10090 GN=Ppp2r5c PE=1 SV=2</t>
  </si>
  <si>
    <t>Kinectin OS=Mus musculus OX=10090 GN=Ktn1 PE=1 SV=1</t>
  </si>
  <si>
    <t>Myc target protein 1 OS=Mus musculus OX=10090 GN=Myct1 PE=1 SV=1</t>
  </si>
  <si>
    <t>Nucleoside diphosphate kinase A OS=Mus musculus OX=10090 GN=Nme1 PE=1 SV=1</t>
  </si>
  <si>
    <t>Peptidyl-glycine alpha-amidating monooxygenase OS=Mus musculus OX=10090 GN=Pam PE=1 SV=2</t>
  </si>
  <si>
    <t>Cullin-associated NEDD8-dissociated protein 1 OS=Mus musculus OX=10090 GN=Cand1 PE=1 SV=2</t>
  </si>
  <si>
    <t>Microtubule-associated tumor suppressor candidate 2 homolog OS=Mus musculus OX=10090 GN=Mtus2 PE=1 SV=1</t>
  </si>
  <si>
    <t>Metalloreductase STEAP3 OS=Mus musculus OX=10090 GN=Steap3 PE=1 SV=1</t>
  </si>
  <si>
    <t>Heme oxygenase 2 OS=Mus musculus OX=10090 GN=Hmox2 PE=1 SV=1</t>
  </si>
  <si>
    <t>Deoxyuridine 5'-triphosphate nucleotidohydrolase OS=Mus musculus OX=10090 GN=Dut PE=1 SV=1</t>
  </si>
  <si>
    <t>G protein-activated inward rectifier potassium channel 1 OS=Mus musculus OX=10090 GN=Kcnj3 PE=1 SV=1</t>
  </si>
  <si>
    <t>Monoglyceride lipase OS=Mus musculus OX=10090 GN=Mgll PE=1 SV=1</t>
  </si>
  <si>
    <t>Large ribosomal subunit protein eL43 OS=Mus musculus OX=10090 GN=Rpl37a PE=1 SV=2</t>
  </si>
  <si>
    <t>5'-AMP-activated protein kinase catalytic subunit alpha-2 OS=Mus musculus OX=10090 GN=Prkaa2 PE=1 SV=3</t>
  </si>
  <si>
    <t>Ankyrin-2 OS=Mus musculus OX=10090 GN=Ank2 PE=1 SV=2</t>
  </si>
  <si>
    <t>Superkiller complex protein 8 OS=Mus musculus OX=10090 GN=Skic8 PE=1 SV=1</t>
  </si>
  <si>
    <t>DENN domain-containing protein 3 OS=Mus musculus OX=10090 GN=Dennd3 PE=1 SV=2</t>
  </si>
  <si>
    <t>Probable ATP-dependent RNA helicase DDX17 OS=Mus musculus OX=10090 GN=Ddx17 PE=1 SV=1</t>
  </si>
  <si>
    <t>Phosphatidylinositol 4-phosphate 3-kinase C2 domain-containing subunit alpha OS=Mus musculus OX=10090 GN=Pik3c2a PE=1 SV=2</t>
  </si>
  <si>
    <t>Mitochondrial inner membrane protein OXA1L OS=Mus musculus OX=10090 GN=Oxa1l PE=1 SV=1</t>
  </si>
  <si>
    <t>Peroxisomal membrane protein 11B OS=Mus musculus OX=10090 GN=Pex11b PE=1 SV=1</t>
  </si>
  <si>
    <t>Ferritin heavy chain OS=Mus musculus OX=10090 GN=Fth1 PE=1 SV=2</t>
  </si>
  <si>
    <t>ATP synthase subunit epsilon, mitochondrial OS=Mus musculus OX=10090 GN=Atp5f1e PE=1 SV=2</t>
  </si>
  <si>
    <t>Leucine zipper protein 1 OS=Mus musculus OX=10090 GN=Luzp1 PE=1 SV=2</t>
  </si>
  <si>
    <t>FERM domain-containing protein 5 OS=Mus musculus OX=10090 GN=Frmd5 PE=1 SV=1</t>
  </si>
  <si>
    <t>Malonyl-CoA-acyl carrier protein transacylase, mitochondrial OS=Mus musculus OX=10090 GN=Mcat PE=1 SV=3</t>
  </si>
  <si>
    <t>TBC1 domain family member 22A OS=Mus musculus OX=10090 GN=Tbc1d22a PE=1 SV=3</t>
  </si>
  <si>
    <t>Rab11 family-interacting protein 2 OS=Mus musculus OX=10090 GN=Rab11fip2 PE=1 SV=1</t>
  </si>
  <si>
    <t>Fumarate hydratase, mitochondrial OS=Mus musculus OX=10090 GN=Fh PE=1 SV=3</t>
  </si>
  <si>
    <t>Ran-binding protein 10 OS=Mus musculus OX=10090 GN=Ranbp10 PE=1 SV=2</t>
  </si>
  <si>
    <t>26S proteasome non-ATPase regulatory subunit 2 OS=Mus musculus OX=10090 GN=Psmd2 PE=1 SV=1</t>
  </si>
  <si>
    <t>Voltage-dependent L-type calcium channel subunit alpha-1D OS=Mus musculus OX=10090 GN=Cacna1d PE=1 SV=3</t>
  </si>
  <si>
    <t>FH1/FH2 domain-containing protein 3 OS=Mus musculus OX=10090 GN=Fhod3 PE=1 SV=1</t>
  </si>
  <si>
    <t>Histone deacetylase 7 OS=Mus musculus OX=10090 GN=Hdac7 PE=1 SV=2</t>
  </si>
  <si>
    <t>14 kDa phosphohistidine phosphatase OS=Mus musculus OX=10090 GN=Phpt1 PE=1 SV=1</t>
  </si>
  <si>
    <t>Mitochondrial antiviral-signaling protein OS=Mus musculus OX=10090 GN=Mavs PE=1 SV=1</t>
  </si>
  <si>
    <t>Pyruvate dehydrogenase E1 component subunit alpha, testis-specific form, mitochondrial OS=Mus musculus OX=10090 GN=Pdha2 PE=1 SV=1</t>
  </si>
  <si>
    <t>Ras-related protein Rab-1A OS=Mus musculus OX=10090 GN=Rab1A PE=1 SV=3</t>
  </si>
  <si>
    <t>Inhibitor of nuclear factor kappa-B kinase subunit alpha OS=Mus musculus OX=10090 GN=Chuk PE=1 SV=1</t>
  </si>
  <si>
    <t>Heterogeneous nuclear ribonucleoprotein H2 OS=Mus musculus OX=10090 GN=Hnrnph2 PE=1 SV=1</t>
  </si>
  <si>
    <t>CAP-Gly domain-containing linker protein 4 OS=Mus musculus OX=10090 GN=Clip4 PE=1 SV=1</t>
  </si>
  <si>
    <t>Heterogeneous nuclear ribonucleoprotein L OS=Mus musculus OX=10090 GN=Hnrnpl PE=1 SV=2</t>
  </si>
  <si>
    <t>Serine/threonine-protein kinase MRCK alpha OS=Mus musculus OX=10090 GN=Cdc42bpa PE=1 SV=2</t>
  </si>
  <si>
    <t>Reactive oxygen species modulator 1 OS=Mus musculus OX=10090 GN=Romo1 PE=2 SV=1</t>
  </si>
  <si>
    <t>Small ribosomal subunit protein RACK1 OS=Mus musculus OX=10090 GN=Rack1 PE=1 SV=3</t>
  </si>
  <si>
    <t>T-cell activation inhibitor, mitochondrial OS=Mus musculus OX=10090 GN=TCAIM PE=1 SV=1</t>
  </si>
  <si>
    <t>Methylglutaconyl-CoA hydratase, mitochondrial OS=Mus musculus OX=10090 GN=Auh PE=1 SV=1</t>
  </si>
  <si>
    <t>Myosin light chain kinase 3 OS=Mus musculus OX=10090 GN=Mylk3 PE=1 SV=1</t>
  </si>
  <si>
    <t>Thioredoxin OS=Mus musculus OX=10090 GN=Txn PE=1 SV=3</t>
  </si>
  <si>
    <t>Small ribosomal subunit protein mS39 OS=Mus musculus OX=10090 GN=Ptcd3 PE=1 SV=2</t>
  </si>
  <si>
    <t>R3H domain-containing protein 2 OS=Mus musculus OX=10090 GN=R3hdm2 PE=1 SV=2</t>
  </si>
  <si>
    <t>WD repeat-containing protein 20 OS=Mus musculus OX=10090 GN=Wdr20 PE=2 SV=1</t>
  </si>
  <si>
    <t>Small ribosomal subunit protein mS23 OS=Mus musculus OX=10090 GN=Mrps23 PE=1 SV=1</t>
  </si>
  <si>
    <t>Ras-related protein Rab-13 OS=Mus musculus OX=10090 GN=Rab13 PE=1 SV=1</t>
  </si>
  <si>
    <t>Sulfide:quinone oxidoreductase, mitochondrial OS=Mus musculus OX=10090 GN=Sqor PE=1 SV=3</t>
  </si>
  <si>
    <t>Ubiquinone biosynthesis O-methyltransferase, mitochondrial OS=Mus musculus OX=10090 GN=Coq3 PE=1 SV=1</t>
  </si>
  <si>
    <t>Vinexin OS=Mus musculus OX=10090 GN=Sorbs3 PE=1 SV=1</t>
  </si>
  <si>
    <t>Costars family protein ABRACL OS=Mus musculus OX=10090 GN=Abracl PE=1 SV=1</t>
  </si>
  <si>
    <t>SLIT-ROBO Rho GTPase-activating protein 2 OS=Mus musculus OX=10090 GN=Srgap2 PE=1 SV=2</t>
  </si>
  <si>
    <t>c-Myc-binding protein OS=Mus musculus OX=10090 GN=Mycbp PE=1 SV=5</t>
  </si>
  <si>
    <t>Zinc finger CCCH-type antiviral protein 1 OS=Mus musculus OX=10090 GN=Zc3hav1 PE=1 SV=1</t>
  </si>
  <si>
    <t>Nuclear factor 1 X-type OS=Mus musculus OX=10090 GN=Nfix PE=1 SV=2</t>
  </si>
  <si>
    <t>Apoptotic chromatin condensation inducer in the nucleus OS=Mus musculus OX=10090 GN=Acin1 PE=1 SV=3</t>
  </si>
  <si>
    <t>Interferon-inducible double-stranded RNA-dependent protein kinase activator A OS=Mus musculus OX=10090 GN=Prkra PE=1 SV=1</t>
  </si>
  <si>
    <t>Tyrosine-protein phosphatase non-receptor type 21 OS=Mus musculus OX=10090 GN=Ptpn21 PE=1 SV=1</t>
  </si>
  <si>
    <t>Large ribosomal subunit protein bL12m OS=Mus musculus OX=10090 GN=Mrpl12 PE=1 SV=2</t>
  </si>
  <si>
    <t>Dystroglycan 1 OS=Mus musculus OX=10090 GN=Dag1 PE=1 SV=4</t>
  </si>
  <si>
    <t>Asporin OS=Mus musculus OX=10090 GN=Aspn PE=1 SV=1</t>
  </si>
  <si>
    <t>GTPase-activating protein and VPS9 domain-containing protein 1 OS=Mus musculus OX=10090 GN=Gapvd1 PE=1 SV=2</t>
  </si>
  <si>
    <t>Sin3 histone deacetylase corepressor complex component SDS3 OS=Mus musculus OX=10090 GN=Suds3 PE=1 SV=1</t>
  </si>
  <si>
    <t>Hexokinase-2 OS=Mus musculus OX=10090 GN=Hk2 PE=1 SV=1</t>
  </si>
  <si>
    <t>Dysferlin OS=Mus musculus OX=10090 GN=Dysf PE=1 SV=3</t>
  </si>
  <si>
    <t>Mitochondrial import inner membrane translocase subunit TIM50 OS=Mus musculus OX=10090 GN=Timm50 PE=1 SV=1</t>
  </si>
  <si>
    <t>Rho GTPase-activating protein 7 OS=Mus musculus OX=10090 GN=Dlc1 PE=1 SV=2</t>
  </si>
  <si>
    <t>Albumin OS=Mus musculus OX=10090 GN=Alb PE=1 SV=3</t>
  </si>
  <si>
    <t>Basigin OS=Mus musculus OX=10090 GN=Bsg PE=1 SV=2</t>
  </si>
  <si>
    <t>AP-3 complex subunit mu-1 OS=Mus musculus OX=10090 GN=Ap3m1 PE=1 SV=1</t>
  </si>
  <si>
    <t>Eukaryotic translation initiation factor 2 subunit 3, X-linked OS=Mus musculus OX=10090 GN=Eif2s3x PE=1 SV=2</t>
  </si>
  <si>
    <t>Eukaryotic translation initiation factor 2 subunit 3, Y-linked OS=Mus musculus OX=10090 GN=Eif2s3y PE=1 SV=2</t>
  </si>
  <si>
    <t>Sphingolipid delta(4)-desaturase DES1 OS=Mus musculus OX=10090 GN=Degs1 PE=1 SV=1</t>
  </si>
  <si>
    <t>Adenylate cyclase type 6 OS=Mus musculus OX=10090 GN=Adcy6 PE=1 SV=1</t>
  </si>
  <si>
    <t>Growth factor receptor-bound protein 10 OS=Mus musculus OX=10090 GN=Grb10 PE=1 SV=2</t>
  </si>
  <si>
    <t>Pleckstrin homology domain-containing family G member 5 OS=Mus musculus OX=10090 GN=Plekhg5 PE=1 SV=1</t>
  </si>
  <si>
    <t>Septin-9 OS=Mus musculus OX=10090 GN=Septin9 PE=1 SV=1</t>
  </si>
  <si>
    <t>Inositol polyphosphate-4-phosphatase type I A OS=Mus musculus OX=10090 GN=Inpp4a PE=1 SV=1</t>
  </si>
  <si>
    <t>Myotilin OS=Mus musculus OX=10090 GN=Myot PE=1 SV=1</t>
  </si>
  <si>
    <t>Growth factor receptor-bound protein 14 OS=Mus musculus OX=10090 GN=Grb14 PE=1 SV=1</t>
  </si>
  <si>
    <t>A-kinase anchor protein 12 OS=Mus musculus OX=10090 GN=Akap12 PE=1 SV=1</t>
  </si>
  <si>
    <t>Cytochrome b-c1 complex subunit Rieske, mitochondrial OS=Mus musculus OX=10090 GN=Uqcrfs1 PE=1 SV=1</t>
  </si>
  <si>
    <t>Programmed cell death 6-interacting protein OS=Mus musculus OX=10090 GN=Pdcd6ip PE=1 SV=3</t>
  </si>
  <si>
    <t>Probable ATP-dependent RNA helicase DDX6 OS=Mus musculus OX=10090 GN=Ddx6 PE=1 SV=1</t>
  </si>
  <si>
    <t>Cold shock domain-containing protein E1 OS=Mus musculus OX=10090 GN=Csde1 PE=1 SV=1</t>
  </si>
  <si>
    <t>Large ribosomal subunit protein mL65 OS=Mus musculus OX=10090 GN=Mrps30 PE=1 SV=1</t>
  </si>
  <si>
    <t>Fibrinogen alpha chain OS=Mus musculus OX=10090 GN=Fga PE=1 SV=1</t>
  </si>
  <si>
    <t>Polymerase delta-interacting protein 2 OS=Mus musculus OX=10090 GN=Poldip2 PE=1 SV=1</t>
  </si>
  <si>
    <t>Afadin OS=Mus musculus OX=10090 GN=Afdn PE=1 SV=3</t>
  </si>
  <si>
    <t>BTB/POZ domain-containing protein KCTD12 OS=Mus musculus OX=10090 GN=Kctd12 PE=1 SV=1</t>
  </si>
  <si>
    <t>Small ribosomal subunit protein mS40 OS=Mus musculus OX=10090 GN=Mrps18b PE=1 SV=1</t>
  </si>
  <si>
    <t>Large ribosomal subunit protein uL3-like OS=Mus musculus OX=10090 GN=Rpl3l PE=1 SV=1</t>
  </si>
  <si>
    <t>RuvB-like 1 OS=Mus musculus OX=10090 GN=Ruvbl1 PE=1 SV=1</t>
  </si>
  <si>
    <t>L-fucose kinase OS=Mus musculus OX=10090 GN=Fcsk PE=1 SV=1</t>
  </si>
  <si>
    <t>Zinc transporter ZIP10 OS=Mus musculus OX=10090 GN=Slc39a10 PE=1 SV=1</t>
  </si>
  <si>
    <t>Cytochrome b-c1 complex subunit 6, mitochondrial OS=Mus musculus OX=10090 GN=Uqcrh PE=1 SV=2</t>
  </si>
  <si>
    <t>Large ribosomal subunit protein uL29m OS=Mus musculus OX=10090 GN=Mrpl47 PE=1 SV=2</t>
  </si>
  <si>
    <t>Large ribosomal subunit protein eL27 OS=Mus musculus OX=10090 GN=Rpl27 PE=1 SV=2</t>
  </si>
  <si>
    <t>E3 ubiquitin-protein ligase HECW2 OS=Mus musculus OX=10090 GN=Hecw2 PE=1 SV=1</t>
  </si>
  <si>
    <t>MICOS complex subunit MIC13 OS=Mus musculus OX=10090 GN=Micos13 PE=1 SV=1</t>
  </si>
  <si>
    <t>Cytochrome b-c1 complex subunit 7 OS=Mus musculus OX=10090 GN=Uqcrb PE=1 SV=3</t>
  </si>
  <si>
    <t>Transmembrane protein 126A OS=Mus musculus OX=10090 GN=Tmem126a PE=1 SV=1</t>
  </si>
  <si>
    <t>Protein S100-A6 OS=Mus musculus OX=10090 GN=S100a6 PE=1 SV=3</t>
  </si>
  <si>
    <t>CDP-diacylglycerol--inositol 3-phosphatidyltransferase OS=Mus musculus OX=10090 GN=Cdipt PE=1 SV=1</t>
  </si>
  <si>
    <t>Protein FAM98B OS=Mus musculus OX=10090 GN=Fam98b PE=1 SV=1</t>
  </si>
  <si>
    <t>Transmembrane protein 65 OS=Mus musculus OX=10090 GN=Tmem65 PE=1 SV=1</t>
  </si>
  <si>
    <t>Nipped-B-like protein OS=Mus musculus OX=10090 GN=Nipbl PE=1 SV=1</t>
  </si>
  <si>
    <t>Polyadenylate-binding protein 1 OS=Mus musculus OX=10090 GN=Pabpc1 PE=1 SV=2</t>
  </si>
  <si>
    <t>Transforming growth factor beta-1-induced transcript 1 protein OS=Mus musculus OX=10090 GN=Tgfb1i1 PE=1 SV=2</t>
  </si>
  <si>
    <t>Pleckstrin homology-like domain family B member 2 OS=Mus musculus OX=10090 GN=Phldb2 PE=1 SV=2</t>
  </si>
  <si>
    <t>Dehydrogenase/reductase SDR family member 4 OS=Mus musculus OX=10090 GN=Dhrs4 PE=1 SV=3</t>
  </si>
  <si>
    <t>Succinate--CoA ligase [GDP-forming] subunit beta, mitochondrial OS=Mus musculus OX=10090 GN=Suclg2 PE=1 SV=3</t>
  </si>
  <si>
    <t>AP-3 complex subunit sigma-2 OS=Mus musculus OX=10090 GN=Ap3s2 PE=1 SV=1</t>
  </si>
  <si>
    <t>Mothers against decapentaplegic homolog 1 OS=Mus musculus OX=10090 GN=Smad1 PE=1 SV=2</t>
  </si>
  <si>
    <t>Endoplasmic reticulum-Golgi intermediate compartment protein 3 OS=Mus musculus OX=10090 GN=Ergic3 PE=1 SV=1</t>
  </si>
  <si>
    <t>Rab GTPase-binding effector protein 1 OS=Mus musculus OX=10090 GN=Rabep1 PE=1 SV=2</t>
  </si>
  <si>
    <t>Gephyrin OS=Mus musculus OX=10090 GN=Gphn PE=1 SV=2</t>
  </si>
  <si>
    <t>Small ribosomal subunit protein bS1m OS=Mus musculus OX=10090 GN=Mrps28 PE=1 SV=1</t>
  </si>
  <si>
    <t>26S proteasome non-ATPase regulatory subunit 4 OS=Mus musculus OX=10090 GN=Psmd4 PE=1 SV=1</t>
  </si>
  <si>
    <t>Palmdelphin OS=Mus musculus OX=10090 GN=Palmd PE=1 SV=1</t>
  </si>
  <si>
    <t>SRA stem-loop-interacting RNA-binding protein, mitochondrial OS=Mus musculus OX=10090 GN=Slirp PE=1 SV=2</t>
  </si>
  <si>
    <t>Importin subunit alpha-4 OS=Mus musculus OX=10090 GN=Kpna3 PE=1 SV=1</t>
  </si>
  <si>
    <t>TIP41-like protein OS=Mus musculus OX=10090 GN=Tiprl PE=1 SV=1</t>
  </si>
  <si>
    <t>Secretory carrier-associated membrane protein 3 OS=Mus musculus OX=10090 GN=Scamp3 PE=1 SV=3</t>
  </si>
  <si>
    <t>Gamma-tubulin complex component 3 OS=Mus musculus OX=10090 GN=Tubgcp3 PE=1 SV=2</t>
  </si>
  <si>
    <t>Mitochondrial ribosome-associated GTPase 1 OS=Mus musculus OX=10090 GN=Mtg1 PE=1 SV=2</t>
  </si>
  <si>
    <t>Ras-related protein Rap-1A OS=Mus musculus OX=10090 GN=Rap1a PE=1 SV=1</t>
  </si>
  <si>
    <t>Ras-related protein Rap-1b OS=Mus musculus OX=10090 GN=Rap1b PE=1 SV=2</t>
  </si>
  <si>
    <t>Retinol dehydrogenase 13 OS=Mus musculus OX=10090 GN=Rdh13 PE=1 SV=1</t>
  </si>
  <si>
    <t>UTP--glucose-1-phosphate uridylyltransferase OS=Mus musculus OX=10090 GN=Ugp2 PE=1 SV=3</t>
  </si>
  <si>
    <t>Optic atrophy 3 protein homolog OS=Mus musculus OX=10090 GN=Opa3 PE=1 SV=1</t>
  </si>
  <si>
    <t>26S proteasome regulatory subunit 7 OS=Mus musculus OX=10090 GN=Psmc2 PE=1 SV=5</t>
  </si>
  <si>
    <t>Glutathione peroxidase 1 OS=Mus musculus OX=10090 GN=Gpx1 PE=1 SV=2</t>
  </si>
  <si>
    <t>Inorganic pyrophosphatase OS=Mus musculus OX=10090 GN=Ppa1 PE=1 SV=1</t>
  </si>
  <si>
    <t>Calmodulin-regulated spectrin-associated protein 2 OS=Mus musculus OX=10090 GN=Camsap2 PE=1 SV=3</t>
  </si>
  <si>
    <t>26S proteasome non-ATPase regulatory subunit 12 OS=Mus musculus OX=10090 GN=Psmd12 PE=1 SV=4</t>
  </si>
  <si>
    <t>Spermatogenesis-associated protein 13 OS=Mus musculus OX=10090 GN=Spata13 PE=1 SV=2</t>
  </si>
  <si>
    <t>Mitochondrial disaggregase OS=Mus musculus OX=10090 GN=Clpb PE=1 SV=1</t>
  </si>
  <si>
    <t>Dehydrogenase/reductase SDR family member 7C OS=Mus musculus OX=10090 GN=Dhrs7c PE=1 SV=3</t>
  </si>
  <si>
    <t>Adenosine 5'-monophosphoramidase HINT2 OS=Mus musculus OX=10090 GN=Hint2 PE=1 SV=1</t>
  </si>
  <si>
    <t>Transcription intermediary factor 1-beta OS=Mus musculus OX=10090 GN=Trim28 PE=1 SV=3</t>
  </si>
  <si>
    <t>Adenosine 5'-monophosphoramidase HINT1 OS=Mus musculus OX=10090 GN=Hint1 PE=1 SV=3</t>
  </si>
  <si>
    <t>Pancreatic progenitor cell differentiation and proliferation factor OS=Mus musculus OX=10090 GN=Ppdpf PE=1 SV=1</t>
  </si>
  <si>
    <t>Prohibitin 1 OS=Mus musculus OX=10090 GN=Phb1 PE=1 SV=1</t>
  </si>
  <si>
    <t>Sphingomyelin phosphodiesterase 4 OS=Mus musculus OX=10090 GN=Smpd4 PE=1 SV=2</t>
  </si>
  <si>
    <t>14-3-3 protein zeta/delta OS=Mus musculus OX=10090 GN=Ywhaz PE=1 SV=1</t>
  </si>
  <si>
    <t>mRNA decay activator protein ZFP36L1 OS=Mus musculus OX=10090 GN=Zfp36l1 PE=1 SV=1</t>
  </si>
  <si>
    <t>Calsequestrin-2 OS=Mus musculus OX=10090 GN=Casq2 PE=1 SV=3</t>
  </si>
  <si>
    <t>WD40 repeat-containing protein SMU1 OS=Mus musculus OX=10090 GN=Smu1 PE=2 SV=2</t>
  </si>
  <si>
    <t>Palladin OS=Mus musculus OX=10090 GN=Palld PE=1 SV=2</t>
  </si>
  <si>
    <t>Delta-aminolevulinic acid dehydratase OS=Mus musculus OX=10090 GN=Alad PE=1 SV=1</t>
  </si>
  <si>
    <t>Calponin-1 OS=Mus musculus OX=10090 GN=Cnn1 PE=1 SV=1</t>
  </si>
  <si>
    <t>Cyclin-Y OS=Mus musculus OX=10090 GN=Ccny PE=1 SV=1</t>
  </si>
  <si>
    <t>Large ribosomal subunit protein mL37 OS=Mus musculus OX=10090 GN=Mrpl37 PE=1 SV=1</t>
  </si>
  <si>
    <t>Amyloid beta precursor protein binding family B member 1 OS=Mus musculus OX=10090 GN=Apbb1 PE=1 SV=3</t>
  </si>
  <si>
    <t>Glutaredoxin-related protein 5, mitochondrial OS=Mus musculus OX=10090 GN=Glrx5 PE=1 SV=2</t>
  </si>
  <si>
    <t>Dihydrolipoyllysine-residue acetyltransferase component of pyruvate dehydrogenase complex, mitochondrial OS=Mus musculus OX=10090 GN=Dlat PE=1 SV=2</t>
  </si>
  <si>
    <t>Heat shock protein beta-1 OS=Mus musculus OX=10090 GN=Hspb1 PE=1 SV=3</t>
  </si>
  <si>
    <t>Splicing factor 3A subunit 2 OS=Mus musculus OX=10090 GN=Sf3a2 PE=1 SV=2</t>
  </si>
  <si>
    <t>Transcription factor E3 OS=Mus musculus OX=10090 GN=Tfe3 PE=1 SV=2</t>
  </si>
  <si>
    <t>Superkiller complex protein 2 OS=Mus musculus OX=10090 GN=Skic2 PE=2 SV=1</t>
  </si>
  <si>
    <t>U5 small nuclear ribonucleoprotein 40 kDa protein OS=Mus musculus OX=10090 GN=Snrnp40 PE=1 SV=1</t>
  </si>
  <si>
    <t>Partitioning defective 3 homolog OS=Mus musculus OX=10090 GN=Pard3 PE=1 SV=2</t>
  </si>
  <si>
    <t>Isobutyryl-CoA dehydrogenase, mitochondrial OS=Mus musculus OX=10090 GN=Acad8 PE=1 SV=2</t>
  </si>
  <si>
    <t>Short/branched chain specific acyl-CoA dehydrogenase, mitochondrial OS=Mus musculus OX=10090 GN=Acadsb PE=1 SV=1</t>
  </si>
  <si>
    <t>Popeye domain-containing protein 2 OS=Mus musculus OX=10090 GN=Popdc2 PE=1 SV=1</t>
  </si>
  <si>
    <t>CAP-Gly domain-containing linker protein 2 OS=Mus musculus OX=10090 GN=Clip2 PE=1 SV=2</t>
  </si>
  <si>
    <t>G protein-activated inward rectifier potassium channel 4 OS=Mus musculus OX=10090 GN=Kcnj5 PE=2 SV=3</t>
  </si>
  <si>
    <t>Small ribosomal subunit protein uS11m OS=Mus musculus OX=10090 GN=Mrps11 PE=1 SV=2</t>
  </si>
  <si>
    <t>Ras-related protein Rab-1B OS=Mus musculus OX=10090 GN=Rab1b PE=1 SV=1</t>
  </si>
  <si>
    <t>Transcription factor A, mitochondrial OS=Mus musculus OX=10090 GN=Tfam PE=1 SV=2</t>
  </si>
  <si>
    <t>Ras-related protein Rab-35 OS=Mus musculus OX=10090 GN=Rab35 PE=1 SV=1</t>
  </si>
  <si>
    <t>RNA-binding protein 26 OS=Mus musculus OX=10090 GN=Rbm26 PE=1 SV=2</t>
  </si>
  <si>
    <t>Coiled-coil domain-containing protein 85C OS=Mus musculus OX=10090 GN=Ccdc85c PE=1 SV=1</t>
  </si>
  <si>
    <t>Protein transport protein Sec23A OS=Mus musculus OX=10090 GN=Sec23a PE=1 SV=2</t>
  </si>
  <si>
    <t>GMP synthase [glutamine-hydrolyzing] OS=Mus musculus OX=10090 GN=Gmps PE=1 SV=2</t>
  </si>
  <si>
    <t>Histone H1.4 OS=Mus musculus OX=10090 GN=H1-4 PE=1 SV=2</t>
  </si>
  <si>
    <t>Hydroxyacyl-coenzyme A dehydrogenase, mitochondrial OS=Mus musculus OX=10090 GN=Hadh PE=1 SV=2</t>
  </si>
  <si>
    <t>Small ribosomal subunit protein uS19 OS=Mus musculus OX=10090 GN=Rps15 PE=1 SV=2</t>
  </si>
  <si>
    <t>Supervillin OS=Mus musculus OX=10090 GN=Svil PE=1 SV=1</t>
  </si>
  <si>
    <t>Myosin phosphatase Rho-interacting protein OS=Mus musculus OX=10090 GN=Mprip PE=1 SV=2</t>
  </si>
  <si>
    <t>TBC1 domain family member 1 OS=Mus musculus OX=10090 GN=Tbc1d1 PE=1 SV=3</t>
  </si>
  <si>
    <t>Septin-10 OS=Mus musculus OX=10090 GN=Septin10 PE=1 SV=1</t>
  </si>
  <si>
    <t>Aspartate aminotransferase, mitochondrial OS=Mus musculus OX=10090 GN=Got2 PE=1 SV=1</t>
  </si>
  <si>
    <t>Mitogen-activated protein kinase kinase kinase 5 OS=Mus musculus OX=10090 GN=Map3k5 PE=1 SV=3</t>
  </si>
  <si>
    <t>Protein transport protein Sec61 subunit beta OS=Mus musculus OX=10090 GN=Sec61b PE=1 SV=3</t>
  </si>
  <si>
    <t>Serine/threonine-protein kinase 3 OS=Mus musculus OX=10090 GN=Stk3 PE=1 SV=1</t>
  </si>
  <si>
    <t>Rho GTPase-activating protein 6 OS=Mus musculus OX=10090 GN=Arhgap6 PE=1 SV=3</t>
  </si>
  <si>
    <t>GTPase Era, mitochondrial OS=Mus musculus OX=10090 GN=Eral1 PE=2 SV=1</t>
  </si>
  <si>
    <t>E3 ubiquitin-protein ligase SMURF2 OS=Mus musculus OX=10090 GN=Smurf2 PE=1 SV=1</t>
  </si>
  <si>
    <t>ATP synthase subunit O, mitochondrial OS=Mus musculus OX=10090 GN=Atp5po PE=1 SV=1</t>
  </si>
  <si>
    <t>General vesicular transport factor p115 OS=Mus musculus OX=10090 GN=Uso1 PE=1 SV=2</t>
  </si>
  <si>
    <t>Large ribosomal subunit protein mL53 OS=Mus musculus OX=10090 GN=Mrpl53 PE=1 SV=1</t>
  </si>
  <si>
    <t>Heterogeneous nuclear ribonucleoproteins C1/C2 OS=Mus musculus OX=10090 GN=Hnrnpc PE=1 SV=1</t>
  </si>
  <si>
    <t>Membrane primary amine oxidase OS=Mus musculus OX=10090 GN=Aoc3 PE=1 SV=3</t>
  </si>
  <si>
    <t>Nuclear factor 1 C-type OS=Mus musculus OX=10090 GN=Nfic PE=1 SV=1</t>
  </si>
  <si>
    <t>Aflatoxin B1 aldehyde reductase member 2 OS=Mus musculus OX=10090 GN=Akr7a2 PE=1 SV=3</t>
  </si>
  <si>
    <t>RNA-binding protein with serine-rich domain 1 OS=Mus musculus OX=10090 GN=Rnps1 PE=1 SV=1</t>
  </si>
  <si>
    <t>Nucleoside diphosphate kinase 3 OS=Mus musculus OX=10090 GN=Nme3 PE=1 SV=3</t>
  </si>
  <si>
    <t>6-phosphofructo-2-kinase/fructose-2,6-bisphosphatase 1 OS=Mus musculus OX=10090 GN=Pfkfb1 PE=1 SV=2</t>
  </si>
  <si>
    <t>Neutral cholesterol ester hydrolase 1 OS=Mus musculus OX=10090 GN=Nceh1 PE=1 SV=1</t>
  </si>
  <si>
    <t>Isocitrate dehydrogenase [NADP] cytoplasmic OS=Mus musculus OX=10090 GN=Idh1 PE=1 SV=2</t>
  </si>
  <si>
    <t>A-kinase anchor protein 13 OS=Mus musculus OX=10090 GN=Akap13 PE=1 SV=1</t>
  </si>
  <si>
    <t>Regulator of G-protein signaling 12 OS=Mus musculus OX=10090 GN=Rgs12 PE=1 SV=2</t>
  </si>
  <si>
    <t>Carnitine O-palmitoyltransferase 2, mitochondrial OS=Mus musculus OX=10090 GN=Cpt2 PE=1 SV=2</t>
  </si>
  <si>
    <t>Thioredoxin domain-containing protein 5 OS=Mus musculus OX=10090 GN=Txndc5 PE=1 SV=2</t>
  </si>
  <si>
    <t>ATP synthase subunit alpha, mitochondrial OS=Mus musculus OX=10090 GN=Atp5f1a PE=1 SV=1</t>
  </si>
  <si>
    <t>Progranulin OS=Mus musculus OX=10090 GN=Grn PE=1 SV=2</t>
  </si>
  <si>
    <t>KN motif and ankyrin repeat domain-containing protein 2 OS=Mus musculus OX=10090 GN=Kank2 PE=1 SV=1</t>
  </si>
  <si>
    <t>Heterogeneous nuclear ribonucleoprotein A0 OS=Mus musculus OX=10090 GN=Hnrnpa0 PE=1 SV=1</t>
  </si>
  <si>
    <t>Vacuolar protein sorting-associated protein 4A OS=Mus musculus OX=10090 GN=Vps4a PE=1 SV=1</t>
  </si>
  <si>
    <t>NADH dehydrogenase [ubiquinone] iron-sulfur protein 5 OS=Mus musculus OX=10090 GN=Ndufs5 PE=1 SV=3</t>
  </si>
  <si>
    <t>Serine/threonine-protein phosphatase 2B catalytic subunit gamma isoform OS=Mus musculus OX=10090 GN=Ppp3cc PE=1 SV=1</t>
  </si>
  <si>
    <t>Mediator of RNA polymerase II transcription subunit 4 OS=Mus musculus OX=10090 GN=Med4 PE=1 SV=1</t>
  </si>
  <si>
    <t>Transmembrane protein 186 OS=Mus musculus OX=10090 GN=Tmem186 PE=1 SV=2</t>
  </si>
  <si>
    <t>mRNA export factor OS=Mus musculus OX=10090 GN=Rae1 PE=1 SV=1</t>
  </si>
  <si>
    <t>U4/U6 small nuclear ribonucleoprotein Prp31 OS=Mus musculus OX=10090 GN=Prpf31 PE=1 SV=3</t>
  </si>
  <si>
    <t>Ubiquitin-associated protein 2 OS=Mus musculus OX=10090 GN=Ubap2 PE=1 SV=1</t>
  </si>
  <si>
    <t>Protein cordon-bleu OS=Mus musculus OX=10090 GN=Cobl PE=1 SV=1</t>
  </si>
  <si>
    <t>Heat shock protein beta-2 OS=Mus musculus OX=10090 GN=Hspb2 PE=1 SV=2</t>
  </si>
  <si>
    <t>Pyruvate dehydrogenase E1 component subunit beta, mitochondrial OS=Mus musculus OX=10090 GN=Pdhb PE=1 SV=1</t>
  </si>
  <si>
    <t>ADP-ribosylation factor-like protein 6 OS=Mus musculus OX=10090 GN=Arl6 PE=1 SV=1</t>
  </si>
  <si>
    <t>GTP-binding protein REM 1 OS=Mus musculus OX=10090 GN=Rem1 PE=1 SV=1</t>
  </si>
  <si>
    <t>NADH dehydrogenase [ubiquinone] 1 alpha subcomplex subunit 9, mitochondrial OS=Mus musculus OX=10090 GN=Ndufa9 PE=1 SV=2</t>
  </si>
  <si>
    <t>Protein ABHD18 OS=Mus musculus OX=10090 GN=Abhd18 PE=2 SV=1</t>
  </si>
  <si>
    <t>L-2-hydroxyglutarate dehydrogenase, mitochondrial OS=Mus musculus OX=10090 GN=L2hgdh PE=1 SV=1</t>
  </si>
  <si>
    <t>Alkyldihydroxyacetonephosphate synthase, peroxisomal OS=Mus musculus OX=10090 GN=Agps PE=1 SV=1</t>
  </si>
  <si>
    <t>Stalled ribosome sensor GCN1 OS=Mus musculus OX=10090 GN=Gcn1 PE=1 SV=1</t>
  </si>
  <si>
    <t>Ataxin-1-like OS=Mus musculus OX=10090 GN=Atxn1l PE=1 SV=1</t>
  </si>
  <si>
    <t>Homeodomain-only protein OS=Mus musculus OX=10090 GN=Hopx PE=1 SV=1</t>
  </si>
  <si>
    <t>Spectrin alpha chain, non-erythrocytic 1 OS=Mus musculus OX=10090 GN=Sptan1 PE=1 SV=4</t>
  </si>
  <si>
    <t>Homeobox protein MOX-2 OS=Mus musculus OX=10090 GN=Meox2 PE=1 SV=1</t>
  </si>
  <si>
    <t>Transitional endoplasmic reticulum ATPase OS=Mus musculus OX=10090 GN=Vcp PE=1 SV=4</t>
  </si>
  <si>
    <t>Iron-sulfur clusters transporter ABCB7, mitochondrial OS=Mus musculus OX=10090 GN=Abcb7 PE=1 SV=3</t>
  </si>
  <si>
    <t>DENN domain-containing protein 4B OS=Mus musculus OX=10090 GN=Dennd4b PE=1 SV=2</t>
  </si>
  <si>
    <t>Alpha-protein kinase 3 OS=Mus musculus OX=10090 GN=Alpk3 PE=1 SV=2</t>
  </si>
  <si>
    <t>RNA binding protein fox-1 homolog 3 OS=Mus musculus OX=10090 GN=Rbfox3 PE=1 SV=2</t>
  </si>
  <si>
    <t>RNA binding protein fox-1 homolog 2 OS=Mus musculus OX=10090 GN=Rbfox2 PE=1 SV=2</t>
  </si>
  <si>
    <t>RNA binding protein fox-1 homolog 1 OS=Mus musculus OX=10090 GN=Rbfox1 PE=1 SV=3</t>
  </si>
  <si>
    <t>Elongation factor 1-delta OS=Mus musculus OX=10090 GN=Eef1d PE=1 SV=3</t>
  </si>
  <si>
    <t>Smoothelin OS=Mus musculus OX=10090 GN=Smtn PE=1 SV=2</t>
  </si>
  <si>
    <t>Small ribosomal subunit protein eS24 OS=Mus musculus OX=10090 GN=Rps24 PE=1 SV=1</t>
  </si>
  <si>
    <t>Calcium-regulated heat stable protein 1 OS=Mus musculus OX=10090 GN=Carhsp1 PE=1 SV=1</t>
  </si>
  <si>
    <t>Nuclear distribution protein nudE homolog 1 OS=Mus musculus OX=10090 GN=Nde1 PE=1 SV=1</t>
  </si>
  <si>
    <t>Phosphoserine phosphatase OS=Mus musculus OX=10090 GN=Psph PE=1 SV=1</t>
  </si>
  <si>
    <t>Vesicle-associated membrane protein-associated protein A OS=Mus musculus OX=10090 GN=Vapa PE=1 SV=2</t>
  </si>
  <si>
    <t>Large ribosomal subunit protein uL22 OS=Mus musculus OX=10090 GN=Rpl17 PE=1 SV=4</t>
  </si>
  <si>
    <t>DNA-directed RNA polymerase, mitochondrial OS=Mus musculus OX=10090 GN=Polrmt PE=1 SV=1</t>
  </si>
  <si>
    <t>Protein RER1 OS=Mus musculus OX=10090 GN=Rer1 PE=1 SV=1</t>
  </si>
  <si>
    <t>UPF0545 protein C22orf39 homolog OS=Mus musculus OX=10090 PE=3 SV=1</t>
  </si>
  <si>
    <t>DENN domain-containing protein 5A OS=Mus musculus OX=10090 GN=Dennd5a PE=1 SV=1</t>
  </si>
  <si>
    <t>Carnitine O-palmitoyltransferase 1, muscle isoform OS=Mus musculus OX=10090 GN=Cpt1b PE=1 SV=1</t>
  </si>
  <si>
    <t>Large ribosomal subunit protein uL3m OS=Mus musculus OX=10090 GN=Mrpl3 PE=1 SV=1</t>
  </si>
  <si>
    <t>Amine oxidase [flavin-containing] B OS=Mus musculus OX=10090 GN=Maob PE=1 SV=4</t>
  </si>
  <si>
    <t>Negative elongation factor E OS=Mus musculus OX=10090 GN=Nelfe PE=1 SV=2</t>
  </si>
  <si>
    <t>Zinc transporter 6 OS=Mus musculus OX=10090 GN=Slc30a6 PE=1 SV=1</t>
  </si>
  <si>
    <t>Elongin-B OS=Mus musculus OX=10090 GN=Elob PE=1 SV=1</t>
  </si>
  <si>
    <t>Abl interactor 2 OS=Mus musculus OX=10090 GN=Abi2 PE=1 SV=1</t>
  </si>
  <si>
    <t>IQ motif and SEC7 domain-containing protein 1 OS=Mus musculus OX=10090 GN=Iqsec1 PE=1 SV=2</t>
  </si>
  <si>
    <t>Fibronectin type III and SPRY domain-containing protein 2 OS=Mus musculus OX=10090 GN=Fsd2 PE=1 SV=3</t>
  </si>
  <si>
    <t>Volume-regulated anion channel subunit LRRC8A OS=Mus musculus OX=10090 GN=Lrrc8a PE=1 SV=1</t>
  </si>
  <si>
    <t>Heat shock 70 kDa protein 1B OS=Mus musculus OX=10090 GN=Hspa1b PE=1 SV=3</t>
  </si>
  <si>
    <t>Heat shock 70 kDa protein 1A OS=Mus musculus OX=10090 GN=Hspa1a PE=1 SV=2</t>
  </si>
  <si>
    <t>Dehydrogenase/reductase SDR family member 7B OS=Mus musculus OX=10090 GN=Dhrs7b PE=1 SV=1</t>
  </si>
  <si>
    <t>Antigen peptide transporter 2 OS=Mus musculus OX=10090 GN=Tap2 PE=1 SV=1</t>
  </si>
  <si>
    <t>Pleckstrin homology domain-containing family A member 2 OS=Mus musculus OX=10090 GN=Plekha2 PE=1 SV=1</t>
  </si>
  <si>
    <t>Mediator of RNA polymerase II transcription subunit 12 OS=Mus musculus OX=10090 GN=Med12 PE=1 SV=1</t>
  </si>
  <si>
    <t>Prohibitin-2 OS=Mus musculus OX=10090 GN=Phb2 PE=1 SV=1</t>
  </si>
  <si>
    <t>Ras-associating and dilute domain-containing protein OS=Mus musculus OX=10090 GN=Radil PE=1 SV=2</t>
  </si>
  <si>
    <t>Sec1 family domain-containing protein 1 OS=Mus musculus OX=10090 GN=Scfd1 PE=1 SV=1</t>
  </si>
  <si>
    <t>Crk-like protein OS=Mus musculus OX=10090 GN=Crkl PE=1 SV=2</t>
  </si>
  <si>
    <t>Putative transferase CAF17 homolog, mitochondrial OS=Mus musculus OX=10090 GN=Iba57 PE=1 SV=1</t>
  </si>
  <si>
    <t>Alpha-1-syntrophin OS=Mus musculus OX=10090 GN=Snta1 PE=1 SV=1</t>
  </si>
  <si>
    <t>Transformation/transcription domain-associated protein OS=Mus musculus OX=10090 GN=Trrap PE=1 SV=2</t>
  </si>
  <si>
    <t>Ubiquinol-cytochrome-c reductase complex assembly factor 3 OS=Mus musculus OX=10090 GN=Uqcc3 PE=1 SV=1</t>
  </si>
  <si>
    <t>Phosphatidylinositol-3-phosphatase SAC1 OS=Mus musculus OX=10090 GN=Sacm1l PE=1 SV=1</t>
  </si>
  <si>
    <t>EH domain-containing protein 3 OS=Mus musculus OX=10090 GN=Ehd3 PE=1 SV=2</t>
  </si>
  <si>
    <t>Protein VAC14 homolog OS=Mus musculus OX=10090 GN=Vac14 PE=1 SV=1</t>
  </si>
  <si>
    <t>Heterogeneous nuclear ribonucleoprotein A3 OS=Mus musculus OX=10090 GN=Hnrnpa3 PE=1 SV=1</t>
  </si>
  <si>
    <t>Choline/ethanolaminephosphotransferase 1 OS=Mus musculus OX=10090 GN=Cept1 PE=1 SV=1</t>
  </si>
  <si>
    <t>Alpha-adducin OS=Mus musculus OX=10090 GN=Add1 PE=1 SV=2</t>
  </si>
  <si>
    <t>LIM and senescent cell antigen-like-containing domain protein 1 OS=Mus musculus OX=10090 GN=Lims1 PE=1 SV=3</t>
  </si>
  <si>
    <t>Uncharacterized protein C4orf54 homolog OS=Mus musculus OX=10090 PE=1 SV=1</t>
  </si>
  <si>
    <t>Stromal cell-derived factor 2 OS=Mus musculus OX=10090 GN=Sdf2 PE=1 SV=1</t>
  </si>
  <si>
    <t>Serine/threonine-protein kinase Nek1 OS=Mus musculus OX=10090 GN=Nek1 PE=1 SV=2</t>
  </si>
  <si>
    <t>CTP synthase 2 OS=Mus musculus OX=10090 GN=Ctps2 PE=1 SV=1</t>
  </si>
  <si>
    <t>Vitronectin OS=Mus musculus OX=10090 GN=Vtn PE=1 SV=2</t>
  </si>
  <si>
    <t>26S proteasome non-ATPase regulatory subunit 3 OS=Mus musculus OX=10090 GN=Psmd3 PE=1 SV=3</t>
  </si>
  <si>
    <t>Splicing factor 3A subunit 1 OS=Mus musculus OX=10090 GN=Sf3a1 PE=1 SV=1</t>
  </si>
  <si>
    <t>Large ribosomal subunit protein uL4 OS=Mus musculus OX=10090 GN=Rpl4 PE=1 SV=3</t>
  </si>
  <si>
    <t>STE20/SPS1-related proline-alanine-rich protein kinase OS=Mus musculus OX=10090 GN=Stk39 PE=1 SV=1</t>
  </si>
  <si>
    <t>Arylamine N-acetyltransferase 2 OS=Mus musculus OX=10090 GN=Nat2 PE=1 SV=1</t>
  </si>
  <si>
    <t>Eukaryotic translation initiation factor 4B OS=Mus musculus OX=10090 GN=Eif4b PE=1 SV=1</t>
  </si>
  <si>
    <t>WD repeat-containing protein 7 OS=Mus musculus OX=10090 GN=Wdr7 PE=1 SV=3</t>
  </si>
  <si>
    <t>Mitochondrial potassium channel ATP-binding subunit OS=Mus musculus OX=10090 GN=Abcb8 PE=1 SV=1</t>
  </si>
  <si>
    <t>Large ribosomal subunit protein mL40 OS=Mus musculus OX=10090 GN=Mrpl40 PE=1 SV=2</t>
  </si>
  <si>
    <t>SHC-transforming protein 1 OS=Mus musculus OX=10090 GN=Shc1 PE=1 SV=3</t>
  </si>
  <si>
    <t>RNA-binding protein 15 OS=Mus musculus OX=10090 GN=Rbm15 PE=1 SV=1</t>
  </si>
  <si>
    <t>Lamina-associated polypeptide 2, isoforms beta/delta/epsilon/gamma OS=Mus musculus OX=10090 GN=Tmpo PE=1 SV=4</t>
  </si>
  <si>
    <t>ADP-ribose glycohydrolase MACROD1 OS=Mus musculus OX=10090 GN=Macrod1 PE=1 SV=2</t>
  </si>
  <si>
    <t>Splicing factor 3B subunit 4 OS=Mus musculus OX=10090 GN=Sf3b4 PE=1 SV=1</t>
  </si>
  <si>
    <t>Enhancer of rudimentary homolog OS=Mus musculus OX=10090 GN=Erh PE=1 SV=1</t>
  </si>
  <si>
    <t>Ribonucleoprotein PTB-binding 1 OS=Mus musculus OX=10090 GN=Raver1 PE=1 SV=2</t>
  </si>
  <si>
    <t>Beclin-1 OS=Mus musculus OX=10090 GN=Becn1 PE=1 SV=3</t>
  </si>
  <si>
    <t>Macrophage migration inhibitory factor OS=Mus musculus OX=10090 GN=Mif PE=1 SV=2</t>
  </si>
  <si>
    <t>Small ribosomal subunit protein uS13 OS=Mus musculus OX=10090 GN=Rps18 PE=1 SV=3</t>
  </si>
  <si>
    <t>Anoctamin-10 OS=Mus musculus OX=10090 GN=Ano10 PE=1 SV=1</t>
  </si>
  <si>
    <t>Muscular LMNA-interacting protein OS=Mus musculus OX=10090 GN=Mlip PE=1 SV=2</t>
  </si>
  <si>
    <t>MAPK regulated corepressor interacting protein 2 OS=Mus musculus OX=10090 GN=Mcrip2 PE=1 SV=1</t>
  </si>
  <si>
    <t>Cytochrome c oxidase subunit 4 isoform 1, mitochondrial OS=Mus musculus OX=10090 GN=Cox4i1 PE=1 SV=2</t>
  </si>
  <si>
    <t>Acetyl-CoA carboxylase 1 OS=Mus musculus OX=10090 GN=Acaca PE=1 SV=1</t>
  </si>
  <si>
    <t>Trafficking kinesin-binding protein 1 OS=Mus musculus OX=10090 GN=Trak1 PE=1 SV=1</t>
  </si>
  <si>
    <t>Guanylate-binding protein 5 OS=Mus musculus OX=10090 GN=Gbp5 PE=1 SV=2</t>
  </si>
  <si>
    <t>Zinc finger SWIM domain-containing protein 8 OS=Mus musculus OX=10090 GN=Zswim8 PE=1 SV=1</t>
  </si>
  <si>
    <t>Long-chain fatty acid transport protein 4 OS=Mus musculus OX=10090 GN=Slc27a4 PE=1 SV=1</t>
  </si>
  <si>
    <t>Sphingosine 1-phosphate receptor 1 OS=Mus musculus OX=10090 GN=S1pr1 PE=1 SV=3</t>
  </si>
  <si>
    <t>Thrombospondin-3 OS=Mus musculus OX=10090 GN=Thbs3 PE=1 SV=2</t>
  </si>
  <si>
    <t>Striatin-3 OS=Mus musculus OX=10090 GN=Strn3 PE=1 SV=1</t>
  </si>
  <si>
    <t>Dedicator of cytokinesis protein 5 OS=Mus musculus OX=10090 GN=Dock5 PE=1 SV=2</t>
  </si>
  <si>
    <t>Cell cycle progression protein 1 OS=Mus musculus OX=10090 GN=Ccpg1 PE=1 SV=2</t>
  </si>
  <si>
    <t>1-phosphatidylinositol 4,5-bisphosphate phosphodiesterase delta-3 OS=Mus musculus OX=10090 GN=Plcd3 PE=1 SV=2</t>
  </si>
  <si>
    <t>G protein-coupled receptor kinase 5 OS=Mus musculus OX=10090 GN=Grk5 PE=1 SV=2</t>
  </si>
  <si>
    <t>Transcription factor COE1 OS=Mus musculus OX=10090 GN=Ebf1 PE=1 SV=1</t>
  </si>
  <si>
    <t>Dehydrogenase/reductase SDR family member 11 OS=Mus musculus OX=10090 GN=Dhrs11 PE=1 SV=1</t>
  </si>
  <si>
    <t>Translation initiation factor eIF-2B subunit beta OS=Mus musculus OX=10090 GN=Eif2b2 PE=1 SV=1</t>
  </si>
  <si>
    <t>Bridge-like lipid transfer protein family member 3B OS=Mus musculus OX=10090 GN=Bltp3b PE=1 SV=2</t>
  </si>
  <si>
    <t>Kinase suppressor of Ras 1 OS=Mus musculus OX=10090 GN=Ksr1 PE=1 SV=1</t>
  </si>
  <si>
    <t>Clathrin heavy chain 1 OS=Mus musculus OX=10090 GN=Cltc PE=1 SV=3</t>
  </si>
  <si>
    <t>Huntingtin-interacting protein 1-related protein OS=Mus musculus OX=10090 GN=Hip1r PE=1 SV=2</t>
  </si>
  <si>
    <t>2-hydroxyacyl-CoA lyase 2 OS=Mus musculus OX=10090 GN=Ilvbl PE=1 SV=1</t>
  </si>
  <si>
    <t>Schlafen family member 5 OS=Mus musculus OX=10090 GN=Slfn5 PE=1 SV=2</t>
  </si>
  <si>
    <t>Catalase OS=Mus musculus OX=10090 GN=Cat PE=1 SV=4</t>
  </si>
  <si>
    <t>ADP-ribosylation factor 3 OS=Mus musculus OX=10090 GN=Arf3 PE=2 SV=2</t>
  </si>
  <si>
    <t>ADP-ribosylation factor 1 OS=Mus musculus OX=10090 GN=Arf1 PE=1 SV=2</t>
  </si>
  <si>
    <t>RNA cytosine C(5)-methyltransferase NSUN2 OS=Mus musculus OX=10090 GN=Nsun2 PE=1 SV=2</t>
  </si>
  <si>
    <t>ADP-ribosylation factor 2 OS=Mus musculus OX=10090 GN=Arf2 PE=1 SV=2</t>
  </si>
  <si>
    <t>Serine/threonine-protein kinase PAK 2 OS=Mus musculus OX=10090 GN=Pak2 PE=1 SV=1</t>
  </si>
  <si>
    <t>Deoxynucleoside triphosphate triphosphohydrolase SAMHD1 OS=Mus musculus OX=10090 GN=Samhd1 PE=1 SV=3</t>
  </si>
  <si>
    <t>Splicing regulator ARVCF OS=Mus musculus OX=10090 GN=Arvcf PE=1 SV=2</t>
  </si>
  <si>
    <t>Translocon-associated protein subunit delta OS=Mus musculus OX=10090 GN=Ssr4 PE=1 SV=1</t>
  </si>
  <si>
    <t>Deubiquitinating protein VCPIP1 OS=Mus musculus OX=10090 GN=Vcpip1 PE=1 SV=1</t>
  </si>
  <si>
    <t>Oxysterol-binding protein 1 OS=Mus musculus OX=10090 GN=Osbp PE=1 SV=3</t>
  </si>
  <si>
    <t>C2 domain-containing protein 5 OS=Mus musculus OX=10090 GN=C2cd5 PE=1 SV=2</t>
  </si>
  <si>
    <t>Dedicator of cytokinesis protein 10 OS=Mus musculus OX=10090 GN=Dock10 PE=1 SV=4</t>
  </si>
  <si>
    <t>MICOS complex subunit Mic60 OS=Mus musculus OX=10090 GN=Immt PE=1 SV=1</t>
  </si>
  <si>
    <t>Volume-regulated anion channel subunit LRRC8C OS=Mus musculus OX=10090 GN=Lrrc8c PE=1 SV=1</t>
  </si>
  <si>
    <t>Cytochrome c oxidase assembly factor 7 OS=Mus musculus OX=10090 GN=Coa7 PE=1 SV=1</t>
  </si>
  <si>
    <t>COP9 signalosome complex subunit 4 OS=Mus musculus OX=10090 GN=Cops4 PE=1 SV=1</t>
  </si>
  <si>
    <t>Heat shock protein 75 kDa, mitochondrial OS=Mus musculus OX=10090 GN=Trap1 PE=1 SV=1</t>
  </si>
  <si>
    <t>Cytochrome c oxidase assembly protein COX16 homolog, mitochondrial OS=Mus musculus OX=10090 GN=Cox16 PE=3 SV=1</t>
  </si>
  <si>
    <t>Inactive ADP-ribosyltransferase ARH2 OS=Mus musculus OX=10090 GN=Adprhl1 PE=1 SV=1</t>
  </si>
  <si>
    <t>Coronin-1C OS=Mus musculus OX=10090 GN=Coro1c PE=1 SV=2</t>
  </si>
  <si>
    <t>PAN2-PAN3 deadenylation complex catalytic subunit Pan2 OS=Mus musculus OX=10090 GN=Pan2 PE=1 SV=1</t>
  </si>
  <si>
    <t>MAP7 domain-containing protein 1 OS=Mus musculus OX=10090 GN=Map7d1 PE=1 SV=1</t>
  </si>
  <si>
    <t>cAMP-specific 3',5'-cyclic phosphodiesterase 4A OS=Mus musculus OX=10090 GN=Pde4a PE=1 SV=2</t>
  </si>
  <si>
    <t>Ataxin-1 OS=Mus musculus OX=10090 GN=Atxn1 PE=1 SV=2</t>
  </si>
  <si>
    <t>Actin-related protein 2/3 complex subunit 4 OS=Mus musculus OX=10090 GN=Arpc4 PE=1 SV=3</t>
  </si>
  <si>
    <t>Ras-related protein R-Ras2 OS=Mus musculus OX=10090 GN=Rras2 PE=1 SV=1</t>
  </si>
  <si>
    <t>Transcription elongation factor, mitochondrial OS=Mus musculus OX=10090 GN=Tefm PE=1 SV=1</t>
  </si>
  <si>
    <t>Rho GTPase-activating protein 23 OS=Mus musculus OX=10090 GN=Arhgap23 PE=1 SV=2</t>
  </si>
  <si>
    <t>SH3 domain-binding protein 4 OS=Mus musculus OX=10090 GN=Sh3bp4 PE=1 SV=1</t>
  </si>
  <si>
    <t>Protein capicua homolog OS=Mus musculus OX=10090 GN=Cic PE=1 SV=2</t>
  </si>
  <si>
    <t>Serine/threonine-protein phosphatase 2A 55 kDa regulatory subunit B delta isoform OS=Mus musculus OX=10090 GN=Ppp2r2d PE=1 SV=1</t>
  </si>
  <si>
    <t>Large ribosomal subunit protein uL24m OS=Mus musculus OX=10090 GN=Mrpl24 PE=1 SV=1</t>
  </si>
  <si>
    <t>Ragulator complex protein LAMTOR1 OS=Mus musculus OX=10090 GN=Lamtor1 PE=1 SV=1</t>
  </si>
  <si>
    <t>Formin-like protein 3 OS=Mus musculus OX=10090 GN=Fmnl3 PE=1 SV=2</t>
  </si>
  <si>
    <t>Endoplasmic reticulum transmembrane helix translocase OS=Mus musculus OX=10090 GN=Atp13a1 PE=1 SV=2</t>
  </si>
  <si>
    <t>T-complex protein 1 subunit zeta OS=Mus musculus OX=10090 GN=Cct6a PE=1 SV=3</t>
  </si>
  <si>
    <t>RuvB-like 2 OS=Mus musculus OX=10090 GN=Ruvbl2 PE=1 SV=3</t>
  </si>
  <si>
    <t>Cytochrome c oxidase subunit 5A, mitochondrial OS=Mus musculus OX=10090 GN=Cox5a PE=1 SV=2</t>
  </si>
  <si>
    <t>AP-2 complex subunit alpha-2 OS=Mus musculus OX=10090 GN=Ap2a2 PE=1 SV=2</t>
  </si>
  <si>
    <t>Stromal interaction molecule 1 OS=Mus musculus OX=10090 GN=Stim1 PE=1 SV=2</t>
  </si>
  <si>
    <t>N-fatty-acyl-amino acid synthase/hydrolase PM20D1 OS=Mus musculus OX=10090 GN=Pm20d1 PE=1 SV=1</t>
  </si>
  <si>
    <t>Microtubule-associated protein 2 OS=Mus musculus OX=10090 GN=Map2 PE=1 SV=2</t>
  </si>
  <si>
    <t>WD repeat-containing protein 5 OS=Mus musculus OX=10090 GN=Wdr5 PE=1 SV=1</t>
  </si>
  <si>
    <t>Heterogeneous nuclear ribonucleoprotein L-like OS=Mus musculus OX=10090 GN=Hnrnpll PE=1 SV=3</t>
  </si>
  <si>
    <t>14-3-3 protein beta/alpha OS=Mus musculus OX=10090 GN=Ywhab PE=1 SV=3</t>
  </si>
  <si>
    <t>Fibrinogen gamma chain OS=Mus musculus OX=10090 GN=Fgg PE=1 SV=1</t>
  </si>
  <si>
    <t>Large ribosomal subunit protein mL39 OS=Mus musculus OX=10090 GN=Mrpl39 PE=1 SV=4</t>
  </si>
  <si>
    <t>Cingulin-like protein 1 OS=Mus musculus OX=10090 GN=Cgnl1 PE=1 SV=3</t>
  </si>
  <si>
    <t>Alpha-1,3/1,6-mannosyltransferase ALG2 OS=Mus musculus OX=10090 GN=Alg2 PE=1 SV=2</t>
  </si>
  <si>
    <t>Holocytochrome c-type synthase OS=Mus musculus OX=10090 GN=Hccs PE=1 SV=2</t>
  </si>
  <si>
    <t>Uveal autoantigen with coiled-coil domains and ankyrin repeats OS=Mus musculus OX=10090 GN=Uaca PE=1 SV=2</t>
  </si>
  <si>
    <t>Platelet glycoprotein IX OS=Mus musculus OX=10090 GN=Gp9 PE=1 SV=1</t>
  </si>
  <si>
    <t>Sphingomyelin phosphodiesterase 2 OS=Mus musculus OX=10090 GN=Smpd2 PE=1 SV=1</t>
  </si>
  <si>
    <t>Proline-serine-threonine phosphatase-interacting protein 1 OS=Mus musculus OX=10090 GN=Pstpip1 PE=1 SV=1</t>
  </si>
  <si>
    <t>CBP80/20-dependent translation initiation factor OS=Mus musculus OX=10090 GN=Ctif PE=1 SV=2</t>
  </si>
  <si>
    <t>Synaptojanin-1 OS=Mus musculus OX=10090 GN=Synj1 PE=1 SV=3</t>
  </si>
  <si>
    <t>Golgin subfamily A member 7 OS=Mus musculus OX=10090 GN=Golga7 PE=1 SV=1</t>
  </si>
  <si>
    <t>Beta-1-syntrophin OS=Mus musculus OX=10090 GN=Sntb1 PE=1 SV=4</t>
  </si>
  <si>
    <t>Large ribosomal subunit protein mL46 OS=Mus musculus OX=10090 GN=Mrpl46 PE=1 SV=1</t>
  </si>
  <si>
    <t>FAST kinase domain-containing protein 4 OS=Mus musculus OX=10090 GN=Tbrg4 PE=1 SV=1</t>
  </si>
  <si>
    <t>Myosin light chain 4 OS=Mus musculus OX=10090 GN=Myl4 PE=1 SV=3</t>
  </si>
  <si>
    <t>Bcl-2-associated transcription factor 1 OS=Mus musculus OX=10090 GN=Bclaf1 PE=1 SV=2</t>
  </si>
  <si>
    <t>Kelch-like protein 41 OS=Mus musculus OX=10090 GN=Klhl41 PE=1 SV=1</t>
  </si>
  <si>
    <t>E3 ubiquitin-protein ligase TRIM32 OS=Mus musculus OX=10090 GN=Trim32 PE=1 SV=2</t>
  </si>
  <si>
    <t>Surfeit locus protein 4 OS=Mus musculus OX=10090 GN=Surf4 PE=1 SV=1</t>
  </si>
  <si>
    <t>Laminin subunit alpha-2 OS=Mus musculus OX=10090 GN=Lama2 PE=1 SV=2</t>
  </si>
  <si>
    <t>Small nuclear ribonucleoprotein-associated protein B OS=Mus musculus OX=10090 GN=Snrpb PE=1 SV=1</t>
  </si>
  <si>
    <t>Small nuclear ribonucleoprotein-associated protein N OS=Mus musculus OX=10090 GN=Snrpn PE=1 SV=1</t>
  </si>
  <si>
    <t>Protein virilizer homolog OS=Mus musculus OX=10090 GN=Virma PE=1 SV=1</t>
  </si>
  <si>
    <t>Integral membrane protein 2B OS=Mus musculus OX=10090 GN=Itm2b PE=1 SV=1</t>
  </si>
  <si>
    <t>Protein mono-ADP-ribosyltransferase PARP12 OS=Mus musculus OX=10090 GN=Parp12 PE=1 SV=3</t>
  </si>
  <si>
    <t>ATP synthase subunit gamma, mitochondrial OS=Mus musculus OX=10090 GN=Atp5f1c PE=1 SV=1</t>
  </si>
  <si>
    <t>Protein yippee-like 5 OS=Mus musculus OX=10090 GN=Ypel5 PE=1 SV=1</t>
  </si>
  <si>
    <t>Ras GTPase-activating protein 3 OS=Mus musculus OX=10090 GN=Rasa3 PE=1 SV=2</t>
  </si>
  <si>
    <t>Phosphatidylinositol 3-kinase catalytic subunit type 3 OS=Mus musculus OX=10090 GN=Pik3c3 PE=1 SV=1</t>
  </si>
  <si>
    <t>Tafazzin OS=Mus musculus OX=10090 GN=Tafazzin PE=2 SV=1</t>
  </si>
  <si>
    <t>Large ribosomal subunit protein mL41 OS=Mus musculus OX=10090 GN=Mrpl41 PE=1 SV=1</t>
  </si>
  <si>
    <t>Mitochondrial carrier homolog 2 OS=Mus musculus OX=10090 GN=Mtch2 PE=1 SV=1</t>
  </si>
  <si>
    <t>Terminal uridylyltransferase 7 OS=Mus musculus OX=10090 GN=Tut7 PE=1 SV=3</t>
  </si>
  <si>
    <t>Mitochondrial import receptor subunit TOM22 homolog OS=Mus musculus OX=10090 GN=Tomm22 PE=1 SV=3</t>
  </si>
  <si>
    <t>Phospholipase D1 OS=Mus musculus OX=10090 GN=Pld1 PE=1 SV=1</t>
  </si>
  <si>
    <t>Peroxiredoxin-like 2A OS=Mus musculus OX=10090 GN=Prxl2a PE=1 SV=2</t>
  </si>
  <si>
    <t>Trafficking protein particle complex subunit 9 OS=Mus musculus OX=10090 GN=Trappc9 PE=1 SV=2</t>
  </si>
  <si>
    <t>Synaptopodin OS=Mus musculus OX=10090 GN=Synpo PE=1 SV=2</t>
  </si>
  <si>
    <t>Eukaryotic translation initiation factor 4E transporter OS=Mus musculus OX=10090 GN=Eif4enif1 PE=1 SV=2</t>
  </si>
  <si>
    <t>Cytoskeleton-associated protein 5 OS=Mus musculus OX=10090 GN=Ckap5 PE=1 SV=1</t>
  </si>
  <si>
    <t>Aldehyde dehydrogenase, mitochondrial OS=Mus musculus OX=10090 GN=Aldh2 PE=1 SV=1</t>
  </si>
  <si>
    <t>5'-AMP-activated protein kinase subunit beta-1 OS=Mus musculus OX=10090 GN=Prkab1 PE=1 SV=2</t>
  </si>
  <si>
    <t>Protein FAM210A OS=Mus musculus OX=10090 GN=Fam210a PE=1 SV=1</t>
  </si>
  <si>
    <t>AMP deaminase 3 OS=Mus musculus OX=10090 GN=Ampd3 PE=1 SV=2</t>
  </si>
  <si>
    <t>Sister chromatid cohesion protein PDS5 homolog B OS=Mus musculus OX=10090 GN=Pds5b PE=1 SV=1</t>
  </si>
  <si>
    <t>Peroxisomal acyl-coenzyme A oxidase 1 OS=Mus musculus OX=10090 GN=Acox1 PE=1 SV=5</t>
  </si>
  <si>
    <t>Beta-enolase OS=Mus musculus OX=10090 GN=Eno3 PE=1 SV=3</t>
  </si>
  <si>
    <t>Lupus La protein homolog OS=Mus musculus OX=10090 GN=Ssb PE=1 SV=1</t>
  </si>
  <si>
    <t>Microtubule-associated protein RP/EB family member 3 OS=Mus musculus OX=10090 GN=Mapre3 PE=1 SV=1</t>
  </si>
  <si>
    <t>DnaJ homolog subfamily B member 12 OS=Mus musculus OX=10090 GN=Dnajb12 PE=1 SV=2</t>
  </si>
  <si>
    <t>Unconventional myosin-X OS=Mus musculus OX=10090 GN=Myo10 PE=1 SV=1</t>
  </si>
  <si>
    <t>Malate dehydrogenase, cytoplasmic OS=Mus musculus OX=10090 GN=Mdh1 PE=1 SV=3</t>
  </si>
  <si>
    <t>Stromal interaction molecule 2 OS=Mus musculus OX=10090 GN=Stim2 PE=1 SV=2</t>
  </si>
  <si>
    <t>Serine/threonine-protein kinase Nek9 OS=Mus musculus OX=10090 GN=Nek9 PE=1 SV=2</t>
  </si>
  <si>
    <t>Vasodilator-stimulated phosphoprotein OS=Mus musculus OX=10090 GN=Vasp PE=1 SV=4</t>
  </si>
  <si>
    <t>Protein WWC2 OS=Mus musculus OX=10090 GN=Wwc2 PE=1 SV=1</t>
  </si>
  <si>
    <t>Cytoplasmic polyadenylation element-binding protein 3 OS=Mus musculus OX=10090 GN=Cpeb3 PE=1 SV=1</t>
  </si>
  <si>
    <t>55 kDa erythrocyte membrane protein OS=Mus musculus OX=10090 GN=Mpp1 PE=1 SV=1</t>
  </si>
  <si>
    <t>Large ribosomal subunit protein mL54 OS=Mus musculus OX=10090 GN=Mrpl54 PE=1 SV=1</t>
  </si>
  <si>
    <t>Aldehyde dehydrogenase family 3 member A2 OS=Mus musculus OX=10090 GN=Aldh3a2 PE=1 SV=2</t>
  </si>
  <si>
    <t>NF-kappa-B essential modulator OS=Mus musculus OX=10090 GN=Ikbkg PE=1 SV=2</t>
  </si>
  <si>
    <t>Rho GTPase-activating protein 45 OS=Mus musculus OX=10090 GN=Arhgap45 PE=1 SV=2</t>
  </si>
  <si>
    <t>ADP-ribosylation factor-like protein 1 OS=Mus musculus OX=10090 GN=Arl1 PE=1 SV=1</t>
  </si>
  <si>
    <t>14-3-3 protein theta OS=Mus musculus OX=10090 GN=Ywhaq PE=1 SV=1</t>
  </si>
  <si>
    <t>Protein phosphatase 1 regulatory subunit 12A OS=Mus musculus OX=10090 GN=Ppp1r12a PE=1 SV=2</t>
  </si>
  <si>
    <t>Large ribosomal subunit protein uL23m OS=Mus musculus OX=10090 GN=Mrpl23 PE=1 SV=1</t>
  </si>
  <si>
    <t>Protein kinase C delta type OS=Mus musculus OX=10090 GN=Prkcd PE=1 SV=3</t>
  </si>
  <si>
    <t>SAM and SH3 domain-containing protein 1 OS=Mus musculus OX=10090 GN=Sash1 PE=1 SV=1</t>
  </si>
  <si>
    <t>Pyruvate dehydrogenase protein X component, mitochondrial OS=Mus musculus OX=10090 GN=Pdhx PE=1 SV=1</t>
  </si>
  <si>
    <t>Zinc finger CCHC domain-containing protein 8 OS=Mus musculus OX=10090 GN=Zcchc8 PE=1 SV=3</t>
  </si>
  <si>
    <t>ATP-dependent Clp protease ATP-binding subunit clpX-like, mitochondrial OS=Mus musculus OX=10090 GN=Clpx PE=1 SV=2</t>
  </si>
  <si>
    <t>Protein SEC13 homolog OS=Mus musculus OX=10090 GN=Sec13 PE=1 SV=3</t>
  </si>
  <si>
    <t>Tyrosine-protein phosphatase non-receptor type 14 OS=Mus musculus OX=10090 GN=Ptpn14 PE=1 SV=2</t>
  </si>
  <si>
    <t>Transcription factor COE3 OS=Mus musculus OX=10090 GN=Ebf3 PE=1 SV=1</t>
  </si>
  <si>
    <t>RNA-binding protein with multiple splicing OS=Mus musculus OX=10090 GN=Rbpms PE=1 SV=2</t>
  </si>
  <si>
    <t>Disco-interacting protein 2 homolog B OS=Mus musculus OX=10090 GN=Dip2b PE=1 SV=1</t>
  </si>
  <si>
    <t>Small ribosomal subunit protein uS7 OS=Mus musculus OX=10090 GN=Rps5 PE=1 SV=4</t>
  </si>
  <si>
    <t>Claudin domain-containing protein 1 OS=Mus musculus OX=10090 GN=Cldnd1 PE=1 SV=1</t>
  </si>
  <si>
    <t>La-related protein 1 OS=Mus musculus OX=10090 GN=Larp1 PE=1 SV=3</t>
  </si>
  <si>
    <t>Evolutionarily conserved signaling intermediate in Toll pathway, mitochondrial OS=Mus musculus OX=10090 GN=Ecsit PE=1 SV=2</t>
  </si>
  <si>
    <t>F-box only protein 40 OS=Mus musculus OX=10090 GN=Fbxo40 PE=1 SV=1</t>
  </si>
  <si>
    <t>Glycerophosphocholine phosphodiesterase GPCPD1 OS=Mus musculus OX=10090 GN=Gpcpd1 PE=1 SV=1</t>
  </si>
  <si>
    <t>Serine-threonine kinase receptor-associated protein OS=Mus musculus OX=10090 GN=Strap PE=1 SV=2</t>
  </si>
  <si>
    <t>Lipoprotein lipase OS=Mus musculus OX=10090 GN=Lpl PE=1 SV=3</t>
  </si>
  <si>
    <t>DnaJ homolog subfamily C member 10 OS=Mus musculus OX=10090 GN=Dnajc10 PE=1 SV=2</t>
  </si>
  <si>
    <t>Protoporphyrinogen oxidase OS=Mus musculus OX=10090 GN=Ppox PE=1 SV=1</t>
  </si>
  <si>
    <t>Beta-taxilin OS=Mus musculus OX=10090 GN=Txlnb PE=1 SV=2</t>
  </si>
  <si>
    <t>FAST kinase domain-containing protein 2, mitochondrial OS=Mus musculus OX=10090 GN=Fastkd2 PE=2 SV=2</t>
  </si>
  <si>
    <t>ER membrane protein complex subunit 3 OS=Mus musculus OX=10090 GN=Emc3 PE=1 SV=3</t>
  </si>
  <si>
    <t>Forkhead box protein O1 OS=Mus musculus OX=10090 GN=Foxo1 PE=1 SV=2</t>
  </si>
  <si>
    <t>Rho guanine nucleotide exchange factor TIAM1 OS=Mus musculus OX=10090 GN=Tiam1 PE=1 SV=1</t>
  </si>
  <si>
    <t>Cullin-associated NEDD8-dissociated protein 2 OS=Mus musculus OX=10090 GN=Cand2 PE=1 SV=2</t>
  </si>
  <si>
    <t>Microtubule-associated protein RP/EB family member 2 OS=Mus musculus OX=10090 GN=Mapre2 PE=1 SV=1</t>
  </si>
  <si>
    <t>Trimethyllysine dioxygenase, mitochondrial OS=Mus musculus OX=10090 GN=Tmlhe PE=1 SV=2</t>
  </si>
  <si>
    <t>2-methoxy-6-polyprenyl-1,4-benzoquinol methylase, mitochondrial OS=Mus musculus OX=10090 GN=Coq5 PE=1 SV=2</t>
  </si>
  <si>
    <t>Serine/threonine-protein kinase 25 OS=Mus musculus OX=10090 GN=Stk25 PE=1 SV=2</t>
  </si>
  <si>
    <t>Large ribosomal subunit protein uL15 OS=Mus musculus OX=10090 GN=Rpl27a PE=1 SV=5</t>
  </si>
  <si>
    <t>Peptidyl-prolyl cis-trans isomerase FKBP8 OS=Mus musculus OX=10090 GN=Fkbp8 PE=1 SV=2</t>
  </si>
  <si>
    <t>Phosphoethanolamine/phosphocholine phosphatase OS=Mus musculus OX=10090 GN=Phospho1 PE=1 SV=1</t>
  </si>
  <si>
    <t>NEDD8-conjugating enzyme Ubc12 OS=Mus musculus OX=10090 GN=Ube2m PE=1 SV=1</t>
  </si>
  <si>
    <t>Tripartite motif-containing protein 54 OS=Mus musculus OX=10090 GN=Trim54 PE=1 SV=1</t>
  </si>
  <si>
    <t>Calpain-2 catalytic subunit OS=Mus musculus OX=10090 GN=Capn2 PE=1 SV=4</t>
  </si>
  <si>
    <t>NADPH:adrenodoxin oxidoreductase, mitochondrial OS=Mus musculus OX=10090 GN=Fdxr PE=1 SV=1</t>
  </si>
  <si>
    <t>Ras-related GTP-binding protein D OS=Mus musculus OX=10090 GN=Rragd PE=1 SV=2</t>
  </si>
  <si>
    <t>Peroxiredoxin-2 OS=Mus musculus OX=10090 GN=Prdx2 PE=1 SV=3</t>
  </si>
  <si>
    <t>PDZ and LIM domain protein 5 OS=Mus musculus OX=10090 GN=Pdlim5 PE=1 SV=4</t>
  </si>
  <si>
    <t>Golgi SNAP receptor complex member 1 OS=Mus musculus OX=10090 GN=Gosr1 PE=1 SV=2</t>
  </si>
  <si>
    <t>182 kDa tankyrase-1-binding protein OS=Mus musculus OX=10090 GN=Tnks1bp1 PE=1 SV=2</t>
  </si>
  <si>
    <t>AP-2 complex subunit sigma OS=Mus musculus OX=10090 GN=Ap2s1 PE=1 SV=1</t>
  </si>
  <si>
    <t>Rhotekin OS=Mus musculus OX=10090 GN=Rtkn PE=1 SV=3</t>
  </si>
  <si>
    <t>Protein Mpv17 OS=Mus musculus OX=10090 GN=Mpv17 PE=1 SV=1</t>
  </si>
  <si>
    <t>Signal-induced proliferation-associated protein 1 OS=Mus musculus OX=10090 GN=Sipa1 PE=1 SV=2</t>
  </si>
  <si>
    <t>Lysophosphatidic acid phosphatase type 6 OS=Mus musculus OX=10090 GN=Acp6 PE=1 SV=1</t>
  </si>
  <si>
    <t>Delta-sarcoglycan OS=Mus musculus OX=10090 GN=Sgcd PE=1 SV=1</t>
  </si>
  <si>
    <t>Dedicator of cytokinesis protein 6 OS=Mus musculus OX=10090 GN=Dock6 PE=1 SV=4</t>
  </si>
  <si>
    <t>Cytochrome c oxidase subunit 6B1 OS=Mus musculus OX=10090 GN=Cox6b1 PE=1 SV=2</t>
  </si>
  <si>
    <t>BOS complex subunit NCLN OS=Mus musculus OX=10090 GN=Ncln PE=1 SV=2</t>
  </si>
  <si>
    <t>Unconventional myosin-XVIIIa OS=Mus musculus OX=10090 GN=Myo18a PE=1 SV=2</t>
  </si>
  <si>
    <t>RNA-binding protein Musashi homolog 2 OS=Mus musculus OX=10090 GN=Msi2 PE=1 SV=1</t>
  </si>
  <si>
    <t>S-methyl-5'-thioadenosine phosphorylase OS=Mus musculus OX=10090 GN=Mtap PE=1 SV=1</t>
  </si>
  <si>
    <t>NADH dehydrogenase [ubiquinone] 1 alpha subcomplex subunit 12 OS=Mus musculus OX=10090 GN=Ndufa12 PE=1 SV=2</t>
  </si>
  <si>
    <t>Rho GTPase-activating protein SYDE1 OS=Mus musculus OX=10090 GN=Syde1 PE=1 SV=1</t>
  </si>
  <si>
    <t>Rho GTPase-activating protein 21 OS=Mus musculus OX=10090 GN=Arhgap21 PE=1 SV=2</t>
  </si>
  <si>
    <t>Putative ribosome-binding factor A, mitochondrial OS=Mus musculus OX=10090 GN=Rbfa PE=1 SV=1</t>
  </si>
  <si>
    <t>MICOS complex subunit Mic25 OS=Mus musculus OX=10090 GN=Chchd6 PE=1 SV=2</t>
  </si>
  <si>
    <t>Myoferlin OS=Mus musculus OX=10090 GN=Myof PE=1 SV=2</t>
  </si>
  <si>
    <t>Splicing factor 3B subunit 5 OS=Mus musculus OX=10090 GN=Sf3b5 PE=1 SV=1</t>
  </si>
  <si>
    <t>Valine--tRNA ligase, mitochondrial OS=Mus musculus OX=10090 GN=Vars2 PE=1 SV=2</t>
  </si>
  <si>
    <t>Tryptophan--tRNA ligase, cytoplasmic OS=Mus musculus OX=10090 GN=Wars1 PE=1 SV=2</t>
  </si>
  <si>
    <t>Heat shock 70 kDa protein 4L OS=Mus musculus OX=10090 GN=Hspa4l PE=1 SV=2</t>
  </si>
  <si>
    <t>Cell division control protein 42 homolog OS=Mus musculus OX=10090 GN=Cdc42 PE=1 SV=2</t>
  </si>
  <si>
    <t>SWI/SNF complex subunit SMARCC1 OS=Mus musculus OX=10090 GN=Smarcc1 PE=1 SV=2</t>
  </si>
  <si>
    <t>Microtubule-associated serine/threonine-protein kinase 3 OS=Mus musculus OX=10090 GN=Mast3 PE=1 SV=3</t>
  </si>
  <si>
    <t>Microtubule-actin cross-linking factor 1, isoforms 6/7 OS=Mus musculus OX=10090 GN=Macf1 PE=2 SV=3</t>
  </si>
  <si>
    <t>Solute carrier family 25 member 16 OS=Mus musculus OX=10090 GN=Slc25a16 PE=1 SV=1</t>
  </si>
  <si>
    <t>Multifunctional procollagen lysine hydroxylase and glycosyltransferase LH3 OS=Mus musculus OX=10090 GN=Plod3 PE=1 SV=1</t>
  </si>
  <si>
    <t>Striated muscle-specific serine/threonine-protein kinase OS=Mus musculus OX=10090 GN=Speg PE=1 SV=2</t>
  </si>
  <si>
    <t>Proteasomal ubiquitin receptor ADRM1 OS=Mus musculus OX=10090 GN=Adrm1 PE=1 SV=2</t>
  </si>
  <si>
    <t>HIG1 domain family member 1A, mitochondrial OS=Mus musculus OX=10090 GN=Higd1a PE=1 SV=1</t>
  </si>
  <si>
    <t>Aldehyde dehydrogenase 1A1 OS=Mus musculus OX=10090 GN=Aldh1a1 PE=1 SV=5</t>
  </si>
  <si>
    <t>Leucine-rich repeat serine/threonine-protein kinase 2 OS=Mus musculus OX=10090 GN=Lrrk2 PE=1 SV=2</t>
  </si>
  <si>
    <t>Rab11 family-interacting protein 5 OS=Mus musculus OX=10090 GN=Rab11fip5 PE=1 SV=2</t>
  </si>
  <si>
    <t>Dimethyladenosine transferase 1, mitochondrial OS=Mus musculus OX=10090 GN=Tfb1m PE=1 SV=1</t>
  </si>
  <si>
    <t>Sodium/hydrogen exchanger 1 OS=Mus musculus OX=10090 GN=Slc9a1 PE=1 SV=1</t>
  </si>
  <si>
    <t>Rapamycin-insensitive companion of mTOR OS=Mus musculus OX=10090 GN=Rictor PE=1 SV=2</t>
  </si>
  <si>
    <t>Small ribosomal subunit protein mS26 OS=Mus musculus OX=10090 GN=Mrps26 PE=1 SV=1</t>
  </si>
  <si>
    <t>Mth938 domain-containing protein OS=Mus musculus OX=10090 GN=Aamdc PE=1 SV=1</t>
  </si>
  <si>
    <t>Ubiquinone biosynthesis monooxygenase COQ6, mitochondrial OS=Mus musculus OX=10090 GN=Coq6 PE=1 SV=3</t>
  </si>
  <si>
    <t>3-mercaptopyruvate sulfurtransferase OS=Mus musculus OX=10090 GN=Mpst PE=1 SV=4</t>
  </si>
  <si>
    <t>Tumor protein D54 OS=Mus musculus OX=10090 GN=Tpd52l2 PE=1 SV=1</t>
  </si>
  <si>
    <t>Dynein light chain roadblock-type 1 OS=Mus musculus OX=10090 GN=Dynlrb1 PE=1 SV=3</t>
  </si>
  <si>
    <t>Protein-glutamine gamma-glutamyltransferase 2 OS=Mus musculus OX=10090 GN=Tgm2 PE=1 SV=4</t>
  </si>
  <si>
    <t>Caveolae-associated protein 3 OS=Mus musculus OX=10090 GN=Cavin3 PE=1 SV=1</t>
  </si>
  <si>
    <t>Ras-related protein Rab-2A OS=Mus musculus OX=10090 GN=Rab2a PE=1 SV=1</t>
  </si>
  <si>
    <t>Transmembrane protein 131 OS=Mus musculus OX=10090 GN=Tmem131 PE=2 SV=2</t>
  </si>
  <si>
    <t>Actin filament-associated protein 1-like 1 OS=Mus musculus OX=10090 GN=Afap1l1 PE=1 SV=1</t>
  </si>
  <si>
    <t>Protein disulfide-isomerase A6 OS=Mus musculus OX=10090 GN=Pdia6 PE=1 SV=3</t>
  </si>
  <si>
    <t>Heat shock factor-binding protein 1 OS=Mus musculus OX=10090 GN=Hsbp1 PE=1 SV=1</t>
  </si>
  <si>
    <t>Acidic fibroblast growth factor intracellular-binding protein OS=Mus musculus OX=10090 GN=Fibp PE=1 SV=1</t>
  </si>
  <si>
    <t>BolA-like protein 1 OS=Mus musculus OX=10090 GN=Bola1 PE=1 SV=1</t>
  </si>
  <si>
    <t>Mitogen-activated protein kinase 14 OS=Mus musculus OX=10090 GN=Mapk14 PE=1 SV=3</t>
  </si>
  <si>
    <t>GTP-binding protein GEM OS=Mus musculus OX=10090 GN=Gem PE=1 SV=2</t>
  </si>
  <si>
    <t>Serine/arginine repetitive matrix protein 2 OS=Mus musculus OX=10090 GN=Srrm2 PE=1 SV=3</t>
  </si>
  <si>
    <t>Exosome complex component RRP4 OS=Mus musculus OX=10090 GN=Exosc2 PE=1 SV=1</t>
  </si>
  <si>
    <t>Transthyretin OS=Mus musculus OX=10090 GN=Ttr PE=1 SV=1</t>
  </si>
  <si>
    <t>Serine/threonine-protein kinase PRP4 homolog OS=Mus musculus OX=10090 GN=Prpf4b PE=1 SV=3</t>
  </si>
  <si>
    <t>Fibrinogen beta chain OS=Mus musculus OX=10090 GN=Fgb PE=1 SV=1</t>
  </si>
  <si>
    <t>WD repeat-containing protein 11 OS=Mus musculus OX=10090 GN=Wdr11 PE=1 SV=1</t>
  </si>
  <si>
    <t>Elongator complex protein 3 OS=Mus musculus OX=10090 GN=Elp3 PE=1 SV=1</t>
  </si>
  <si>
    <t>Thioredoxin reductase 2, mitochondrial OS=Mus musculus OX=10090 GN=Txnrd2 PE=1 SV=4</t>
  </si>
  <si>
    <t>Trafficking protein particle complex subunit 4 OS=Mus musculus OX=10090 GN=Trappc4 PE=1 SV=1</t>
  </si>
  <si>
    <t>Intermembrane lipid transfer protein VPS13A OS=Mus musculus OX=10090 GN=Vps13a PE=1 SV=1</t>
  </si>
  <si>
    <t>Methylthioribose-1-phosphate isomerase OS=Mus musculus OX=10090 GN=Mri1 PE=1 SV=1</t>
  </si>
  <si>
    <t>Myb-binding protein 1A OS=Mus musculus OX=10090 GN=Mybbp1a PE=1 SV=2</t>
  </si>
  <si>
    <t>S-phase kinase-associated protein 1 OS=Mus musculus OX=10090 GN=Skp1 PE=1 SV=3</t>
  </si>
  <si>
    <t>Galactokinase OS=Mus musculus OX=10090 GN=Galk1 PE=1 SV=2</t>
  </si>
  <si>
    <t>Serine/threonine-protein kinase OSR1 OS=Mus musculus OX=10090 GN=Oxsr1 PE=1 SV=1</t>
  </si>
  <si>
    <t>Vacuolar protein sorting-associated protein 45 OS=Mus musculus OX=10090 GN=Vps45 PE=1 SV=1</t>
  </si>
  <si>
    <t>Small integral membrane protein 20 OS=Mus musculus OX=10090 GN=Smim20 PE=1 SV=1</t>
  </si>
  <si>
    <t>Dystrophin OS=Mus musculus OX=10090 GN=Dmd PE=1 SV=3</t>
  </si>
  <si>
    <t>Alpha-2-HS-glycoprotein OS=Mus musculus OX=10090 GN=Ahsg PE=1 SV=1</t>
  </si>
  <si>
    <t>TRAF-type zinc finger domain-containing protein 1 OS=Mus musculus OX=10090 GN=Trafd1 PE=1 SV=1</t>
  </si>
  <si>
    <t>Heterogeneous nuclear ribonucleoprotein Q OS=Mus musculus OX=10090 GN=Syncrip PE=1 SV=2</t>
  </si>
  <si>
    <t>RELT-like protein 1 OS=Mus musculus OX=10090 GN=Rell1 PE=2 SV=2</t>
  </si>
  <si>
    <t>NADH dehydrogenase [ubiquinone] iron-sulfur protein 3, mitochondrial OS=Mus musculus OX=10090 GN=Ndufs3 PE=1 SV=2</t>
  </si>
  <si>
    <t>Stress-70 protein, mitochondrial OS=Mus musculus OX=10090 GN=Hspa9 PE=1 SV=3</t>
  </si>
  <si>
    <t>Hexokinase-1 OS=Mus musculus OX=10090 GN=Hk1 PE=1 SV=3</t>
  </si>
  <si>
    <t>Mitochondrial 2-oxoglutarate/malate carrier protein OS=Mus musculus OX=10090 GN=Slc25a11 PE=1 SV=3</t>
  </si>
  <si>
    <t>Cullin-4A OS=Mus musculus OX=10090 GN=Cul4a PE=1 SV=1</t>
  </si>
  <si>
    <t>NADH dehydrogenase [ubiquinone] 1 alpha subcomplex subunit 5 OS=Mus musculus OX=10090 GN=Ndufa5 PE=1 SV=3</t>
  </si>
  <si>
    <t>Vimentin OS=Mus musculus OX=10090 GN=Vim PE=1 SV=3</t>
  </si>
  <si>
    <t>Small ribosomal subunit protein uS15 OS=Mus musculus OX=10090 GN=Rps13 PE=1 SV=2</t>
  </si>
  <si>
    <t>Thyroid hormone receptor-associated protein 3 OS=Mus musculus OX=10090 GN=Thrap3 PE=1 SV=1</t>
  </si>
  <si>
    <t>Large ribosomal subunit protein uL16-like OS=Mus musculus OX=10090 GN=Rpl10l PE=1 SV=1</t>
  </si>
  <si>
    <t>Large ribosomal subunit protein uL16 OS=Mus musculus OX=10090 GN=Rpl10 PE=1 SV=3</t>
  </si>
  <si>
    <t>Large ribosomal subunit protein eL20 OS=Mus musculus OX=10090 GN=Rpl18a PE=1 SV=1</t>
  </si>
  <si>
    <t>Hemoglobin subunit beta-2 OS=Mus musculus OX=10090 GN=Hbb-b2 PE=1 SV=2</t>
  </si>
  <si>
    <t>Serine/threonine-protein phosphatase PP1-alpha catalytic subunit OS=Mus musculus OX=10090 GN=Ppp1ca PE=1 SV=1</t>
  </si>
  <si>
    <t>Proteasome activator complex subunit 1 OS=Mus musculus OX=10090 GN=Psme1 PE=1 SV=2</t>
  </si>
  <si>
    <t>Intermembrane lipid transfer protein VPS13C OS=Mus musculus OX=10090 GN=Vps13c PE=1 SV=2</t>
  </si>
  <si>
    <t>5-aminolevulinate synthase, non-specific, mitochondrial OS=Mus musculus OX=10090 GN=Alas1 PE=1 SV=2</t>
  </si>
  <si>
    <t>Guanine deaminase OS=Mus musculus OX=10090 GN=Gda PE=1 SV=1</t>
  </si>
  <si>
    <t>Large ribosomal subunit protein eL6 OS=Mus musculus OX=10090 GN=Rpl6 PE=1 SV=3</t>
  </si>
  <si>
    <t>Transcription factor GATA-6 OS=Mus musculus OX=10090 GN=Gata6 PE=1 SV=3</t>
  </si>
  <si>
    <t>Transcription factor COE2 OS=Mus musculus OX=10090 GN=Ebf2 PE=1 SV=4</t>
  </si>
  <si>
    <t>116 kDa U5 small nuclear ribonucleoprotein component OS=Mus musculus OX=10090 GN=Eftud2 PE=1 SV=1</t>
  </si>
  <si>
    <t>Elongation factor 1-gamma OS=Mus musculus OX=10090 GN=Eef1g PE=1 SV=3</t>
  </si>
  <si>
    <t>Inositol 1,4,5-trisphosphate receptor type 1 OS=Mus musculus OX=10090 GN=Itpr1 PE=1 SV=2</t>
  </si>
  <si>
    <t>Heat shock 70 kDa protein 4 OS=Mus musculus OX=10090 GN=Hspa4 PE=1 SV=1</t>
  </si>
  <si>
    <t>Cytochrome b5 type B OS=Mus musculus OX=10090 GN=Cyb5b PE=1 SV=1</t>
  </si>
  <si>
    <t>Cyclin-dependent kinase 5 OS=Mus musculus OX=10090 GN=Cdk5 PE=1 SV=1</t>
  </si>
  <si>
    <t>Ras-related C3 botulinum toxin substrate 3 OS=Mus musculus OX=10090 GN=Rac3 PE=1 SV=1</t>
  </si>
  <si>
    <t>Ras-related C3 botulinum toxin substrate 1 OS=Mus musculus OX=10090 GN=Rac1 PE=1 SV=1</t>
  </si>
  <si>
    <t>Cysteine-rich protein 1 OS=Mus musculus OX=10090 GN=Crip1 PE=1 SV=2</t>
  </si>
  <si>
    <t>Atrial natriuretic peptide receptor 3 OS=Mus musculus OX=10090 GN=Npr3 PE=1 SV=3</t>
  </si>
  <si>
    <t>Egl nine homolog 1 OS=Mus musculus OX=10090 GN=Egln1 PE=1 SV=2</t>
  </si>
  <si>
    <t>Leucine--tRNA ligase, cytoplasmic OS=Mus musculus OX=10090 GN=Lars1 PE=1 SV=2</t>
  </si>
  <si>
    <t>Forkhead box protein O6 OS=Mus musculus OX=10090 GN=Foxo6 PE=1 SV=1</t>
  </si>
  <si>
    <t>Protein transport protein Sec31A OS=Mus musculus OX=10090 GN=Sec31a PE=1 SV=2</t>
  </si>
  <si>
    <t>Protein PALS2 OS=Mus musculus OX=10090 GN=Pals2 PE=1 SV=1</t>
  </si>
  <si>
    <t>Homer protein homolog 3 OS=Mus musculus OX=10090 GN=Homer3 PE=1 SV=2</t>
  </si>
  <si>
    <t>Histone deacetylase 6 OS=Mus musculus OX=10090 GN=Hdac6 PE=1 SV=3</t>
  </si>
  <si>
    <t>Delta(3,5)-Delta(2,4)-dienoyl-CoA isomerase, mitochondrial OS=Mus musculus OX=10090 GN=Ech1 PE=1 SV=1</t>
  </si>
  <si>
    <t>Aladin OS=Mus musculus OX=10090 GN=Aaas PE=1 SV=1</t>
  </si>
  <si>
    <t>Phosphatidylinositol 5-phosphate 4-kinase type-2 alpha OS=Mus musculus OX=10090 GN=Pip4k2a PE=1 SV=1</t>
  </si>
  <si>
    <t>Ral GTPase-activating protein subunit alpha-2 OS=Mus musculus OX=10090 GN=Ralgapa2 PE=1 SV=2</t>
  </si>
  <si>
    <t>Laminin subunit gamma-1 OS=Mus musculus OX=10090 GN=Lamc1 PE=1 SV=2</t>
  </si>
  <si>
    <t>Receptor expression-enhancing protein 1 OS=Mus musculus OX=10090 GN=Reep1 PE=1 SV=1</t>
  </si>
  <si>
    <t>Eukaryotic translation initiation factor 3 subunit F OS=Mus musculus OX=10090 GN=Eif3f PE=1 SV=2</t>
  </si>
  <si>
    <t>Transcriptional coactivator YAP1 OS=Mus musculus OX=10090 GN=Yap1 PE=1 SV=2</t>
  </si>
  <si>
    <t>Large ribosomal subunit protein bL9m OS=Mus musculus OX=10090 GN=Mrpl9 PE=1 SV=2</t>
  </si>
  <si>
    <t>Na(+)/H(+) exchange regulatory cofactor NHE-RF2 OS=Mus musculus OX=10090 GN=Nherf2 PE=1 SV=2</t>
  </si>
  <si>
    <t>1,4-alpha-glucan-branching enzyme OS=Mus musculus OX=10090 GN=Gbe1 PE=1 SV=1</t>
  </si>
  <si>
    <t>DENN domain-containing protein 10 OS=Mus musculus OX=10090 GN=Dennd10 PE=1 SV=2</t>
  </si>
  <si>
    <t>Cdc42-interacting protein 4 OS=Mus musculus OX=10090 GN=Trip10 PE=1 SV=2</t>
  </si>
  <si>
    <t>Proto-oncogene tyrosine-protein kinase Src OS=Mus musculus OX=10090 GN=Src PE=1 SV=5</t>
  </si>
  <si>
    <t>Aspartyl aminopeptidase OS=Mus musculus OX=10090 GN=Dnpep PE=1 SV=2</t>
  </si>
  <si>
    <t>Microtubule-associated serine/threonine-protein kinase 2 OS=Mus musculus OX=10090 GN=Mast2 PE=1 SV=1</t>
  </si>
  <si>
    <t>Desmin OS=Mus musculus OX=10090 GN=Des PE=1 SV=3</t>
  </si>
  <si>
    <t>Serine/threonine-protein phosphatase 2B catalytic subunit beta isoform OS=Mus musculus OX=10090 GN=Ppp3cb PE=1 SV=2</t>
  </si>
  <si>
    <t>Deaminated glutathione amidase OS=Mus musculus OX=10090 GN=Nit1 PE=1 SV=2</t>
  </si>
  <si>
    <t>Eukaryotic initiation factor 4A-I OS=Mus musculus OX=10090 GN=Eif4a1 PE=1 SV=1</t>
  </si>
  <si>
    <t>Catenin alpha-3 OS=Mus musculus OX=10090 GN=Ctnna3 PE=1 SV=2</t>
  </si>
  <si>
    <t>Large ribosomal subunit protein uL1 OS=Mus musculus OX=10090 GN=Rpl10a PE=1 SV=3</t>
  </si>
  <si>
    <t>1-acyl-sn-glycerol-3-phosphate acyltransferase epsilon OS=Mus musculus OX=10090 GN=Agpat5 PE=1 SV=2</t>
  </si>
  <si>
    <t>Myosin-binding protein C, cardiac-type OS=Mus musculus OX=10090 GN=Mybpc3 PE=1 SV=1</t>
  </si>
  <si>
    <t>C-1-tetrahydrofolate synthase, cytoplasmic OS=Mus musculus OX=10090 GN=Mthfd1 PE=1 SV=4</t>
  </si>
  <si>
    <t>Very long-chain specific acyl-CoA dehydrogenase, mitochondrial OS=Mus musculus OX=10090 GN=Acadvl PE=1 SV=3</t>
  </si>
  <si>
    <t>Small ribosomal subunit protein uS5m OS=Mus musculus OX=10090 GN=Mrps5 PE=1 SV=1</t>
  </si>
  <si>
    <t>Microtubule-associated protein 4 OS=Mus musculus OX=10090 GN=Map4 PE=1 SV=3</t>
  </si>
  <si>
    <t>Thioredoxin reductase-like selenoprotein T OS=Mus musculus OX=10090 GN=Selenot PE=1 SV=2</t>
  </si>
  <si>
    <t>Trafficking protein particle complex subunit 2 OS=Mus musculus OX=10090 GN=Trappc2 PE=1 SV=1</t>
  </si>
  <si>
    <t>Ras-related protein Rab-11B OS=Mus musculus OX=10090 GN=Rab11b PE=1 SV=3</t>
  </si>
  <si>
    <t>Ras-related protein Rab-11A OS=Mus musculus OX=10090 GN=Rab11a PE=1 SV=3</t>
  </si>
  <si>
    <t>Chitobiosyldiphosphodolichol beta-mannosyltransferase OS=Mus musculus OX=10090 GN=Alg1 PE=1 SV=3</t>
  </si>
  <si>
    <t>Translocon-associated protein subunit alpha OS=Mus musculus OX=10090 GN=Ssr1 PE=1 SV=1</t>
  </si>
  <si>
    <t>Enhancer of mRNA-decapping protein 3 OS=Mus musculus OX=10090 GN=Edc3 PE=1 SV=1</t>
  </si>
  <si>
    <t>Dynamin-binding protein OS=Mus musculus OX=10090 GN=Dnmbp PE=1 SV=2</t>
  </si>
  <si>
    <t>GPI-anchor transamidase OS=Mus musculus OX=10090 GN=Pigk PE=1 SV=2</t>
  </si>
  <si>
    <t>Rab3 GTPase-activating protein catalytic subunit OS=Mus musculus OX=10090 GN=Rab3gap1 PE=1 SV=4</t>
  </si>
  <si>
    <t>Phosphoribosyl pyrophosphate synthase-associated protein 2 OS=Mus musculus OX=10090 GN=Prpsap2 PE=1 SV=1</t>
  </si>
  <si>
    <t>Ras and Rab interactor 3 OS=Mus musculus OX=10090 GN=Rin3 PE=1 SV=2</t>
  </si>
  <si>
    <t>Peptidyl-prolyl cis-trans isomerase FKBP5 OS=Mus musculus OX=10090 GN=Fkbp5 PE=1 SV=1</t>
  </si>
  <si>
    <t>Rho GTPase-activating protein 20 OS=Mus musculus OX=10090 GN=Arhgap20 PE=1 SV=1</t>
  </si>
  <si>
    <t>Smoothelin-like protein 2 OS=Mus musculus OX=10090 GN=Smtnl2 PE=1 SV=1</t>
  </si>
  <si>
    <t>SNW domain-containing protein 1 OS=Mus musculus OX=10090 GN=Snw1 PE=1 SV=3</t>
  </si>
  <si>
    <t>Very-long-chain (3R)-3-hydroxyacyl-CoA dehydratase 3 OS=Mus musculus OX=10090 GN=Hacd3 PE=1 SV=2</t>
  </si>
  <si>
    <t>Serine/threonine-protein kinase MARK1 OS=Mus musculus OX=10090 GN=Mark1 PE=1 SV=2</t>
  </si>
  <si>
    <t>Histidine--tRNA ligase, mitochondrial OS=Mus musculus OX=10090 GN=Hars2 PE=1 SV=1</t>
  </si>
  <si>
    <t>Telethonin OS=Mus musculus OX=10090 GN=Tcap PE=1 SV=1</t>
  </si>
  <si>
    <t>Bcl-2-like protein 13 OS=Mus musculus OX=10090 GN=Bcl2l13 PE=1 SV=2</t>
  </si>
  <si>
    <t>COP9 signalosome complex subunit 5 OS=Mus musculus OX=10090 GN=Cops5 PE=1 SV=3</t>
  </si>
  <si>
    <t>Band 4.1-like protein 1 OS=Mus musculus OX=10090 GN=Epb41l1 PE=1 SV=2</t>
  </si>
  <si>
    <t>Medium-chain acyl-CoA ligase ACSF2, mitochondrial OS=Mus musculus OX=10090 GN=Acsf2 PE=1 SV=1</t>
  </si>
  <si>
    <t>Heterogeneous nuclear ribonucleoprotein H OS=Mus musculus OX=10090 GN=Hnrnph1 PE=1 SV=3</t>
  </si>
  <si>
    <t>Calcium/calmodulin-dependent protein kinase type II subunit alpha OS=Mus musculus OX=10090 GN=Camk2a PE=1 SV=2</t>
  </si>
  <si>
    <t>KH domain-containing RNA-binding protein QKI OS=Mus musculus OX=10090 GN=Qki PE=1 SV=1</t>
  </si>
  <si>
    <t>UV radiation resistance-associated protein OS=Mus musculus OX=10090 GN=Uvrag PE=1 SV=2</t>
  </si>
  <si>
    <t>SWI/SNF-related matrix-associated actin-dependent regulator of chromatin subfamily E member 1 OS=Mus musculus OX=10090 GN=Smarce1 PE=1 SV=1</t>
  </si>
  <si>
    <t>Mitochondrial fission 1 protein OS=Mus musculus OX=10090 GN=Fis1 PE=1 SV=1</t>
  </si>
  <si>
    <t>Plexin domain-containing protein 2 OS=Mus musculus OX=10090 GN=Plxdc2 PE=1 SV=1</t>
  </si>
  <si>
    <t>Atrophin-1 OS=Mus musculus OX=10090 GN=Atn1 PE=1 SV=1</t>
  </si>
  <si>
    <t>Antithrombin-III OS=Mus musculus OX=10090 GN=Serpinc1 PE=1 SV=1</t>
  </si>
  <si>
    <t>Perilipin-1 OS=Mus musculus OX=10090 GN=Plin1 PE=1 SV=2</t>
  </si>
  <si>
    <t>Serine hydroxymethyltransferase, mitochondrial OS=Mus musculus OX=10090 GN=Shmt2 PE=1 SV=1</t>
  </si>
  <si>
    <t>Pleckstrin homology domain-containing family A member 6 OS=Mus musculus OX=10090 GN=Plekha6 PE=1 SV=1</t>
  </si>
  <si>
    <t>NADH dehydrogenase [ubiquinone] 1 alpha subcomplex subunit 8 OS=Mus musculus OX=10090 GN=Ndufa8 PE=1 SV=3</t>
  </si>
  <si>
    <t>Protein SCO2 homolog, mitochondrial OS=Mus musculus OX=10090 GN=Sco2 PE=1 SV=1</t>
  </si>
  <si>
    <t>Septin-4 OS=Mus musculus OX=10090 GN=Septin4 PE=1 SV=1</t>
  </si>
  <si>
    <t>Glycosylphosphatidylinositol anchor attachment 1 protein OS=Mus musculus OX=10090 GN=Gpaa1 PE=1 SV=3</t>
  </si>
  <si>
    <t>Metaxin-2 OS=Mus musculus OX=10090 GN=Mtx2 PE=1 SV=1</t>
  </si>
  <si>
    <t>Eukaryotic initiation factor 4A-II OS=Mus musculus OX=10090 GN=Eif4a2 PE=1 SV=2</t>
  </si>
  <si>
    <t>Leucine-rich repeat-containing protein 59 OS=Mus musculus OX=10090 GN=Lrrc59 PE=1 SV=1</t>
  </si>
  <si>
    <t>Sorting and assembly machinery component 50 homolog OS=Mus musculus OX=10090 GN=Samm50 PE=1 SV=1</t>
  </si>
  <si>
    <t>Dolichyl-diphosphooligosaccharide--protein glycosyltransferase subunit DAD1 OS=Mus musculus OX=10090 GN=Dad1 PE=1 SV=3</t>
  </si>
  <si>
    <t>MICOS complex subunit Mic19 OS=Mus musculus OX=10090 GN=Chchd3 PE=1 SV=1</t>
  </si>
  <si>
    <t>Cap-specific mRNA (nucleoside-2'-O-)-methyltransferase 1 OS=Mus musculus OX=10090 GN=Cmtr1 PE=1 SV=1</t>
  </si>
  <si>
    <t>Trafficking protein particle complex subunit 2-like protein OS=Mus musculus OX=10090 GN=Trappc2l PE=1 SV=1</t>
  </si>
  <si>
    <t>RNA-binding protein FXR2 OS=Mus musculus OX=10090 GN=Fxr2 PE=1 SV=1</t>
  </si>
  <si>
    <t>6-phosphofructo-2-kinase/fructose-2,6-bisphosphatase 2 OS=Mus musculus OX=10090 GN=Pfkfb2 PE=1 SV=2</t>
  </si>
  <si>
    <t>Microtubule-associated protein RP/EB family member 1 OS=Mus musculus OX=10090 GN=Mapre1 PE=1 SV=3</t>
  </si>
  <si>
    <t>Probable proline--tRNA ligase, mitochondrial OS=Mus musculus OX=10090 GN=Pars2 PE=1 SV=2</t>
  </si>
  <si>
    <t>Histone H2B type 1-A OS=Mus musculus OX=10090 GN=H2bc1 PE=1 SV=3</t>
  </si>
  <si>
    <t>LIM and calponin homology domains-containing protein 1 OS=Mus musculus OX=10090 GN=Limch1 PE=1 SV=2</t>
  </si>
  <si>
    <t>Fatty acid-binding protein, heart OS=Mus musculus OX=10090 GN=Fabp3 PE=1 SV=5</t>
  </si>
  <si>
    <t>Cytochrome c oxidase assembly protein COX15 homolog OS=Mus musculus OX=10090 GN=Cox15 PE=1 SV=1</t>
  </si>
  <si>
    <t>Aminoacyl tRNA synthase complex-interacting multifunctional protein 1 OS=Mus musculus OX=10090 GN=Aimp1 PE=1 SV=2</t>
  </si>
  <si>
    <t>Adenylate cyclase type 9 OS=Mus musculus OX=10090 GN=Adcy9 PE=1 SV=1</t>
  </si>
  <si>
    <t>Cysteine and glycine-rich protein 1 OS=Mus musculus OX=10090 GN=Csrp1 PE=1 SV=3</t>
  </si>
  <si>
    <t>Methylmalonyl-CoA mutase, mitochondrial OS=Mus musculus OX=10090 GN=Mmut PE=1 SV=2</t>
  </si>
  <si>
    <t>Calponin-2 OS=Mus musculus OX=10090 GN=Cnn2 PE=1 SV=1</t>
  </si>
  <si>
    <t>COX assembly mitochondrial protein homolog OS=Mus musculus OX=10090 GN=Cmc1 PE=1 SV=1</t>
  </si>
  <si>
    <t>Ubiquitin carboxyl-terminal hydrolase 4 OS=Mus musculus OX=10090 GN=Usp4 PE=1 SV=3</t>
  </si>
  <si>
    <t>Cyclin-dependent kinase 12 OS=Mus musculus OX=10090 GN=Cdk12 PE=1 SV=2</t>
  </si>
  <si>
    <t>AP-3 complex subunit delta-1 OS=Mus musculus OX=10090 GN=Ap3d1 PE=1 SV=1</t>
  </si>
  <si>
    <t>Transcription factor 4 OS=Mus musculus OX=10090 GN=Tcf4 PE=1 SV=1</t>
  </si>
  <si>
    <t>Ubiquitin-like modifier-activating enzyme 6 OS=Mus musculus OX=10090 GN=Uba6 PE=1 SV=1</t>
  </si>
  <si>
    <t>Complex I assembly factor TIMMDC1, mitochondrial OS=Mus musculus OX=10090 GN=Timmdc1 PE=1 SV=1</t>
  </si>
  <si>
    <t>Coiled-coil domain-containing protein 90B, mitochondrial OS=Mus musculus OX=10090 GN=Ccdc90b PE=1 SV=1</t>
  </si>
  <si>
    <t>Large ribosomal subunit protein uL30m OS=Mus musculus OX=10090 GN=Mrpl30 PE=1 SV=1</t>
  </si>
  <si>
    <t>Protein cereblon OS=Mus musculus OX=10090 GN=Crbn PE=1 SV=1</t>
  </si>
  <si>
    <t>Mitochondrial Rho GTPase 2 OS=Mus musculus OX=10090 GN=Rhot2 PE=1 SV=1</t>
  </si>
  <si>
    <t>Cytoplasmic dynein 1 intermediate chain 2 OS=Mus musculus OX=10090 GN=Dync1i2 PE=1 SV=1</t>
  </si>
  <si>
    <t>Protein numb homolog OS=Mus musculus OX=10090 GN=Numb PE=1 SV=1</t>
  </si>
  <si>
    <t>GRB2-associated-binding protein 1 OS=Mus musculus OX=10090 GN=Gab1 PE=1 SV=2</t>
  </si>
  <si>
    <t>GRB10-interacting GYF protein 2 OS=Mus musculus OX=10090 GN=Gigyf2 PE=1 SV=2</t>
  </si>
  <si>
    <t>Large ribosomal subunit protein uL6 OS=Mus musculus OX=10090 GN=Rpl9 PE=1 SV=2</t>
  </si>
  <si>
    <t>PCI domain-containing protein 2 OS=Mus musculus OX=10090 GN=Pcid2 PE=1 SV=1</t>
  </si>
  <si>
    <t>Serine/threonine-protein kinase TBK1 OS=Mus musculus OX=10090 GN=Tbk1 PE=1 SV=1</t>
  </si>
  <si>
    <t>Brain-specific angiogenesis inhibitor 1-associated protein 2-like protein 1 OS=Mus musculus OX=10090 GN=Baiap2l1 PE=1 SV=1</t>
  </si>
  <si>
    <t>Glutamine--tRNA ligase OS=Mus musculus OX=10090 GN=Qars1 PE=1 SV=1</t>
  </si>
  <si>
    <t>Septin-11 OS=Mus musculus OX=10090 GN=Septin11 PE=1 SV=4</t>
  </si>
  <si>
    <t>Serine/threonine-protein phosphatase PGAM5, mitochondrial OS=Mus musculus OX=10090 GN=Pgam5 PE=1 SV=1</t>
  </si>
  <si>
    <t>Sequestosome-1 OS=Mus musculus OX=10090 GN=Sqstm1 PE=1 SV=1</t>
  </si>
  <si>
    <t>Probable global transcription activator SNF2L2 OS=Mus musculus OX=10090 GN=Smarca2 PE=1 SV=1</t>
  </si>
  <si>
    <t>Glutamine synthetase OS=Mus musculus OX=10090 GN=Glul PE=1 SV=6</t>
  </si>
  <si>
    <t>Carbonic anhydrase 2 OS=Mus musculus OX=10090 GN=Ca2 PE=1 SV=4</t>
  </si>
  <si>
    <t>Calcium/calmodulin-dependent protein kinase type II subunit beta OS=Mus musculus OX=10090 GN=Camk2b PE=1 SV=2</t>
  </si>
  <si>
    <t>Rho GTPase-activating protein 17 OS=Mus musculus OX=10090 GN=Arhgap17 PE=1 SV=1</t>
  </si>
  <si>
    <t>Atlastin-1 OS=Mus musculus OX=10090 GN=Atl1 PE=1 SV=1</t>
  </si>
  <si>
    <t>PITH domain-containing protein 1 OS=Mus musculus OX=10090 GN=Pithd1 PE=1 SV=1</t>
  </si>
  <si>
    <t>Nucleoporin NDC1 OS=Mus musculus OX=10090 GN=Ndc1 PE=1 SV=1</t>
  </si>
  <si>
    <t>Rab5 GDP/GTP exchange factor OS=Mus musculus OX=10090 GN=Rabgef1 PE=1 SV=1</t>
  </si>
  <si>
    <t>Tumor protein D52 OS=Mus musculus OX=10090 GN=Tpd52 PE=1 SV=2</t>
  </si>
  <si>
    <t>Platelet glycoprotein 4 OS=Mus musculus OX=10090 GN=Cd36 PE=1 SV=2</t>
  </si>
  <si>
    <t>Protein SOGA1 OS=Mus musculus OX=10090 GN=Soga1 PE=1 SV=3</t>
  </si>
  <si>
    <t>Glutamate--cysteine ligase regulatory subunit OS=Mus musculus OX=10090 GN=Gclm PE=1 SV=1</t>
  </si>
  <si>
    <t>Peroxisomal ATPase PEX6 OS=Mus musculus OX=10090 GN=Pex6 PE=1 SV=1</t>
  </si>
  <si>
    <t>7SK snRNA methylphosphate capping enzyme OS=Mus musculus OX=10090 GN=Mepce PE=1 SV=2</t>
  </si>
  <si>
    <t>Eukaryotic translation initiation factor 3 subunit B OS=Mus musculus OX=10090 GN=Eif3b PE=1 SV=1</t>
  </si>
  <si>
    <t>Dual specificity mitogen-activated protein kinase kinase 4 OS=Mus musculus OX=10090 GN=Map2k4 PE=1 SV=2</t>
  </si>
  <si>
    <t>Cathepsin D OS=Mus musculus OX=10090 GN=Ctsd PE=1 SV=1</t>
  </si>
  <si>
    <t>Leucine-rich repeat and calponin homology domain-containing protein 1 OS=Mus musculus OX=10090 GN=Lrch1 PE=1 SV=2</t>
  </si>
  <si>
    <t>Serine-rich coiled-coil domain-containing protein 2 OS=Mus musculus OX=10090 GN=Ccser2 PE=1 SV=1</t>
  </si>
  <si>
    <t>Peptidyl-tRNA hydrolase 2, mitochondrial OS=Mus musculus OX=10090 GN=Ptrh2 PE=1 SV=1</t>
  </si>
  <si>
    <t>Protein BRICK1 OS=Mus musculus OX=10090 GN=Brk1 PE=1 SV=1</t>
  </si>
  <si>
    <t>NADH dehydrogenase [ubiquinone] 1 beta subcomplex subunit 3 OS=Mus musculus OX=10090 GN=Ndufb3 PE=1 SV=1</t>
  </si>
  <si>
    <t>Lon protease homolog 2, peroxisomal OS=Mus musculus OX=10090 GN=Lonp2 PE=1 SV=1</t>
  </si>
  <si>
    <t>Band 4.1-like protein 3 OS=Mus musculus OX=10090 GN=Epb41l3 PE=1 SV=1</t>
  </si>
  <si>
    <t>Cleavage and polyadenylation specificity factor subunit 2 OS=Mus musculus OX=10090 GN=Cpsf2 PE=1 SV=1</t>
  </si>
  <si>
    <t>RILP-like protein 1 OS=Mus musculus OX=10090 GN=Rilpl1 PE=1 SV=1</t>
  </si>
  <si>
    <t>Talin-1 OS=Mus musculus OX=10090 GN=Tln1 PE=1 SV=2</t>
  </si>
  <si>
    <t>Autophagy-related protein 9A OS=Mus musculus OX=10090 GN=Atg9a PE=1 SV=2</t>
  </si>
  <si>
    <t>Catenin beta-1 OS=Mus musculus OX=10090 GN=Ctnnb1 PE=1 SV=1</t>
  </si>
  <si>
    <t>Mitochondrial nicotinamide adenine dinucleotide transporter SLC25A51 OS=Mus musculus OX=10090 GN=Slc25a51 PE=1 SV=1</t>
  </si>
  <si>
    <t>Transmembrane and coiled-coil domains protein 2 OS=Mus musculus OX=10090 GN=Tmcc2 PE=1 SV=1</t>
  </si>
  <si>
    <t>WD repeat-containing protein 37 OS=Mus musculus OX=10090 GN=Wdr37 PE=1 SV=1</t>
  </si>
  <si>
    <t>N-lysine methyltransferase SMYD2 OS=Mus musculus OX=10090 GN=Smyd2 PE=1 SV=1</t>
  </si>
  <si>
    <t>Succinyl-CoA:3-ketoacid coenzyme A transferase 1, mitochondrial OS=Mus musculus OX=10090 GN=Oxct1 PE=1 SV=1</t>
  </si>
  <si>
    <t>Mitochondrial-processing peptidase subunit alpha OS=Mus musculus OX=10090 GN=Pmpca PE=1 SV=1</t>
  </si>
  <si>
    <t>ER membrane protein complex subunit 1 OS=Mus musculus OX=10090 GN=Emc1 PE=1 SV=1</t>
  </si>
  <si>
    <t>Nuclear factor 1 A-type OS=Mus musculus OX=10090 GN=Nfia PE=1 SV=1</t>
  </si>
  <si>
    <t>Chromodomain-helicase-DNA-binding protein 4 OS=Mus musculus OX=10090 GN=Chd4 PE=1 SV=1</t>
  </si>
  <si>
    <t>Phosphorylase b kinase regulatory subunit alpha, liver isoform OS=Mus musculus OX=10090 GN=Phka2 PE=1 SV=1</t>
  </si>
  <si>
    <t>NADH dehydrogenase [ubiquinone] iron-sulfur protein 2, mitochondrial OS=Mus musculus OX=10090 GN=Ndufs2 PE=1 SV=1</t>
  </si>
  <si>
    <t>PDZ and LIM domain protein 7 OS=Mus musculus OX=10090 GN=Pdlim7 PE=1 SV=1</t>
  </si>
  <si>
    <t>Cell division cycle protein 16 homolog OS=Mus musculus OX=10090 GN=Cdc16 PE=1 SV=1</t>
  </si>
  <si>
    <t>ATP-dependent (S)-NAD(P)H-hydrate dehydratase OS=Mus musculus OX=10090 GN=Naxd PE=1 SV=1</t>
  </si>
  <si>
    <t>Mitochondrial carnitine/acylcarnitine carrier protein OS=Mus musculus OX=10090 GN=Slc25a20 PE=1 SV=1</t>
  </si>
  <si>
    <t>Very-long-chain 3-oxoacyl-CoA reductase OS=Mus musculus OX=10090 GN=Hsd17b12 PE=1 SV=1</t>
  </si>
  <si>
    <t>Histone H2B type 1-F/J/L OS=Mus musculus OX=10090 GN=H2bc7 PE=1 SV=2</t>
  </si>
  <si>
    <t>Histone H2B type 1-M OS=Mus musculus OX=10090 GN=H2bc14 PE=1 SV=2</t>
  </si>
  <si>
    <t>Catenin delta-1 OS=Mus musculus OX=10090 GN=Ctnnd1 PE=1 SV=2</t>
  </si>
  <si>
    <t>Acyl-coenzyme A diphosphatase FITM2 OS=Mus musculus OX=10090 GN=Fitm2 PE=1 SV=1</t>
  </si>
  <si>
    <t>Histone H2B type 1-B OS=Mus musculus OX=10090 GN=H2bc3 PE=1 SV=3</t>
  </si>
  <si>
    <t>Histone H2B type 1-H OS=Mus musculus OX=10090 GN=H2bc9 PE=1 SV=3</t>
  </si>
  <si>
    <t>Histone H2B type 2-E OS=Mus musculus OX=10090 GN=H2bc21 PE=1 SV=3</t>
  </si>
  <si>
    <t>Histone H2B type 2-B OS=Mus musculus OX=10090 GN=Hist2h2bb PE=1 SV=3</t>
  </si>
  <si>
    <t>Histone H2B type 1-C/E/G OS=Mus musculus OX=10090 GN=H2bc4 PE=1 SV=3</t>
  </si>
  <si>
    <t>Histone H2B type 3-B OS=Mus musculus OX=10090 GN=H2bc26 PE=1 SV=3</t>
  </si>
  <si>
    <t>Histone H2B type 1-K OS=Mus musculus OX=10090 GN=H2bc12 PE=1 SV=3</t>
  </si>
  <si>
    <t>Histone H2B type 1-P OS=Mus musculus OX=10090 GN=Hist1h2bp PE=1 SV=3</t>
  </si>
  <si>
    <t>Protein YIF1A OS=Mus musculus OX=10090 GN=Yif1a PE=1 SV=1</t>
  </si>
  <si>
    <t>Dystrobrevin alpha OS=Mus musculus OX=10090 GN=Dtna PE=1 SV=2</t>
  </si>
  <si>
    <t>H2B.U histone 2 OS=Mus musculus OX=10090 GN=H2bu2 PE=1 SV=3</t>
  </si>
  <si>
    <t>KN motif and ankyrin repeat domain-containing protein 4 OS=Mus musculus OX=10090 GN=Kank4 PE=1 SV=1</t>
  </si>
  <si>
    <t>Friend virus susceptibility protein 1 OS=Mus musculus OX=10090 GN=Fv1 PE=4 SV=1</t>
  </si>
  <si>
    <t>Mothers against decapentaplegic homolog 5 OS=Mus musculus OX=10090 GN=Smad5 PE=1 SV=2</t>
  </si>
  <si>
    <t>Mitochondrial-processing peptidase subunit beta OS=Mus musculus OX=10090 GN=Pmpcb PE=1 SV=1</t>
  </si>
  <si>
    <t>Ankyrin-1 OS=Mus musculus OX=10090 GN=Ank1 PE=1 SV=2</t>
  </si>
  <si>
    <t>Pleckstrin homology domain-containing family M member 1 OS=Mus musculus OX=10090 GN=Plekhm1 PE=1 SV=1</t>
  </si>
  <si>
    <t>Tapasin OS=Mus musculus OX=10090 GN=Tapbp PE=1 SV=2</t>
  </si>
  <si>
    <t>Regulatory-associated protein of mTOR OS=Mus musculus OX=10090 GN=Rptor PE=1 SV=1</t>
  </si>
  <si>
    <t>Protein-cysteine N-palmitoyltransferase HHAT-like protein OS=Mus musculus OX=10090 GN=Hhatl PE=1 SV=2</t>
  </si>
  <si>
    <t>Lysocardiolipin acyltransferase 1 OS=Mus musculus OX=10090 GN=Lclat1 PE=1 SV=2</t>
  </si>
  <si>
    <t>Rho guanine nucleotide exchange factor 15 OS=Mus musculus OX=10090 GN=Arhgef15 PE=1 SV=1</t>
  </si>
  <si>
    <t>Chromobox protein homolog 3 OS=Mus musculus OX=10090 GN=Cbx3 PE=1 SV=2</t>
  </si>
  <si>
    <t>Ras-related protein Rab-21 OS=Mus musculus OX=10090 GN=Rab21 PE=1 SV=4</t>
  </si>
  <si>
    <t>Prospero homeobox protein 1 OS=Mus musculus OX=10090 GN=Prox1 PE=1 SV=2</t>
  </si>
  <si>
    <t>Leucine-rich repeat-containing protein 40 OS=Mus musculus OX=10090 GN=Lrrc40 PE=1 SV=2</t>
  </si>
  <si>
    <t>Tensin-1 OS=Mus musculus OX=10090 GN=Tns1 PE=1 SV=1</t>
  </si>
  <si>
    <t>Magnesium transporter protein 1 OS=Mus musculus OX=10090 GN=Magt1 PE=1 SV=1</t>
  </si>
  <si>
    <t>Cyclin-dependent kinase 16 OS=Mus musculus OX=10090 GN=Cdk16 PE=1 SV=1</t>
  </si>
  <si>
    <t>TraB domain-containing protein OS=Mus musculus OX=10090 GN=Trabd PE=1 SV=1</t>
  </si>
  <si>
    <t>Immunoglobulin kappa constant OS=Mus musculus OX=10090 GN=Igkc PE=1 SV=2</t>
  </si>
  <si>
    <t>E3 ubiquitin-protein ligase DTX3L OS=Mus musculus OX=10090 GN=Dtx3l PE=1 SV=1</t>
  </si>
  <si>
    <t>Carbonic anhydrase 3 OS=Mus musculus OX=10090 GN=Ca3 PE=1 SV=3</t>
  </si>
  <si>
    <t>Malignant T-cell-amplified sequence 2 OS=Mus musculus OX=10090 GN=Mcts2 PE=1 SV=1</t>
  </si>
  <si>
    <t>Malignant T-cell-amplified sequence 1 OS=Mus musculus OX=10090 GN=Mcts1 PE=1 SV=1</t>
  </si>
  <si>
    <t>Casein kinase I isoform delta OS=Mus musculus OX=10090 GN=Csnk1d PE=1 SV=2</t>
  </si>
  <si>
    <t>Estradiol 17-beta-dehydrogenase 11 OS=Mus musculus OX=10090 GN=Hsd17b11 PE=1 SV=1</t>
  </si>
  <si>
    <t>26S proteasome regulatory subunit 6B OS=Mus musculus OX=10090 GN=Psmc4 PE=1 SV=2</t>
  </si>
  <si>
    <t>NADH dehydrogenase [ubiquinone] iron-sulfur protein 7, mitochondrial OS=Mus musculus OX=10090 GN=Ndufs7 PE=1 SV=1</t>
  </si>
  <si>
    <t>Serine/threonine-protein kinase 26 OS=Mus musculus OX=10090 GN=Stk26 PE=1 SV=1</t>
  </si>
  <si>
    <t>Phosphatidylinositol 5-phosphate 4-kinase type-2 beta OS=Mus musculus OX=10090 GN=Pip4k2b PE=1 SV=1</t>
  </si>
  <si>
    <t>Protein argonaute-3 OS=Mus musculus OX=10090 GN=Ago3 PE=2 SV=2</t>
  </si>
  <si>
    <t>Protein MTSS 1 OS=Mus musculus OX=10090 GN=Mtss1 PE=1 SV=1</t>
  </si>
  <si>
    <t>Leucine-rich repeat protein SHOC-2 OS=Mus musculus OX=10090 GN=Shoc2 PE=1 SV=2</t>
  </si>
  <si>
    <t>Mitogen-activated protein kinase kinase kinase 3 OS=Mus musculus OX=10090 GN=Map3k3 PE=1 SV=1</t>
  </si>
  <si>
    <t>Serine/threonine-protein kinase MRCK beta OS=Mus musculus OX=10090 GN=Cdc42bpb PE=1 SV=2</t>
  </si>
  <si>
    <t>Protein PRRC2C OS=Mus musculus OX=10090 GN=Prrc2c PE=1 SV=3</t>
  </si>
  <si>
    <t>RNA polymerase II-associated protein 1 OS=Mus musculus OX=10090 GN=Rpap1 PE=1 SV=2</t>
  </si>
  <si>
    <t>Solute carrier family 12 member 7 OS=Mus musculus OX=10090 GN=Slc12a7 PE=1 SV=1</t>
  </si>
  <si>
    <t>Pre-mRNA-splicing factor RBM22 OS=Mus musculus OX=10090 GN=Rbm22 PE=1 SV=1</t>
  </si>
  <si>
    <t>E3 ubiquitin-protein ligase TRAF7 OS=Mus musculus OX=10090 GN=Traf7 PE=1 SV=1</t>
  </si>
  <si>
    <t>Cytochrome c oxidase subunit 2 OS=Mus musculus OX=10090 GN=Mtco2 PE=1 SV=1</t>
  </si>
  <si>
    <t>U4/U6.U5 tri-snRNP-associated protein 1 OS=Mus musculus OX=10090 GN=Sart1 PE=1 SV=1</t>
  </si>
  <si>
    <t>WASH complex subunit 4 OS=Mus musculus OX=10090 GN=Washc4 PE=1 SV=2</t>
  </si>
  <si>
    <t>Phosphatase and actin regulator 4 OS=Mus musculus OX=10090 GN=Phactr4 PE=1 SV=2</t>
  </si>
  <si>
    <t>Hexokinase HKDC1 OS=Mus musculus OX=10090 GN=Hkdc1 PE=2 SV=1</t>
  </si>
  <si>
    <t>Solute carrier family 12 member 4 OS=Mus musculus OX=10090 GN=Slc12a4 PE=1 SV=2</t>
  </si>
  <si>
    <t>Mitochondrial inner membrane protease subunit 2 OS=Mus musculus OX=10090 GN=Immp2l PE=1 SV=1</t>
  </si>
  <si>
    <t>Phosphatidylinositol 4-kinase type 2-alpha OS=Mus musculus OX=10090 GN=Pi4k2a PE=1 SV=1</t>
  </si>
  <si>
    <t>Protein disulfide-isomerase A3 OS=Mus musculus OX=10090 GN=Pdia3 PE=1 SV=2</t>
  </si>
  <si>
    <t>Protein 4.2 OS=Mus musculus OX=10090 GN=Epb42 PE=1 SV=3</t>
  </si>
  <si>
    <t>26S proteasome regulatory subunit 8 OS=Mus musculus OX=10090 GN=Psmc5 PE=1 SV=1</t>
  </si>
  <si>
    <t>Ribonuclease inhibitor OS=Mus musculus OX=10090 GN=Rnh1 PE=1 SV=1</t>
  </si>
  <si>
    <t>Protein S100-A9 OS=Mus musculus OX=10090 GN=S100a9 PE=1 SV=3</t>
  </si>
  <si>
    <t>Obscurin-like protein 1 OS=Mus musculus OX=10090 GN=Obsl1 PE=1 SV=1</t>
  </si>
  <si>
    <t>Myosin-binding protein H-like OS=Mus musculus OX=10090 GN=Mybphl PE=1 SV=1</t>
  </si>
  <si>
    <t>Histone deacetylase 4 OS=Mus musculus OX=10090 GN=Hdac4 PE=1 SV=1</t>
  </si>
  <si>
    <t>Pentatricopeptide repeat-containing protein 2, mitochondrial OS=Mus musculus OX=10090 GN=Ptcd2 PE=1 SV=1</t>
  </si>
  <si>
    <t>Arginine--tRNA ligase, cytoplasmic OS=Mus musculus OX=10090 GN=Rars1 PE=1 SV=2</t>
  </si>
  <si>
    <t>Ras-specific guanine nucleotide-releasing factor 2 OS=Mus musculus OX=10090 GN=Rasgrf2 PE=1 SV=2</t>
  </si>
  <si>
    <t>Protein NDRG1 OS=Mus musculus OX=10090 GN=Ndrg1 PE=1 SV=1</t>
  </si>
  <si>
    <t>Staphylococcal nuclease domain-containing protein 1 OS=Mus musculus OX=10090 GN=Snd1 PE=1 SV=1</t>
  </si>
  <si>
    <t>Isoaspartyl peptidase/L-asparaginase OS=Mus musculus OX=10090 GN=Asrgl1 PE=1 SV=1</t>
  </si>
  <si>
    <t>Transcription factor EB OS=Mus musculus OX=10090 GN=Tfeb PE=1 SV=2</t>
  </si>
  <si>
    <t>Serine protease inhibitor A3K OS=Mus musculus OX=10090 GN=Serpina3k PE=1 SV=2</t>
  </si>
  <si>
    <t>BCL2/adenovirus E1B 19 kDa protein-interacting protein 3 OS=Mus musculus OX=10090 GN=Bnip3 PE=1 SV=1</t>
  </si>
  <si>
    <t>GTPase HRas OS=Mus musculus OX=10090 GN=Hras PE=1 SV=2</t>
  </si>
  <si>
    <t>Oxysterol-binding protein-related protein 6 OS=Mus musculus OX=10090 GN=Osbpl6 PE=1 SV=1</t>
  </si>
  <si>
    <t>Histone deacetylase 3 OS=Mus musculus OX=10090 GN=Hdac3 PE=1 SV=2</t>
  </si>
  <si>
    <t>Sodium bicarbonate cotransporter 3 OS=Mus musculus OX=10090 GN=Slc4a7 PE=1 SV=2</t>
  </si>
  <si>
    <t>Caskin-2 OS=Mus musculus OX=10090 GN=Caskin2 PE=1 SV=3</t>
  </si>
  <si>
    <t>Nischarin OS=Mus musculus OX=10090 GN=Nisch PE=1 SV=2</t>
  </si>
  <si>
    <t>Ankyrin-3 OS=Mus musculus OX=10090 GN=Ank3 PE=1 SV=1</t>
  </si>
  <si>
    <t>Adenylate cyclase type 5 OS=Mus musculus OX=10090 GN=Adcy5 PE=1 SV=2</t>
  </si>
  <si>
    <t>Serine/threonine-protein kinase TAO1 OS=Mus musculus OX=10090 GN=Taok1 PE=1 SV=1</t>
  </si>
  <si>
    <t>Proton-coupled zinc antiporter SLC30A1 OS=Mus musculus OX=10090 GN=Slc30a1 PE=1 SV=1</t>
  </si>
  <si>
    <t>RNA helicase aquarius OS=Mus musculus OX=10090 GN=Aqr PE=1 SV=2</t>
  </si>
  <si>
    <t>Sulfhydryl oxidase 2 OS=Mus musculus OX=10090 GN=Qsox2 PE=1 SV=1</t>
  </si>
  <si>
    <t>Harmonin-binding protein USHBP1 OS=Mus musculus OX=10090 GN=Ushbp1 PE=1 SV=2</t>
  </si>
  <si>
    <t>Interferon-induced, double-stranded RNA-activated protein kinase OS=Mus musculus OX=10090 GN=Eif2ak2 PE=1 SV=2</t>
  </si>
  <si>
    <t>Titin OS=Mus musculus OX=10090 GN=Ttn PE=1 SV=1</t>
  </si>
  <si>
    <t>FERM domain-containing protein 4A OS=Mus musculus OX=10090 GN=Frmd4a PE=1 SV=2</t>
  </si>
  <si>
    <t>Pre-mRNA-processing-splicing factor 8 OS=Mus musculus OX=10090 GN=Prpf8 PE=1 SV=2</t>
  </si>
  <si>
    <t>Peroxisome biogenesis factor 10 OS=Mus musculus OX=10090 GN=Pex10 PE=2 SV=1</t>
  </si>
  <si>
    <t>Inactive tyrosine-protein kinase PEAK1 OS=Mus musculus OX=10090 GN=Peak1 PE=1 SV=4</t>
  </si>
  <si>
    <t>Acyl-CoA dehydrogenase family member 10 OS=Mus musculus OX=10090 GN=Acad10 PE=1 SV=1</t>
  </si>
  <si>
    <t>Galectin-9 OS=Mus musculus OX=10090 GN=Lgals9 PE=1 SV=1</t>
  </si>
  <si>
    <t>Peptidyl-prolyl cis-trans isomerase A OS=Mus musculus OX=10090 GN=Ppia PE=1 SV=2</t>
  </si>
  <si>
    <t>Actin-related protein 2 OS=Mus musculus OX=10090 GN=Actr2 PE=1 SV=1</t>
  </si>
  <si>
    <t>Collagen alpha-1(VI) chain OS=Mus musculus OX=10090 GN=Col6a1 PE=1 SV=1</t>
  </si>
  <si>
    <t>Serine/threonine-protein kinase 24 OS=Mus musculus OX=10090 GN=Stk24 PE=1 SV=1</t>
  </si>
  <si>
    <t>GTP:AMP phosphotransferase AK3, mitochondrial OS=Mus musculus OX=10090 GN=Ak3 PE=1 SV=3</t>
  </si>
  <si>
    <t>Spectrin beta chain, non-erythrocytic 1 OS=Mus musculus OX=10090 GN=Sptbn1 PE=1 SV=2</t>
  </si>
  <si>
    <t>Small ribosomal subunit protein eS8 OS=Mus musculus OX=10090 GN=Rps8 PE=1 SV=2</t>
  </si>
  <si>
    <t>Alanine--tRNA ligase, mitochondrial OS=Mus musculus OX=10090 GN=Aars2 PE=1 SV=1</t>
  </si>
  <si>
    <t>Serine/threonine-protein phosphatase 6 catalytic subunit OS=Mus musculus OX=10090 GN=Ppp6c PE=1 SV=1</t>
  </si>
  <si>
    <t>Serine/threonine-protein kinase D2 OS=Mus musculus OX=10090 GN=Prkd2 PE=1 SV=1</t>
  </si>
  <si>
    <t>Carnitine O-palmitoyltransferase 1, liver isoform OS=Mus musculus OX=10090 GN=Cpt1a PE=1 SV=4</t>
  </si>
  <si>
    <t>RalBP1-associated Eps domain-containing protein 1 OS=Mus musculus OX=10090 GN=Reps1 PE=1 SV=2</t>
  </si>
  <si>
    <t>DDB1- and CUL4-associated factor 7 OS=Mus musculus OX=10090 GN=Dcaf7 PE=1 SV=1</t>
  </si>
  <si>
    <t>Myotubularin-related protein 14 OS=Mus musculus OX=10090 GN=Mtmr14 PE=1 SV=2</t>
  </si>
  <si>
    <t>ADP/ATP translocase 4 OS=Mus musculus OX=10090 GN=Slc25a31 PE=1 SV=1</t>
  </si>
  <si>
    <t>Protein FAM117B OS=Mus musculus OX=10090 GN=Fam117b PE=1 SV=1</t>
  </si>
  <si>
    <t>BCL2/adenovirus E1B 19 kDa protein-interacting protein 3-like OS=Mus musculus OX=10090 GN=Bnip3l PE=1 SV=1</t>
  </si>
  <si>
    <t>Cleavage and polyadenylation specificity factor subunit 6 OS=Mus musculus OX=10090 GN=Cpsf6 PE=1 SV=1</t>
  </si>
  <si>
    <t>Glutamate-rich WD repeat-containing protein 1 OS=Mus musculus OX=10090 GN=Grwd1 PE=1 SV=2</t>
  </si>
  <si>
    <t>OCIA domain-containing protein 2 OS=Mus musculus OX=10090 GN=Ociad2 PE=1 SV=1</t>
  </si>
  <si>
    <t>Galectin-1 OS=Mus musculus OX=10090 GN=Lgals1 PE=1 SV=3</t>
  </si>
  <si>
    <t>Ribosomal protein S6 kinase alpha-5 OS=Mus musculus OX=10090 GN=Rps6ka5 PE=1 SV=2</t>
  </si>
  <si>
    <t>Voltage-dependent anion-selective channel protein 1 OS=Mus musculus OX=10090 GN=Vdac1 PE=1 SV=3</t>
  </si>
  <si>
    <t>Serine/threonine-protein phosphatase 2A 56 kDa regulatory subunit beta isoform OS=Mus musculus OX=10090 GN=Ppp2r5b PE=1 SV=1</t>
  </si>
  <si>
    <t>Dipeptidyl peptidase 1 OS=Mus musculus OX=10090 GN=Ctsc PE=1 SV=1</t>
  </si>
  <si>
    <t>Leucine-rich repeat-containing protein 10 OS=Mus musculus OX=10090 GN=Lrrc10 PE=1 SV=1</t>
  </si>
  <si>
    <t>Large ribosomal subunit protein mL48 OS=Mus musculus OX=10090 GN=Mrpl48 PE=1 SV=1</t>
  </si>
  <si>
    <t>Formin-like protein 2 OS=Mus musculus OX=10090 GN=Fmnl2 PE=1 SV=2</t>
  </si>
  <si>
    <t>Ras GTPase-activating protein-binding protein 1 OS=Mus musculus OX=10090 GN=G3bp1 PE=1 SV=1</t>
  </si>
  <si>
    <t>26S proteasome non-ATPase regulatory subunit 9 OS=Mus musculus OX=10090 GN=Psmd9 PE=1 SV=1</t>
  </si>
  <si>
    <t>Dynactin subunit 1 OS=Mus musculus OX=10090 GN=Dctn1 PE=1 SV=3</t>
  </si>
  <si>
    <t>LETM1 domain-containing protein 1 OS=Mus musculus OX=10090 GN=Letmd1 PE=1 SV=1</t>
  </si>
  <si>
    <t>NHS-like protein 2 OS=Mus musculus OX=10090 GN=Nhsl2 PE=1 SV=2</t>
  </si>
  <si>
    <t>Collagen alpha-2(VI) chain OS=Mus musculus OX=10090 GN=Col6a2 PE=1 SV=3</t>
  </si>
  <si>
    <t>ATP-dependent RNA helicase DDX42 OS=Mus musculus OX=10090 GN=Ddx42 PE=1 SV=3</t>
  </si>
  <si>
    <t>S-formylglutathione hydrolase OS=Mus musculus OX=10090 GN=Esd PE=1 SV=1</t>
  </si>
  <si>
    <t>mRNA decay activator protein ZFP36L2 OS=Mus musculus OX=10090 GN=Zfp36l2 PE=1 SV=2</t>
  </si>
  <si>
    <t>Ubiquitin-like modifier-activating enzyme 1 OS=Mus musculus OX=10090 GN=Uba1 PE=1 SV=1</t>
  </si>
  <si>
    <t>Mediator of RNA polymerase II transcription subunit 1 OS=Mus musculus OX=10090 GN=Med1 PE=1 SV=2</t>
  </si>
  <si>
    <t>E3 ubiquitin-protein ligase makorin-2 OS=Mus musculus OX=10090 GN=Mkrn2 PE=1 SV=2</t>
  </si>
  <si>
    <t>Superkiller complex protein 3 OS=Mus musculus OX=10090 GN=Skic3 PE=3 SV=1</t>
  </si>
  <si>
    <t>Ig gamma-2A chain C region, A allele OS=Mus musculus OX=10090 GN=Ighg PE=1 SV=1</t>
  </si>
  <si>
    <t>Ig gamma-2A chain C region, membrane-bound form OS=Mus musculus OX=10090 GN=Igh-1a PE=1 SV=3</t>
  </si>
  <si>
    <t>Neogenin OS=Mus musculus OX=10090 GN=Neo1 PE=1 SV=2</t>
  </si>
  <si>
    <t>Protein transport protein Sec16A OS=Mus musculus OX=10090 GN=Sec16a PE=1 SV=1</t>
  </si>
  <si>
    <t>CLIP-associating protein 1 OS=Mus musculus OX=10090 GN=Clasp1 PE=1 SV=2</t>
  </si>
  <si>
    <t>Myosin regulatory light chain 2, atrial isoform OS=Mus musculus OX=10090 GN=Myl7 PE=1 SV=1</t>
  </si>
  <si>
    <t>Alpha-actinin-1 OS=Mus musculus OX=10090 GN=Actn1 PE=1 SV=1</t>
  </si>
  <si>
    <t>Beta-centractin OS=Mus musculus OX=10090 GN=Actr1b PE=1 SV=1</t>
  </si>
  <si>
    <t>Protein FAM185A OS=Mus musculus OX=10090 GN=Fam185a PE=2 SV=1</t>
  </si>
  <si>
    <t>COX assembly mitochondrial protein 2 homolog OS=Mus musculus OX=10090 GN=Cmc2 PE=3 SV=1</t>
  </si>
  <si>
    <t>Hemoglobin subunit beta-1 OS=Mus musculus OX=10090 GN=Hbb-b1 PE=1 SV=2</t>
  </si>
  <si>
    <t>Ribosomal protein S6 kinase alpha-3 OS=Mus musculus OX=10090 GN=Rps6ka3 PE=1 SV=2</t>
  </si>
  <si>
    <t>Membrane-associated guanylate kinase, WW and PDZ domain-containing protein 3 OS=Mus musculus OX=10090 GN=Magi3 PE=1 SV=2</t>
  </si>
  <si>
    <t>Procollagen-lysine,2-oxoglutarate 5-dioxygenase 1 OS=Mus musculus OX=10090 GN=Plod1 PE=1 SV=1</t>
  </si>
  <si>
    <t>Drebrin-like protein OS=Mus musculus OX=10090 GN=Dbnl PE=1 SV=2</t>
  </si>
  <si>
    <t>Ras-related GTP-binding protein C OS=Mus musculus OX=10090 GN=Rragc PE=1 SV=1</t>
  </si>
  <si>
    <t>Protein FAM98A OS=Mus musculus OX=10090 GN=Fam98a PE=1 SV=1</t>
  </si>
  <si>
    <t>ADP/ATP translocase 1 OS=Mus musculus OX=10090 GN=Slc25a4 PE=1 SV=4</t>
  </si>
  <si>
    <t>Alpha-ketoglutarate dehydrogenase component 4 OS=Mus musculus OX=10090 GN=Mrps36 PE=1 SV=1</t>
  </si>
  <si>
    <t>KxDL motif-containing protein 1 OS=Mus musculus OX=10090 GN=Kxd1 PE=1 SV=1</t>
  </si>
  <si>
    <t>Peroxisomal leader peptide-processing protease OS=Mus musculus OX=10090 GN=Tysnd1 PE=1 SV=1</t>
  </si>
  <si>
    <t>NADH-ubiquinone oxidoreductase 75 kDa subunit, mitochondrial OS=Mus musculus OX=10090 GN=Ndufs1 PE=1 SV=2</t>
  </si>
  <si>
    <t>Cytosolic 5'-nucleotidase 3A OS=Mus musculus OX=10090 GN=Nt5c3a PE=1 SV=4</t>
  </si>
  <si>
    <t>Signal transducer and activator of transcription 1 OS=Mus musculus OX=10090 GN=Stat1 PE=1 SV=1</t>
  </si>
  <si>
    <t>Acyl-protein thioesterase 1 OS=Mus musculus OX=10090 GN=Lypla1 PE=1 SV=1</t>
  </si>
  <si>
    <t>Geranylgeranyl transferase type-2 subunit alpha OS=Mus musculus OX=10090 GN=Rabggta PE=1 SV=1</t>
  </si>
  <si>
    <t>Nucleolar protein 56 OS=Mus musculus OX=10090 GN=Nop56 PE=1 SV=2</t>
  </si>
  <si>
    <t>Microtubule-associated serine/threonine-protein kinase 1 OS=Mus musculus OX=10090 GN=Mast1 PE=1 SV=3</t>
  </si>
  <si>
    <t>Vacuolar protein sorting-associated protein 16 homolog OS=Mus musculus OX=10090 GN=Vps16 PE=1 SV=3</t>
  </si>
  <si>
    <t>Alpha-2-antiplasmin OS=Mus musculus OX=10090 GN=Serpinf2 PE=1 SV=1</t>
  </si>
  <si>
    <t>Vam6/Vps39-like protein OS=Mus musculus OX=10090 GN=Vps39 PE=1 SV=1</t>
  </si>
  <si>
    <t>Large ribosomal subunit protein bL28m OS=Mus musculus OX=10090 GN=Mrpl28 PE=1 SV=3</t>
  </si>
  <si>
    <t>Serpin H1 OS=Mus musculus OX=10090 GN=Serpinh1 PE=1 SV=3</t>
  </si>
  <si>
    <t>Solute carrier family 25 member 3 OS=Mus musculus OX=10090 GN=Slc25a3 PE=1 SV=1</t>
  </si>
  <si>
    <t>Sodium/potassium-transporting ATPase subunit alpha-2 OS=Mus musculus OX=10090 GN=Atp1a2 PE=1 SV=1</t>
  </si>
  <si>
    <t>Fatty acid desaturase 3 OS=Mus musculus OX=10090 GN=Fads3 PE=1 SV=2</t>
  </si>
  <si>
    <t>Tetratricopeptide repeat protein 17 OS=Mus musculus OX=10090 GN=Ttc17 PE=1 SV=1</t>
  </si>
  <si>
    <t>Heat shock protein 105 kDa OS=Mus musculus OX=10090 GN=Hsph1 PE=1 SV=2</t>
  </si>
  <si>
    <t>Integrator complex subunit 6 OS=Mus musculus OX=10090 GN=Ints6 PE=1 SV=1</t>
  </si>
  <si>
    <t>Selenoprotein P OS=Mus musculus OX=10090 GN=Selenop PE=1 SV=3</t>
  </si>
  <si>
    <t>Kinesin-like protein KIF1A OS=Mus musculus OX=10090 GN=Kif1a PE=1 SV=2</t>
  </si>
  <si>
    <t>Ankyrin repeat and LEM domain-containing protein 2 OS=Mus musculus OX=10090 GN=Ankle2 PE=1 SV=2</t>
  </si>
  <si>
    <t>Striatin-4 OS=Mus musculus OX=10090 GN=Strn4 PE=1 SV=2</t>
  </si>
  <si>
    <t>mRNA-decapping enzyme 1B OS=Mus musculus OX=10090 GN=Dcp1b PE=1 SV=1</t>
  </si>
  <si>
    <t>NADH dehydrogenase [ubiquinone] flavoprotein 2, mitochondrial OS=Mus musculus OX=10090 GN=Ndufv2 PE=1 SV=2</t>
  </si>
  <si>
    <t>Tripartite motif-containing protein 3 OS=Mus musculus OX=10090 GN=Trim3 PE=1 SV=1</t>
  </si>
  <si>
    <t>ATP-dependent 6-phosphofructokinase, platelet type OS=Mus musculus OX=10090 GN=Pfkp PE=1 SV=1</t>
  </si>
  <si>
    <t>Filamin-A OS=Mus musculus OX=10090 GN=Flna PE=1 SV=5</t>
  </si>
  <si>
    <t>NADH dehydrogenase [ubiquinone] flavoprotein 3, mitochondrial OS=Mus musculus OX=10090 GN=Ndufv3 PE=1 SV=1</t>
  </si>
  <si>
    <t>Methylthioribulose-1-phosphate dehydratase OS=Mus musculus OX=10090 GN=Apip PE=1 SV=1</t>
  </si>
  <si>
    <t>THO complex subunit 2 OS=Mus musculus OX=10090 GN=Thoc2 PE=1 SV=1</t>
  </si>
  <si>
    <t>26S proteasome non-ATPase regulatory subunit 14 OS=Mus musculus OX=10090 GN=Psmd14 PE=1 SV=2</t>
  </si>
  <si>
    <t>pre-mRNA 3' end processing protein WDR33 OS=Mus musculus OX=10090 GN=Wdr33 PE=1 SV=1</t>
  </si>
  <si>
    <t>LIM domain-containing protein 1 OS=Mus musculus OX=10090 GN=Limd1 PE=1 SV=2</t>
  </si>
  <si>
    <t>Metaxin-1 OS=Mus musculus OX=10090 GN=Mtx1 PE=1 SV=1</t>
  </si>
  <si>
    <t>NADH dehydrogenase [ubiquinone] 1 beta subcomplex subunit 11, mitochondrial OS=Mus musculus OX=10090 GN=Ndufb11 PE=1 SV=2</t>
  </si>
  <si>
    <t>Junctophilin-2 OS=Mus musculus OX=10090 GN=Jph2 PE=1 SV=2</t>
  </si>
  <si>
    <t>Perilipin-3 OS=Mus musculus OX=10090 GN=Plin3 PE=1 SV=1</t>
  </si>
  <si>
    <t>Interferon-induced very large GTPase 1 OS=Mus musculus OX=10090 GN=Gvin1 PE=1 SV=1</t>
  </si>
  <si>
    <t>CDGSH iron-sulfur domain-containing protein 3, mitochondrial OS=Mus musculus OX=10090 GN=Cisd3 PE=1 SV=1</t>
  </si>
  <si>
    <t>Lysophosphatidylserine lipase ABHD12 OS=Mus musculus OX=10090 GN=Abhd12 PE=1 SV=2</t>
  </si>
  <si>
    <t>Death-associated protein kinase 3 OS=Mus musculus OX=10090 GN=Dapk3 PE=1 SV=1</t>
  </si>
  <si>
    <t>Sorbin and SH3 domain-containing protein 1 OS=Mus musculus OX=10090 GN=Sorbs1 PE=1 SV=2</t>
  </si>
  <si>
    <t>Bromodomain-containing protein 4 OS=Mus musculus OX=10090 GN=Brd4 PE=1 SV=2</t>
  </si>
  <si>
    <t>Ribosomal protein S6 kinase alpha-4 OS=Mus musculus OX=10090 GN=Rps6ka4 PE=1 SV=2</t>
  </si>
  <si>
    <t>Glycerol-3-phosphate acyltransferase 3 OS=Mus musculus OX=10090 GN=Gpat3 PE=1 SV=1</t>
  </si>
  <si>
    <t>Hemoglobin subunit alpha OS=Mus musculus OX=10090 GN=Hba PE=1 SV=2</t>
  </si>
  <si>
    <t>Large ribosomal subunit protein uL10m OS=Mus musculus OX=10090 GN=Mrpl10 PE=1 SV=2</t>
  </si>
  <si>
    <t>Myotubularin-related protein 3 OS=Mus musculus OX=10090 GN=Mtmr3 PE=1 SV=2</t>
  </si>
  <si>
    <t>5'-AMP-activated protein kinase subunit gamma-1 OS=Mus musculus OX=10090 GN=Prkag1 PE=1 SV=2</t>
  </si>
  <si>
    <t>Calpain small subunit 1 OS=Mus musculus OX=10090 GN=Capns1 PE=1 SV=2</t>
  </si>
  <si>
    <t>C-terminal-binding protein 1 OS=Mus musculus OX=10090 GN=Ctbp1 PE=1 SV=2</t>
  </si>
  <si>
    <t>Band 3 anion transport protein OS=Mus musculus OX=10090 GN=Slc4a1 PE=1 SV=1</t>
  </si>
  <si>
    <t>Polyubiquitin-B OS=Mus musculus OX=10090 GN=Ubb PE=2 SV=1</t>
  </si>
  <si>
    <t>Polyubiquitin-C OS=Mus musculus OX=10090 GN=Ubc PE=1 SV=2</t>
  </si>
  <si>
    <t>Protein phosphatase 1B OS=Mus musculus OX=10090 GN=Ppm1b PE=1 SV=1</t>
  </si>
  <si>
    <t>Ubiquitin-ribosomal protein eL40 fusion protein OS=Mus musculus OX=10090 GN=Uba52 PE=1 SV=2</t>
  </si>
  <si>
    <t>Nitric oxide synthase 3 OS=Mus musculus OX=10090 GN=Nos3 PE=1 SV=4</t>
  </si>
  <si>
    <t>Ras-related C3 botulinum toxin substrate 2 OS=Mus musculus OX=10090 GN=Rac2 PE=1 SV=1</t>
  </si>
  <si>
    <t>DENN domain-containing protein 1B OS=Mus musculus OX=10090 GN=Dennd1b PE=1 SV=3</t>
  </si>
  <si>
    <t>Spermatogenesis-defective protein 39 homolog OS=Mus musculus OX=10090 GN=Vipas39 PE=1 SV=1</t>
  </si>
  <si>
    <t>MTOR-associated protein MEAK7 OS=Mus musculus OX=10090 GN=Meak7 PE=2 SV=1</t>
  </si>
  <si>
    <t>Gamma-tubulin complex component 2 OS=Mus musculus OX=10090 GN=Tubgcp2 PE=1 SV=2</t>
  </si>
  <si>
    <t>Serine/threonine-protein kinase PAK 1 OS=Mus musculus OX=10090 GN=Pak1 PE=1 SV=1</t>
  </si>
  <si>
    <t>Filamin-C OS=Mus musculus OX=10090 GN=Flnc PE=1 SV=3</t>
  </si>
  <si>
    <t>Cytochrome b-c1 complex subunit 8 OS=Mus musculus OX=10090 GN=Uqcrq PE=1 SV=3</t>
  </si>
  <si>
    <t>Brefeldin A-inhibited guanine nucleotide-exchange protein 2 OS=Mus musculus OX=10090 GN=Arfgef2 PE=1 SV=1</t>
  </si>
  <si>
    <t>Erbin OS=Mus musculus OX=10090 GN=Erbin PE=1 SV=3</t>
  </si>
  <si>
    <t>Kinesin-like protein KIF1C OS=Mus musculus OX=10090 GN=Kif1c PE=1 SV=2</t>
  </si>
  <si>
    <t>Fibronectin OS=Mus musculus OX=10090 GN=Fn1 PE=1 SV=4</t>
  </si>
  <si>
    <t>PH and SEC7 domain-containing protein 3 OS=Mus musculus OX=10090 GN=Psd3 PE=1 SV=2</t>
  </si>
  <si>
    <t>Transcriptional repressor protein YY1 OS=Mus musculus OX=10090 GN=Yy1 PE=1 SV=1</t>
  </si>
  <si>
    <t>NADH dehydrogenase [ubiquinone] iron-sulfur protein 8, mitochondrial OS=Mus musculus OX=10090 GN=Ndufs8 PE=1 SV=1</t>
  </si>
  <si>
    <t>L-lactate dehydrogenase A chain OS=Mus musculus OX=10090 GN=Ldha PE=1 SV=3</t>
  </si>
  <si>
    <t>ATP-binding cassette sub-family D member 1 OS=Mus musculus OX=10090 GN=Abcd1 PE=1 SV=1</t>
  </si>
  <si>
    <t>PX domain-containing protein kinase-like protein OS=Mus musculus OX=10090 GN=Pxk PE=1 SV=2</t>
  </si>
  <si>
    <t>AFG3-like protein 2 OS=Mus musculus OX=10090 GN=Afg3l2 PE=1 SV=1</t>
  </si>
  <si>
    <t>Serrate RNA effector molecule homolog OS=Mus musculus OX=10090 GN=Srrt PE=1 SV=1</t>
  </si>
  <si>
    <t>Nucleoside diphosphate kinase B OS=Mus musculus OX=10090 GN=Nme2 PE=1 SV=1</t>
  </si>
  <si>
    <t>Calumenin OS=Mus musculus OX=10090 GN=Calu PE=1 SV=1</t>
  </si>
  <si>
    <t>Cardiac-enriched FHL2-interacting protein OS=Mus musculus OX=10090 GN=CEFIP PE=1 SV=1</t>
  </si>
  <si>
    <t>F-actin-capping protein subunit alpha-2 OS=Mus musculus OX=10090 GN=Capza2 PE=1 SV=3</t>
  </si>
  <si>
    <t>Rho GTPase-activating protein 10 OS=Mus musculus OX=10090 GN=Arhgap10 PE=1 SV=2</t>
  </si>
  <si>
    <t>NADH dehydrogenase [ubiquinone] iron-sulfur protein 6, mitochondrial OS=Mus musculus OX=10090 GN=Ndufs6 PE=1 SV=2</t>
  </si>
  <si>
    <t>Prolactin regulatory element-binding protein OS=Mus musculus OX=10090 GN=Preb PE=1 SV=1</t>
  </si>
  <si>
    <t>Vesicle-fusing ATPase OS=Mus musculus OX=10090 GN=Nsf PE=1 SV=2</t>
  </si>
  <si>
    <t>NADH dehydrogenase [ubiquinone] 1 alpha subcomplex subunit 10, mitochondrial OS=Mus musculus OX=10090 GN=Ndufa10 PE=1 SV=1</t>
  </si>
  <si>
    <t>Voltage-dependent L-type calcium channel subunit beta-3 OS=Mus musculus OX=10090 GN=Cacnb3 PE=1 SV=2</t>
  </si>
  <si>
    <t>WD repeat-containing protein 48 OS=Mus musculus OX=10090 GN=Wdr48 PE=1 SV=1</t>
  </si>
  <si>
    <t>Myotubularin-related protein 13 OS=Mus musculus OX=10090 GN=Sbf2 PE=1 SV=1</t>
  </si>
  <si>
    <t>Transmembrane protein 33 OS=Mus musculus OX=10090 GN=Tmem33 PE=1 SV=1</t>
  </si>
  <si>
    <t>Vinculin OS=Mus musculus OX=10090 GN=Vcl PE=1 SV=4</t>
  </si>
  <si>
    <t>Mitochondrial mRNA pseudouridine synthase Rpusd3 OS=Mus musculus OX=10090 GN=Rpusd3 PE=2 SV=1</t>
  </si>
  <si>
    <t>Ubiquitin-ribosomal protein eS31 fusion protein OS=Mus musculus OX=10090 GN=Rps27a PE=1 SV=2</t>
  </si>
  <si>
    <t>Multiple coagulation factor deficiency protein 2 homolog OS=Mus musculus OX=10090 GN=Mcfd2 PE=1 SV=1</t>
  </si>
  <si>
    <t>Death-inducer obliterator 1 OS=Mus musculus OX=10090 GN=Dido1 PE=1 SV=4</t>
  </si>
  <si>
    <t>Plakophilin-4 OS=Mus musculus OX=10090 GN=Pkp4 PE=1 SV=1</t>
  </si>
  <si>
    <t>Mitochondrial outer membrane protein SLC25A46 OS=Mus musculus OX=10090 GN=Slc25a46 PE=1 SV=1</t>
  </si>
  <si>
    <t>Serine/threonine-protein kinase TAO2 OS=Mus musculus OX=10090 GN=Taok2 PE=1 SV=3</t>
  </si>
  <si>
    <t>Phosphofurin acidic cluster sorting protein 2 OS=Mus musculus OX=10090 GN=Pacs2 PE=1 SV=2</t>
  </si>
  <si>
    <t>Mitoguardin 2 OS=Mus musculus OX=10090 GN=Miga2 PE=1 SV=1</t>
  </si>
  <si>
    <t>Maleylacetoacetate isomerase OS=Mus musculus OX=10090 GN=Gstz1 PE=1 SV=1</t>
  </si>
  <si>
    <t>Transcription factor BTF3 OS=Mus musculus OX=10090 GN=Btf3 PE=1 SV=3</t>
  </si>
  <si>
    <t>Protein ABHD15 OS=Mus musculus OX=10090 GN=Abhd15 PE=1 SV=1</t>
  </si>
  <si>
    <t>Synapsin-2 OS=Mus musculus OX=10090 GN=Syn2 PE=1 SV=2</t>
  </si>
  <si>
    <t>ATP-binding cassette sub-family C member 5 OS=Mus musculus OX=10090 GN=Abcc5 PE=1 SV=2</t>
  </si>
  <si>
    <t>Tubulin alpha-4A chain OS=Mus musculus OX=10090 GN=Tuba4a PE=1 SV=1</t>
  </si>
  <si>
    <t>Serine/threonine-protein kinase MRCK gamma OS=Mus musculus OX=10090 GN=Cdc42bpg PE=1 SV=2</t>
  </si>
  <si>
    <t>Haloacid dehalogenase-like hydrolase domain-containing protein 3 OS=Mus musculus OX=10090 GN=Hdhd3 PE=1 SV=1</t>
  </si>
  <si>
    <t>Nuclear receptor-binding protein 2 OS=Mus musculus OX=10090 GN=Nrbp2 PE=1 SV=2</t>
  </si>
  <si>
    <t>Phagosome assembly factor 1 OS=Mus musculus OX=10090 GN=Phaf1 PE=1 SV=2</t>
  </si>
  <si>
    <t>NADH dehydrogenase [ubiquinone] 1 beta subcomplex subunit 5, mitochondrial OS=Mus musculus OX=10090 GN=Ndufb5 PE=1 SV=1</t>
  </si>
  <si>
    <t>NLR family member X1 OS=Mus musculus OX=10090 GN=Nlrx1 PE=1 SV=1</t>
  </si>
  <si>
    <t>UMP-CMP kinase 2, mitochondrial OS=Mus musculus OX=10090 GN=Cmpk2 PE=1 SV=2</t>
  </si>
  <si>
    <t>Clathrin interactor 1 OS=Mus musculus OX=10090 GN=Clint1 PE=1 SV=2</t>
  </si>
  <si>
    <t>5'-3' exonuclease PLD4 OS=Mus musculus OX=10090 GN=Pld4 PE=1 SV=1</t>
  </si>
  <si>
    <t>Protein THEM6 OS=Mus musculus OX=10090 GN=Them6 PE=1 SV=1</t>
  </si>
  <si>
    <t>Dolichyl-diphosphooligosaccharide--protein glycosyltransferase subunit 2 OS=Mus musculus OX=10090 GN=Rpn2 PE=1 SV=1</t>
  </si>
  <si>
    <t>Epidermal growth factor receptor substrate 15-like 1 OS=Mus musculus OX=10090 GN=Eps15l1 PE=1 SV=3</t>
  </si>
  <si>
    <t>Large ribosomal subunit protein uL16m OS=Mus musculus OX=10090 GN=Mrpl16 PE=1 SV=1</t>
  </si>
  <si>
    <t>Ubiquitin carboxyl-terminal hydrolase 12 OS=Mus musculus OX=10090 GN=Usp12 PE=2 SV=2</t>
  </si>
  <si>
    <t>Outer mitochondrial transmembrane helix translocase OS=Mus musculus OX=10090 GN=Atad1 PE=1 SV=1</t>
  </si>
  <si>
    <t>Filamin-B OS=Mus musculus OX=10090 GN=Flnb PE=1 SV=3</t>
  </si>
  <si>
    <t>Ryanodine receptor 1 OS=Mus musculus OX=10090 GN=Ryr1 PE=1 SV=1</t>
  </si>
  <si>
    <t>N-alpha-acetyltransferase 35, NatC auxiliary subunit OS=Mus musculus OX=10090 GN=Naa35 PE=1 SV=1</t>
  </si>
  <si>
    <t>Mannose-6-phosphate isomerase OS=Mus musculus OX=10090 GN=Mpi PE=1 SV=1</t>
  </si>
  <si>
    <t>Calcineurin subunit B type 1 OS=Mus musculus OX=10090 GN=Ppp3r1 PE=1 SV=3</t>
  </si>
  <si>
    <t>Vacuolar protein sorting-associated protein 37C OS=Mus musculus OX=10090 GN=Vps37c PE=1 SV=1</t>
  </si>
  <si>
    <t>Ral GTPase-activating protein subunit alpha-1 OS=Mus musculus OX=10090 GN=Ralgapa1 PE=1 SV=1</t>
  </si>
  <si>
    <t>Troponin I, cardiac muscle OS=Mus musculus OX=10090 GN=Tnni3 PE=1 SV=2</t>
  </si>
  <si>
    <t>GrpE protein homolog 1, mitochondrial OS=Mus musculus OX=10090 GN=Grpel1 PE=1 SV=1</t>
  </si>
  <si>
    <t>Cytochrome c oxidase subunit 6C OS=Mus musculus OX=10090 GN=Cox6c PE=1 SV=3</t>
  </si>
  <si>
    <t>Membrane-associated phosphatidylinositol transfer protein 2 OS=Mus musculus OX=10090 GN=Pitpnm2 PE=1 SV=2</t>
  </si>
  <si>
    <t>Cyclin-K OS=Mus musculus OX=10090 GN=Ccnk PE=1 SV=3</t>
  </si>
  <si>
    <t>Tripartite motif-containing protein 72 OS=Mus musculus OX=10090 GN=Trim72 PE=1 SV=1</t>
  </si>
  <si>
    <t>Heat shock 70 kDa protein 12A OS=Mus musculus OX=10090 GN=Hspa12a PE=1 SV=1</t>
  </si>
  <si>
    <t>Dynactin subunit 4 OS=Mus musculus OX=10090 GN=Dctn4 PE=1 SV=1</t>
  </si>
  <si>
    <t>General transcription and DNA repair factor IIH helicase subunit XPB OS=Mus musculus OX=10090 GN=Ercc3 PE=2 SV=1</t>
  </si>
  <si>
    <t>Phosphatidate cytidylyltransferase, mitochondrial OS=Mus musculus OX=10090 GN=Tamm41 PE=1 SV=2</t>
  </si>
  <si>
    <t>N-acetylated-alpha-linked acidic dipeptidase 2 OS=Mus musculus OX=10090 GN=Naalad2 PE=1 SV=2</t>
  </si>
  <si>
    <t>YLP motif-containing protein 1 OS=Mus musculus OX=10090 GN=Ylpm1 PE=2 SV=2</t>
  </si>
  <si>
    <t>Serine/threonine-protein kinase N1 OS=Mus musculus OX=10090 GN=Pkn1 PE=1 SV=3</t>
  </si>
  <si>
    <t>Probable ATP-dependent RNA helicase DDX5 OS=Mus musculus OX=10090 GN=Ddx5 PE=1 SV=2</t>
  </si>
  <si>
    <t>Glutathione S-transferase 3, mitochondrial OS=Mus musculus OX=10090 GN=Mgst3 PE=1 SV=1</t>
  </si>
  <si>
    <t>RalA-binding protein 1 OS=Mus musculus OX=10090 GN=Ralbp1 PE=1 SV=4</t>
  </si>
  <si>
    <t>E3 ubiquitin/ISG15 ligase TRIM25 OS=Mus musculus OX=10090 GN=Trim25 PE=1 SV=2</t>
  </si>
  <si>
    <t>Phosphatidylinositol 4-phosphate 5-kinase type-1 alpha OS=Mus musculus OX=10090 GN=Pip5k1a PE=1 SV=2</t>
  </si>
  <si>
    <t>Ubiquitin carboxyl-terminal hydrolase 24 OS=Mus musculus OX=10090 GN=Usp24 PE=1 SV=1</t>
  </si>
  <si>
    <t>Protein PRRC2A OS=Mus musculus OX=10090 GN=Prrc2a PE=1 SV=1</t>
  </si>
  <si>
    <t>Pro-interleukin-16 OS=Mus musculus OX=10090 GN=Il16 PE=1 SV=3</t>
  </si>
  <si>
    <t>Lipoyltransferase 1, mitochondrial OS=Mus musculus OX=10090 GN=Lipt1 PE=1 SV=1</t>
  </si>
  <si>
    <t>14-3-3 protein epsilon OS=Mus musculus OX=10090 GN=Ywhae PE=1 SV=1</t>
  </si>
  <si>
    <t>Patatin-like phospholipase domain-containing protein 6 OS=Mus musculus OX=10090 GN=Pnpla6 PE=1 SV=2</t>
  </si>
  <si>
    <t>Methionine--tRNA ligase, mitochondrial OS=Mus musculus OX=10090 GN=Mars2 PE=1 SV=2</t>
  </si>
  <si>
    <t>Nidogen-1 OS=Mus musculus OX=10090 GN=Nid1 PE=1 SV=2</t>
  </si>
  <si>
    <t>Casein kinase I isoform gamma-1 OS=Mus musculus OX=10090 GN=Csnk1g1 PE=1 SV=2</t>
  </si>
  <si>
    <t>Diacylglycerol kinase zeta OS=Mus musculus OX=10090 GN=Dgkz PE=1 SV=2</t>
  </si>
  <si>
    <t>Nascent polypeptide-associated complex subunit alpha, muscle-specific form OS=Mus musculus OX=10090 GN=Naca PE=1 SV=2</t>
  </si>
  <si>
    <t>S-adenosylhomocysteine hydrolase-like protein 1 OS=Mus musculus OX=10090 GN=Ahcyl1 PE=1 SV=1</t>
  </si>
  <si>
    <t>Cytochrome c oxidase subunit 5B, mitochondrial OS=Mus musculus OX=10090 GN=Cox5b PE=1 SV=1</t>
  </si>
  <si>
    <t>Platelet glycoprotein Ib beta chain OS=Mus musculus OX=10090 GN=Gp1bb PE=1 SV=1</t>
  </si>
  <si>
    <t>Adenylate kinase 2, mitochondrial OS=Mus musculus OX=10090 GN=Ak2 PE=1 SV=5</t>
  </si>
  <si>
    <t>Complement C4-B OS=Mus musculus OX=10090 GN=C4b PE=1 SV=3</t>
  </si>
  <si>
    <t>Vacuolar protein sorting-associated protein 35 OS=Mus musculus OX=10090 GN=Vps35 PE=1 SV=1</t>
  </si>
  <si>
    <t>5'-3' exoribonuclease 1 OS=Mus musculus OX=10090 GN=Xrn1 PE=1 SV=1</t>
  </si>
  <si>
    <t>T-complex protein 1 subunit theta OS=Mus musculus OX=10090 GN=Cct8 PE=1 SV=3</t>
  </si>
  <si>
    <t>Platelet glycoprotein Ib alpha chain OS=Mus musculus OX=10090 GN=Gp1ba PE=1 SV=2</t>
  </si>
  <si>
    <t>rRNA methyltransferase 2, mitochondrial OS=Mus musculus OX=10090 GN=Mrm2 PE=1 SV=1</t>
  </si>
  <si>
    <t>Myosin-11 OS=Mus musculus OX=10090 GN=Myh11 PE=1 SV=1</t>
  </si>
  <si>
    <t>Serine/threonine-protein phosphatase 1 regulatory subunit 10 OS=Mus musculus OX=10090 GN=Ppp1r10 PE=1 SV=1</t>
  </si>
  <si>
    <t>Serine/threonine-protein kinase Nek7 OS=Mus musculus OX=10090 GN=Nek7 PE=1 SV=1</t>
  </si>
  <si>
    <t>3-oxoacyl-[acyl-carrier-protein] synthase, mitochondrial OS=Mus musculus OX=10090 GN=Oxsm PE=1 SV=1</t>
  </si>
  <si>
    <t>Paralemmin-2 OS=Mus musculus OX=10090 GN=Palm2 PE=1 SV=1</t>
  </si>
  <si>
    <t>Fructosamine-3-kinase OS=Mus musculus OX=10090 GN=Fn3k PE=1 SV=1</t>
  </si>
  <si>
    <t>Filamin-binding LIM protein 1 OS=Mus musculus OX=10090 GN=Fblim1 PE=1 SV=2</t>
  </si>
  <si>
    <t>Heterogeneous nuclear ribonucleoprotein A1 OS=Mus musculus OX=10090 GN=Hnrnpa1 PE=1 SV=2</t>
  </si>
  <si>
    <t>Myosin light polypeptide 6 OS=Mus musculus OX=10090 GN=Myl6 PE=1 SV=3</t>
  </si>
  <si>
    <t>Methylosome protein WDR77 OS=Mus musculus OX=10090 GN=Wdr77 PE=1 SV=1</t>
  </si>
  <si>
    <t>RAF proto-oncogene serine/threonine-protein kinase OS=Mus musculus OX=10090 GN=Raf1 PE=1 SV=2</t>
  </si>
  <si>
    <t>Run domain Beclin-1-interacting and cysteine-rich domain-containing protein OS=Mus musculus OX=10090 GN=Rubcn PE=1 SV=2</t>
  </si>
  <si>
    <t>UDP-N-acetylglucosamine--peptide N-acetylglucosaminyltransferase 110 kDa subunit OS=Mus musculus OX=10090 GN=Ogt PE=1 SV=2</t>
  </si>
  <si>
    <t>Complex I intermediate-associated protein 30, mitochondrial OS=Mus musculus OX=10090 GN=Ndufaf1 PE=1 SV=2</t>
  </si>
  <si>
    <t>Protein C1orf43 homolog OS=Mus musculus OX=10090 PE=2 SV=1</t>
  </si>
  <si>
    <t>Ankyrin repeat and SOCS box protein 2 OS=Mus musculus OX=10090 GN=Asb2 PE=1 SV=1</t>
  </si>
  <si>
    <t>Protein phosphatase PTC7 homolog OS=Mus musculus OX=10090 GN=Pptc7 PE=1 SV=1</t>
  </si>
  <si>
    <t>UDP-glucose 6-dehydrogenase OS=Mus musculus OX=10090 GN=Ugdh PE=1 SV=1</t>
  </si>
  <si>
    <t>Glucocorticoid-induced transcript 1 protein OS=Mus musculus OX=10090 GN=Glcci1 PE=1 SV=1</t>
  </si>
  <si>
    <t>Pumilio homolog 1 OS=Mus musculus OX=10090 GN=Pum1 PE=1 SV=2</t>
  </si>
  <si>
    <t>RelA-associated inhibitor OS=Mus musculus OX=10090 GN=Ppp1r13l PE=1 SV=1</t>
  </si>
  <si>
    <t>E3 ubiquitin-protein ligase ZNRF2 OS=Mus musculus OX=10090 GN=Znrf2 PE=1 SV=1</t>
  </si>
  <si>
    <t>Complex I assembly factor ACAD9, mitochondrial OS=Mus musculus OX=10090 GN=Acad9 PE=1 SV=2</t>
  </si>
  <si>
    <t>Creatine kinase B-type OS=Mus musculus OX=10090 GN=Ckb PE=1 SV=1</t>
  </si>
  <si>
    <t>Coiled-coil domain-containing protein 93 OS=Mus musculus OX=10090 GN=Ccdc93 PE=1 SV=1</t>
  </si>
  <si>
    <t>Ubiquinol-cytochrome-c reductase complex assembly factor 1 OS=Mus musculus OX=10090 GN=Uqcc1 PE=1 SV=1</t>
  </si>
  <si>
    <t>Zinc finger E-box-binding homeobox 2 OS=Mus musculus OX=10090 GN=Zeb2 PE=1 SV=2</t>
  </si>
  <si>
    <t>Myocyte-specific enhancer factor 2D OS=Mus musculus OX=10090 GN=Mef2d PE=1 SV=2</t>
  </si>
  <si>
    <t>LLGL scribble cell polarity complex component 2 OS=Mus musculus OX=10090 GN=Llgl2 PE=1 SV=2</t>
  </si>
  <si>
    <t>Cyclin-dependent kinase 13 OS=Mus musculus OX=10090 GN=Cdk13 PE=1 SV=3</t>
  </si>
  <si>
    <t>Eukaryotic translation initiation factor 4E type 2 OS=Mus musculus OX=10090 GN=Eif4e2 PE=1 SV=1</t>
  </si>
  <si>
    <t>Leucine-rich PPR motif-containing protein, mitochondrial OS=Mus musculus OX=10090 GN=Lrpprc PE=1 SV=2</t>
  </si>
  <si>
    <t>Large subunit GTPase 1 homolog OS=Mus musculus OX=10090 GN=Lsg1 PE=1 SV=2</t>
  </si>
  <si>
    <t>Receptor-type tyrosine-protein phosphatase mu OS=Mus musculus OX=10090 GN=Ptprm PE=1 SV=2</t>
  </si>
  <si>
    <t>E3 ubiquitin-protein ligase HECTD1 OS=Mus musculus OX=10090 GN=Hectd1 PE=1 SV=2</t>
  </si>
  <si>
    <t>Atlastin-2 OS=Mus musculus OX=10090 GN=Atl2 PE=1 SV=1</t>
  </si>
  <si>
    <t>Importin-5 OS=Mus musculus OX=10090 GN=Ipo5 PE=1 SV=3</t>
  </si>
  <si>
    <t>Large ribosomal subunit protein bL21m OS=Mus musculus OX=10090 GN=Mrpl21 PE=1 SV=1</t>
  </si>
  <si>
    <t>BAG family molecular chaperone regulator 3 OS=Mus musculus OX=10090 GN=Bag3 PE=1 SV=2</t>
  </si>
  <si>
    <t>Rho-associated protein kinase 1 OS=Mus musculus OX=10090 GN=Rock1 PE=1 SV=1</t>
  </si>
  <si>
    <t>Threonine synthase-like 1 OS=Mus musculus OX=10090 GN=Thnsl1 PE=1 SV=1</t>
  </si>
  <si>
    <t>Elongation factor 1-alpha 2 OS=Mus musculus OX=10090 GN=Eef1a2 PE=1 SV=1</t>
  </si>
  <si>
    <t>Dolichol-phosphate mannosyltransferase subunit 1 OS=Mus musculus OX=10090 GN=Dpm1 PE=1 SV=1</t>
  </si>
  <si>
    <t>Tyrosine-protein kinase CSK OS=Mus musculus OX=10090 GN=Csk PE=1 SV=2</t>
  </si>
  <si>
    <t>5'-nucleotidase domain-containing protein 3 OS=Mus musculus OX=10090 GN=Nt5dc3 PE=1 SV=1</t>
  </si>
  <si>
    <t>Isoleucine--tRNA ligase, mitochondrial OS=Mus musculus OX=10090 GN=Iars2 PE=1 SV=1</t>
  </si>
  <si>
    <t>Erythroid membrane-associated protein OS=Mus musculus OX=10090 GN=Ermap PE=1 SV=2</t>
  </si>
  <si>
    <t>Actin-related protein 10 OS=Mus musculus OX=10090 GN=Actr10 PE=1 SV=2</t>
  </si>
  <si>
    <t>Large ribosomal subunit protein mL45 OS=Mus musculus OX=10090 GN=Mrpl45 PE=1 SV=1</t>
  </si>
  <si>
    <t>CUGBP Elav-like family member 1 OS=Mus musculus OX=10090 GN=Celf1 PE=1 SV=2</t>
  </si>
  <si>
    <t>GTP-binding protein Rit1 OS=Mus musculus OX=10090 GN=Rit1 PE=1 SV=1</t>
  </si>
  <si>
    <t>Alanine--tRNA ligase, cytoplasmic OS=Mus musculus OX=10090 GN=Aars1 PE=1 SV=1</t>
  </si>
  <si>
    <t>Glycogen synthase kinase-3 beta OS=Mus musculus OX=10090 GN=Gsk3b PE=1 SV=2</t>
  </si>
  <si>
    <t>Mitogen-activated protein kinase 9 OS=Mus musculus OX=10090 GN=Mapk9 PE=1 SV=2</t>
  </si>
  <si>
    <t>NADH dehydrogenase [ubiquinone] flavoprotein 1, mitochondrial OS=Mus musculus OX=10090 GN=Ndufv1 PE=1 SV=1</t>
  </si>
  <si>
    <t>Phospholipase A-2-activating protein OS=Mus musculus OX=10090 GN=Plaa PE=1 SV=4</t>
  </si>
  <si>
    <t>Exosome complex exonuclease RRP42 OS=Mus musculus OX=10090 GN=Exosc7 PE=1 SV=2</t>
  </si>
  <si>
    <t>Arf-GAP with GTPase, ANK repeat and PH domain-containing protein 1 OS=Mus musculus OX=10090 GN=Agap1 PE=1 SV=1</t>
  </si>
  <si>
    <t>Transmembrane 9 superfamily member 2 OS=Mus musculus OX=10090 GN=Tm9sf2 PE=1 SV=1</t>
  </si>
  <si>
    <t>DnaJ homolog subfamily A member 1 OS=Mus musculus OX=10090 GN=Dnaja1 PE=1 SV=1</t>
  </si>
  <si>
    <t>Ras-interacting protein 1 OS=Mus musculus OX=10090 GN=Rasip1 PE=1 SV=3</t>
  </si>
  <si>
    <t>Bifunctional glutamate/proline--tRNA ligase OS=Mus musculus OX=10090 GN=Eprs1 PE=1 SV=4</t>
  </si>
  <si>
    <t>Obg-like ATPase 1 OS=Mus musculus OX=10090 GN=Ola1 PE=1 SV=1</t>
  </si>
  <si>
    <t>MAP/microtubule affinity-regulating kinase 3 OS=Mus musculus OX=10090 GN=Mark3 PE=1 SV=2</t>
  </si>
  <si>
    <t>MAP/microtubule affinity-regulating kinase 4 OS=Mus musculus OX=10090 GN=Mark4 PE=1 SV=1</t>
  </si>
  <si>
    <t>Stomatin-like protein 2, mitochondrial OS=Mus musculus OX=10090 GN=Stoml2 PE=1 SV=1</t>
  </si>
  <si>
    <t>Basal cell adhesion molecule OS=Mus musculus OX=10090 GN=Bcam PE=1 SV=1</t>
  </si>
  <si>
    <t>Rho guanine nucleotide exchange factor 18 OS=Mus musculus OX=10090 GN=Arhgef18 PE=1 SV=3</t>
  </si>
  <si>
    <t>ATP-dependent 6-phosphofructokinase, liver type OS=Mus musculus OX=10090 GN=Pfkl PE=1 SV=4</t>
  </si>
  <si>
    <t>Junction-mediating and -regulatory protein OS=Mus musculus OX=10090 GN=Jmy PE=1 SV=1</t>
  </si>
  <si>
    <t>Golgi SNAP receptor complex member 2 OS=Mus musculus OX=10090 GN=Gosr2 PE=1 SV=2</t>
  </si>
  <si>
    <t>Dedicator of cytokinesis protein 4 OS=Mus musculus OX=10090 GN=Dock4 PE=1 SV=1</t>
  </si>
  <si>
    <t>KICSTOR complex protein kaptin OS=Mus musculus OX=10090 GN=Kptn PE=2 SV=1</t>
  </si>
  <si>
    <t>Coiled-coil domain-containing protein 22 OS=Mus musculus OX=10090 GN=Ccdc22 PE=1 SV=1</t>
  </si>
  <si>
    <t>Small ribosomal subunit protein eS6 OS=Mus musculus OX=10090 GN=Rps6 PE=1 SV=1</t>
  </si>
  <si>
    <t>Mitochondrial carrier homolog 1 OS=Mus musculus OX=10090 GN=Mtch1 PE=1 SV=1</t>
  </si>
  <si>
    <t>TOX high mobility group box family member 4 OS=Mus musculus OX=10090 GN=Tox4 PE=1 SV=3</t>
  </si>
  <si>
    <t>H-2 class I histocompatibility antigen, K-W28 alpha chain OS=Mus musculus OX=10090 GN=H2-K1 PE=1 SV=2</t>
  </si>
  <si>
    <t>Triosephosphate isomerase OS=Mus musculus OX=10090 GN=Tpi1 PE=1 SV=5</t>
  </si>
  <si>
    <t>DNA-directed RNA polymerase II subunit RPB2 OS=Mus musculus OX=10090 GN=Polr2b PE=1 SV=2</t>
  </si>
  <si>
    <t>COMM domain-containing protein 6 OS=Mus musculus OX=10090 GN=Commd6 PE=1 SV=1</t>
  </si>
  <si>
    <t>Translation initiation factor eIF-2B subunit delta OS=Mus musculus OX=10090 GN=Eif2b4 PE=1 SV=2</t>
  </si>
  <si>
    <t>Dipeptidyl peptidase 9 OS=Mus musculus OX=10090 GN=Dpp9 PE=1 SV=2</t>
  </si>
  <si>
    <t>Mannose-1-phosphate guanyltransferase alpha OS=Mus musculus OX=10090 GN=Gmppa PE=1 SV=1</t>
  </si>
  <si>
    <t>Palmitoyltransferase ZDHHC5 OS=Mus musculus OX=10090 GN=Zdhhc5 PE=1 SV=1</t>
  </si>
  <si>
    <t>Aldehyde dehydrogenase X, mitochondrial OS=Mus musculus OX=10090 GN=Aldh1b1 PE=1 SV=1</t>
  </si>
  <si>
    <t>Myotubularin-related protein 10 OS=Mus musculus OX=10090 GN=Mtmr10 PE=1 SV=2</t>
  </si>
  <si>
    <t>Terminal uridylyltransferase 4 OS=Mus musculus OX=10090 GN=Tut4 PE=1 SV=2</t>
  </si>
  <si>
    <t>Pleckstrin homology domain-containing family G member 2 OS=Mus musculus OX=10090 GN=Plekhg2 PE=2 SV=2</t>
  </si>
  <si>
    <t>Guanine nucleotide-binding protein G(s) subunit alpha isoforms short OS=Mus musculus OX=10090 GN=Gnas PE=1 SV=1</t>
  </si>
  <si>
    <t>Guanine nucleotide-binding protein G(s) subunit alpha isoforms XLas OS=Mus musculus OX=10090 GN=Gnas PE=1 SV=1</t>
  </si>
  <si>
    <t>Mitochondrial import inner membrane translocase subunit Tim23 OS=Mus musculus OX=10090 GN=Timm23 PE=1 SV=1</t>
  </si>
  <si>
    <t>Eukaryotic elongation factor 2 kinase OS=Mus musculus OX=10090 GN=Eef2k PE=1 SV=1</t>
  </si>
  <si>
    <t>COP9 signalosome complex subunit 1 OS=Mus musculus OX=10090 GN=Gps1 PE=1 SV=1</t>
  </si>
  <si>
    <t>Glutamate dehydrogenase 1, mitochondrial OS=Mus musculus OX=10090 GN=Glud1 PE=1 SV=1</t>
  </si>
  <si>
    <t>Acyl-coenzyme A thioesterase 8 OS=Mus musculus OX=10090 GN=Acot8 PE=1 SV=1</t>
  </si>
  <si>
    <t>Actin-related protein 2/3 complex subunit 2 OS=Mus musculus OX=10090 GN=Arpc2 PE=1 SV=3</t>
  </si>
  <si>
    <t>Mitochondrial dynamics protein MID51 OS=Mus musculus OX=10090 GN=Mief1 PE=1 SV=1</t>
  </si>
  <si>
    <t>ATP-dependent RNA helicase DDX19A OS=Mus musculus OX=10090 GN=Ddx19a PE=1 SV=2</t>
  </si>
  <si>
    <t>Disks large homolog 1 OS=Mus musculus OX=10090 GN=Dlg1 PE=1 SV=1</t>
  </si>
  <si>
    <t>AFG3-like protein 1 OS=Mus musculus OX=10090 GN=Afg3l1 PE=1 SV=2</t>
  </si>
  <si>
    <t>Mitofusin-2 OS=Mus musculus OX=10090 GN=Mfn2 PE=1 SV=3</t>
  </si>
  <si>
    <t>Transcription factor 12 OS=Mus musculus OX=10090 GN=Tcf12 PE=1 SV=2</t>
  </si>
  <si>
    <t>Very-long-chain enoyl-CoA reductase OS=Mus musculus OX=10090 GN=Tecr PE=1 SV=1</t>
  </si>
  <si>
    <t>Nexilin OS=Mus musculus OX=10090 GN=Nexn PE=1 SV=3</t>
  </si>
  <si>
    <t>NFX1-type zinc finger-containing protein 1 OS=Mus musculus OX=10090 GN=Znfx1 PE=1 SV=3</t>
  </si>
  <si>
    <t>Large ribosomal subunit protein bL33m OS=Mus musculus OX=10090 GN=Mrpl33 PE=1 SV=1</t>
  </si>
  <si>
    <t>HCLS1-associated protein X-1 OS=Mus musculus OX=10090 GN=Hax1 PE=1 SV=1</t>
  </si>
  <si>
    <t>GATOR complex protein WDR59 OS=Mus musculus OX=10090 GN=Wdr59 PE=1 SV=2</t>
  </si>
  <si>
    <t>Rho guanine nucleotide exchange factor 17 OS=Mus musculus OX=10090 GN=Arhgef17 PE=1 SV=2</t>
  </si>
  <si>
    <t>1-phosphatidylinositol 3-phosphate 5-kinase OS=Mus musculus OX=10090 GN=Pikfyve PE=1 SV=3</t>
  </si>
  <si>
    <t>Actin-like protein 6A OS=Mus musculus OX=10090 GN=Actl6a PE=1 SV=2</t>
  </si>
  <si>
    <t>Histone H2A.Z OS=Mus musculus OX=10090 GN=H2az1 PE=1 SV=2</t>
  </si>
  <si>
    <t>Histone H2A.V OS=Mus musculus OX=10090 GN=H2az2 PE=1 SV=3</t>
  </si>
  <si>
    <t>Inositol 1,4,5-triphosphate receptor associated 1 OS=Mus musculus OX=10090 GN=Irag1 PE=1 SV=2</t>
  </si>
  <si>
    <t>GTP-binding protein 1 OS=Mus musculus OX=10090 GN=Gtpbp1 PE=1 SV=2</t>
  </si>
  <si>
    <t>SH2B adapter protein 3 OS=Mus musculus OX=10090 GN=Sh2b3 PE=1 SV=2</t>
  </si>
  <si>
    <t>Transmembrane and coiled-coil domain-containing protein 3 OS=Mus musculus OX=10090 GN=Tmco3 PE=2 SV=1</t>
  </si>
  <si>
    <t>Phosphorylase b kinase gamma catalytic chain, liver/testis isoform OS=Mus musculus OX=10090 GN=Phkg2 PE=2 SV=2</t>
  </si>
  <si>
    <t>Transmembrane protein 201 OS=Mus musculus OX=10090 GN=Tmem201 PE=1 SV=1</t>
  </si>
  <si>
    <t>Fatty acid-binding protein, adipocyte OS=Mus musculus OX=10090 GN=Fabp4 PE=1 SV=3</t>
  </si>
  <si>
    <t>cGMP-inhibited 3',5'-cyclic phosphodiesterase 3A OS=Mus musculus OX=10090 GN=Pde3a PE=1 SV=1</t>
  </si>
  <si>
    <t>Exosome RNA helicase MTR4 OS=Mus musculus OX=10090 GN=Mtrex PE=1 SV=1</t>
  </si>
  <si>
    <t>Serine/threonine-protein kinase D3 OS=Mus musculus OX=10090 GN=Prkd3 PE=1 SV=1</t>
  </si>
  <si>
    <t>AT-rich interactive domain-containing protein 1A OS=Mus musculus OX=10090 GN=Arid1a PE=1 SV=1</t>
  </si>
  <si>
    <t>Dual specificity mitogen-activated protein kinase kinase 3 OS=Mus musculus OX=10090 GN=Map2k3 PE=1 SV=2</t>
  </si>
  <si>
    <t>AP-1 complex subunit mu-1 OS=Mus musculus OX=10090 GN=Ap1m1 PE=1 SV=3</t>
  </si>
  <si>
    <t>Mitogen-activated protein kinase kinase kinase kinase 4 OS=Mus musculus OX=10090 GN=Map4k4 PE=1 SV=1</t>
  </si>
  <si>
    <t>Peroxiredoxin-5, mitochondrial OS=Mus musculus OX=10090 GN=Prdx5 PE=1 SV=2</t>
  </si>
  <si>
    <t>F-box only protein 6 OS=Mus musculus OX=10090 GN=Fbxo6 PE=1 SV=1</t>
  </si>
  <si>
    <t>Insulin receptor substrate 2 OS=Mus musculus OX=10090 GN=Irs2 PE=1 SV=2</t>
  </si>
  <si>
    <t>Serine/threonine-protein kinase ULK1 OS=Mus musculus OX=10090 GN=Ulk1 PE=1 SV=1</t>
  </si>
  <si>
    <t>Tripeptidyl-peptidase 1 OS=Mus musculus OX=10090 GN=Tpp1 PE=1 SV=2</t>
  </si>
  <si>
    <t>Chloride intracellular channel protein 5 OS=Mus musculus OX=10090 GN=Clic5 PE=1 SV=1</t>
  </si>
  <si>
    <t>Myosin light chain 3 OS=Mus musculus OX=10090 GN=Myl3 PE=1 SV=4</t>
  </si>
  <si>
    <t>Ras suppressor protein 1 OS=Mus musculus OX=10090 GN=Rsu1 PE=1 SV=3</t>
  </si>
  <si>
    <t>Xin actin-binding repeat-containing protein 1 OS=Mus musculus OX=10090 GN=Xirp1 PE=1 SV=2</t>
  </si>
  <si>
    <t>Enhancer of mRNA-decapping protein 4 OS=Mus musculus OX=10090 GN=Edc4 PE=1 SV=2</t>
  </si>
  <si>
    <t>Syntaxin-binding protein 1 OS=Mus musculus OX=10090 GN=Stxbp1 PE=1 SV=2</t>
  </si>
  <si>
    <t>Vacuolar protein sorting-associated protein 11 homolog OS=Mus musculus OX=10090 GN=Vps11 PE=1 SV=3</t>
  </si>
  <si>
    <t>NADH dehydrogenase [ubiquinone] 1 alpha subcomplex assembly factor 4 OS=Mus musculus OX=10090 GN=Ndufaf4 PE=1 SV=1</t>
  </si>
  <si>
    <t>KICSTOR complex protein SZT2 OS=Mus musculus OX=10090 GN=Szt2 PE=1 SV=1</t>
  </si>
  <si>
    <t>Rho GTPase-activating protein 32 OS=Mus musculus OX=10090 GN=Arhgap32 PE=1 SV=2</t>
  </si>
  <si>
    <t>Single-stranded DNA-binding protein 2 OS=Mus musculus OX=10090 GN=Ssbp2 PE=1 SV=1</t>
  </si>
  <si>
    <t>Single-stranded DNA-binding protein 3 OS=Mus musculus OX=10090 GN=Ssbp3 PE=1 SV=2</t>
  </si>
  <si>
    <t>Nuclear factor 1 B-type OS=Mus musculus OX=10090 GN=Nfib PE=1 SV=2</t>
  </si>
  <si>
    <t>eIF5-mimic protein 1 OS=Mus musculus OX=10090 GN=Bzw2 PE=1 SV=1</t>
  </si>
  <si>
    <t>Partitioning defective 3 homolog B OS=Mus musculus OX=10090 GN=Pard3b PE=1 SV=2</t>
  </si>
  <si>
    <t>Ubiquitin-like protein ISG15 OS=Mus musculus OX=10090 GN=Isg15 PE=1 SV=4</t>
  </si>
  <si>
    <t>Importin subunit alpha-7 OS=Mus musculus OX=10090 GN=Kpna6 PE=1 SV=2</t>
  </si>
  <si>
    <t>Leucine-rich repeat-containing protein 47 OS=Mus musculus OX=10090 GN=Lrrc47 PE=1 SV=1</t>
  </si>
  <si>
    <t>Ubiquitin carboxyl-terminal hydrolase 5 OS=Mus musculus OX=10090 GN=Usp5 PE=1 SV=1</t>
  </si>
  <si>
    <t>Transcriptional activator protein Pur-alpha OS=Mus musculus OX=10090 GN=Pura PE=1 SV=1</t>
  </si>
  <si>
    <t>cAMP-specific 3',5'-cyclic phosphodiesterase 7B OS=Mus musculus OX=10090 GN=Pde7b PE=1 SV=1</t>
  </si>
  <si>
    <t>Glycerol kinase OS=Mus musculus OX=10090 GN=Gk PE=1 SV=2</t>
  </si>
  <si>
    <t>C-Jun-amino-terminal kinase-interacting protein 4 OS=Mus musculus OX=10090 GN=Spag9 PE=1 SV=2</t>
  </si>
  <si>
    <t>Zinc finger RNA-binding protein OS=Mus musculus OX=10090 GN=Zfr PE=1 SV=2</t>
  </si>
  <si>
    <t>Apoptosis-stimulating of p53 protein 2 OS=Mus musculus OX=10090 GN=Tp53bp2 PE=1 SV=3</t>
  </si>
  <si>
    <t>Nuclear receptor corepressor 1 OS=Mus musculus OX=10090 GN=Ncor1 PE=1 SV=1</t>
  </si>
  <si>
    <t>EH domain-containing protein 1 OS=Mus musculus OX=10090 GN=Ehd1 PE=1 SV=1</t>
  </si>
  <si>
    <t>Syntaxin-2 OS=Mus musculus OX=10090 GN=Stx2 PE=1 SV=1</t>
  </si>
  <si>
    <t>Phosphatidylinositol 4,5-bisphosphate 3-kinase catalytic subunit alpha isoform OS=Mus musculus OX=10090 GN=Pik3ca PE=1 SV=2</t>
  </si>
  <si>
    <t>Microtubule-actin cross-linking factor 1, isoforms 1/2/3/4 OS=Mus musculus OX=10090 GN=Macf1 PE=1 SV=2</t>
  </si>
  <si>
    <t>Protein Shroom3 OS=Mus musculus OX=10090 GN=Shroom3 PE=1 SV=2</t>
  </si>
  <si>
    <t>Nuclear receptor-binding protein OS=Mus musculus OX=10090 GN=Nrbp1 PE=1 SV=1</t>
  </si>
  <si>
    <t>Acyl-coenzyme A thioesterase 11 OS=Mus musculus OX=10090 GN=Acot11 PE=1 SV=1</t>
  </si>
  <si>
    <t>Haloacid dehalogenase-like hydrolase domain-containing protein 2 OS=Mus musculus OX=10090 GN=Hdhd2 PE=1 SV=2</t>
  </si>
  <si>
    <t>Heat shock protein beta-8 OS=Mus musculus OX=10090 GN=Hspb8 PE=1 SV=1</t>
  </si>
  <si>
    <t>Apoptosis-stimulating of p53 protein 1 OS=Mus musculus OX=10090 GN=Ppp1r13b PE=1 SV=2</t>
  </si>
  <si>
    <t>Poly(rC)-binding protein 2 OS=Mus musculus OX=10090 GN=Pcbp2 PE=1 SV=1</t>
  </si>
  <si>
    <t>RNA-splicing ligase RtcB homolog OS=Mus musculus OX=10090 GN=Rtcb PE=1 SV=1</t>
  </si>
  <si>
    <t>Calpain-1 catalytic subunit OS=Mus musculus OX=10090 GN=Capn1 PE=1 SV=1</t>
  </si>
  <si>
    <t>Signal recognition particle 14 kDa protein OS=Mus musculus OX=10090 GN=Srp14 PE=1 SV=1</t>
  </si>
  <si>
    <t>Tyrosine 3-monooxygenase OS=Mus musculus OX=10090 GN=Th PE=1 SV=3</t>
  </si>
  <si>
    <t>Kinesin-like protein KIF1B OS=Mus musculus OX=10090 GN=Kif1b PE=1 SV=2</t>
  </si>
  <si>
    <t>Probable ubiquitin carboxyl-terminal hydrolase FAF-X OS=Mus musculus OX=10090 GN=Usp9x PE=1 SV=2</t>
  </si>
  <si>
    <t>TBC1 domain family member 10B OS=Mus musculus OX=10090 GN=Tbc1d10b PE=1 SV=2</t>
  </si>
  <si>
    <t>Methionine-R-sulfoxide reductase B3, mitochondrial OS=Mus musculus OX=10090 GN=Msrb3 PE=1 SV=2</t>
  </si>
  <si>
    <t>Alpha-mannosidase 2 OS=Mus musculus OX=10090 GN=Man2a1 PE=1 SV=2</t>
  </si>
  <si>
    <t>MAP kinase-activated protein kinase 2 OS=Mus musculus OX=10090 GN=Mapkapk2 PE=1 SV=2</t>
  </si>
  <si>
    <t>NAD kinase 2, mitochondrial OS=Mus musculus OX=10090 GN=Nadk2 PE=1 SV=2</t>
  </si>
  <si>
    <t>Vacuolar protein sorting-associated protein 26A OS=Mus musculus OX=10090 GN=Vps26a PE=1 SV=1</t>
  </si>
  <si>
    <t>Neurobeachin-like protein 2 OS=Mus musculus OX=10090 GN=Nbeal2 PE=1 SV=2</t>
  </si>
  <si>
    <t>Protein LYRIC OS=Mus musculus OX=10090 GN=Mtdh PE=1 SV=1</t>
  </si>
  <si>
    <t>Microphthalmia-associated transcription factor OS=Mus musculus OX=10090 GN=Mitf PE=1 SV=4</t>
  </si>
  <si>
    <t>Kinesin-like protein KIFC3 OS=Mus musculus OX=10090 GN=Kifc3 PE=1 SV=4</t>
  </si>
  <si>
    <t>Constitutive coactivator of peroxisome proliferator-activated receptor gamma OS=Mus musculus OX=10090 GN=Fam120b PE=1 SV=1</t>
  </si>
  <si>
    <t>DnaJ homolog subfamily B member 2 OS=Mus musculus OX=10090 GN=Dnajb2 PE=1 SV=3</t>
  </si>
  <si>
    <t>Plectin OS=Mus musculus OX=10090 GN=Plec PE=1 SV=3</t>
  </si>
  <si>
    <t>CLIP-associating protein 2 OS=Mus musculus OX=10090 GN=Clasp2 PE=1 SV=1</t>
  </si>
  <si>
    <t>Ral guanine nucleotide dissociation stimulator-like 2 OS=Mus musculus OX=10090 GN=Rgl2 PE=1 SV=2</t>
  </si>
  <si>
    <t>CYFIP-related Rac1 interactor B OS=Mus musculus OX=10090 GN=Cyrib PE=1 SV=1</t>
  </si>
  <si>
    <t>Pseudouridylate synthase RPUSD4, mitochondrial OS=Mus musculus OX=10090 GN=Rpusd4 PE=2 SV=1</t>
  </si>
  <si>
    <t>Tubulin beta-4A chain OS=Mus musculus OX=10090 GN=Tubb4a PE=1 SV=3</t>
  </si>
  <si>
    <t>Interleukin enhancer-binding factor 2 OS=Mus musculus OX=10090 GN=Ilf2 PE=1 SV=1</t>
  </si>
  <si>
    <t>Ras-related protein Rab-18 OS=Mus musculus OX=10090 GN=Rab18 PE=1 SV=2</t>
  </si>
  <si>
    <t>Magnesium-dependent phosphatase 1 OS=Mus musculus OX=10090 GN=Mdp1 PE=1 SV=1</t>
  </si>
  <si>
    <t>Myotubularin-related protein 1 OS=Mus musculus OX=10090 GN=Mtmr1 PE=1 SV=1</t>
  </si>
  <si>
    <t>Adenylyl cyclase-associated protein 1 OS=Mus musculus OX=10090 GN=Cap1 PE=1 SV=4</t>
  </si>
  <si>
    <t>Protein phosphatase 1A OS=Mus musculus OX=10090 GN=Ppm1a PE=1 SV=1</t>
  </si>
  <si>
    <t>Pleiotropic regulator 1 OS=Mus musculus OX=10090 GN=Plrg1 PE=1 SV=1</t>
  </si>
  <si>
    <t>Mitotic checkpoint protein BUB3 OS=Mus musculus OX=10090 GN=Bub3 PE=1 SV=2</t>
  </si>
  <si>
    <t>Myotubularin-related protein 2 OS=Mus musculus OX=10090 GN=Mtmr2 PE=1 SV=3</t>
  </si>
  <si>
    <t>Brefeldin A-inhibited guanine nucleotide-exchange protein 1 OS=Mus musculus OX=10090 GN=Arfgef1 PE=1 SV=1</t>
  </si>
  <si>
    <t>Small ribosomal subunit protein uS5 OS=Mus musculus OX=10090 GN=Rps2 PE=1 SV=3</t>
  </si>
  <si>
    <t>Transmembrane and coiled-coil domains protein 1 OS=Mus musculus OX=10090 GN=Tmcc1 PE=1 SV=2</t>
  </si>
  <si>
    <t>U2 snRNP-associated SURP motif-containing protein OS=Mus musculus OX=10090 GN=U2surp PE=1 SV=3</t>
  </si>
  <si>
    <t>GPI transamidase component PIG-S OS=Mus musculus OX=10090 GN=Pigs PE=1 SV=3</t>
  </si>
  <si>
    <t>Up-regulator of cell proliferation OS=Mus musculus OX=10090 GN=Urgcp PE=2 SV=1</t>
  </si>
  <si>
    <t>Probable aminopeptidase NPEPL1 OS=Mus musculus OX=10090 GN=Npepl1 PE=1 SV=1</t>
  </si>
  <si>
    <t>Glutamate--cysteine ligase catalytic subunit OS=Mus musculus OX=10090 GN=Gclc PE=1 SV=4</t>
  </si>
  <si>
    <t>Golgi-associated PDZ and coiled-coil motif-containing protein OS=Mus musculus OX=10090 GN=Gopc PE=1 SV=1</t>
  </si>
  <si>
    <t>Ras-related protein Rab-14 OS=Mus musculus OX=10090 GN=Rab14 PE=1 SV=3</t>
  </si>
  <si>
    <t>Proteasome adapter and scaffold protein ECM29 OS=Mus musculus OX=10090 GN=Ecpas PE=1 SV=3</t>
  </si>
  <si>
    <t>NADH dehydrogenase [ubiquinone] 1 beta subcomplex subunit 1 OS=Mus musculus OX=10090 GN=Ndufb1 PE=1 SV=1</t>
  </si>
  <si>
    <t>Carbonyl reductase [NADPH] 1 OS=Mus musculus OX=10090 GN=Cbr1 PE=1 SV=3</t>
  </si>
  <si>
    <t>Exosome component 10 OS=Mus musculus OX=10090 GN=Exosc10 PE=1 SV=2</t>
  </si>
  <si>
    <t>Autophagy protein 5 OS=Mus musculus OX=10090 GN=Atg5 PE=1 SV=1</t>
  </si>
  <si>
    <t>NADH dehydrogenase [ubiquinone] 1 alpha subcomplex subunit 7 OS=Mus musculus OX=10090 GN=Ndufa7 PE=1 SV=3</t>
  </si>
  <si>
    <t>Alpha-actinin-2 OS=Mus musculus OX=10090 GN=Actn2 PE=1 SV=2</t>
  </si>
  <si>
    <t>Chloride channel CLIC-like protein 1 OS=Mus musculus OX=10090 GN=Clcc1 PE=1 SV=1</t>
  </si>
  <si>
    <t>FUN14 domain-containing protein 2 OS=Mus musculus OX=10090 GN=Fundc2 PE=1 SV=1</t>
  </si>
  <si>
    <t>Kalirin OS=Mus musculus OX=10090 GN=Kalrn PE=1 SV=1</t>
  </si>
  <si>
    <t>ATP synthase subunit ATP5MPL, mitochondrial OS=Mus musculus OX=10090 GN=Atp5mpl PE=1 SV=1</t>
  </si>
  <si>
    <t>Tubulin-specific chaperone E OS=Mus musculus OX=10090 GN=Tbce PE=1 SV=1</t>
  </si>
  <si>
    <t>Large ribosomal subunit protein uL2 OS=Mus musculus OX=10090 GN=Rpl8 PE=1 SV=2</t>
  </si>
  <si>
    <t>Catenin alpha-1 OS=Mus musculus OX=10090 GN=Ctnna1 PE=1 SV=1</t>
  </si>
  <si>
    <t>ATP-dependent RNA helicase DHX30 OS=Mus musculus OX=10090 GN=Dhx30 PE=1 SV=1</t>
  </si>
  <si>
    <t>Peroxisomal coenzyme A diphosphatase NUDT7 OS=Mus musculus OX=10090 GN=Nudt7 PE=1 SV=2</t>
  </si>
  <si>
    <t>Serine/threonine-protein phosphatase PP1-beta catalytic subunit OS=Mus musculus OX=10090 GN=Ppp1cb PE=1 SV=3</t>
  </si>
  <si>
    <t>CCR4-NOT transcription complex subunit 9 OS=Mus musculus OX=10090 GN=Cnot9 PE=1 SV=1</t>
  </si>
  <si>
    <t>Signal recognition particle subunit SRP68 OS=Mus musculus OX=10090 GN=Srp68 PE=1 SV=2</t>
  </si>
  <si>
    <t>Large ribosomal subunit protein uL23 OS=Mus musculus OX=10090 GN=Rpl23a PE=1 SV=1</t>
  </si>
  <si>
    <t>Protein YIF1B OS=Mus musculus OX=10090 GN=Yif1b PE=1 SV=2</t>
  </si>
  <si>
    <t>Mitochondrial thiamine pyrophosphate carrier OS=Mus musculus OX=10090 GN=Slc25a19 PE=1 SV=1</t>
  </si>
  <si>
    <t>Transmembrane 9 superfamily member 1 OS=Mus musculus OX=10090 GN=Tm9sf1 PE=2 SV=2</t>
  </si>
  <si>
    <t>Tubulin gamma-1 chain OS=Mus musculus OX=10090 GN=Tubg1 PE=1 SV=1</t>
  </si>
  <si>
    <t>Protein FAM162A OS=Mus musculus OX=10090 GN=Fam162a PE=1 SV=1</t>
  </si>
  <si>
    <t>Ubiquitin-associated protein 2-like OS=Mus musculus OX=10090 GN=Ubap2l PE=1 SV=1</t>
  </si>
  <si>
    <t>GTP-binding protein SAR1b OS=Mus musculus OX=10090 GN=Sar1b PE=1 SV=1</t>
  </si>
  <si>
    <t>Vacuolar protein sorting-associated protein 37B OS=Mus musculus OX=10090 GN=Vps37b PE=1 SV=1</t>
  </si>
  <si>
    <t>Large ribosomal subunit protein uL2m OS=Mus musculus OX=10090 GN=Mrpl2 PE=1 SV=1</t>
  </si>
  <si>
    <t>Bridge-like lipid transfer protein family member 1 OS=Mus musculus OX=10090 GN=Bltp1 PE=1 SV=4</t>
  </si>
  <si>
    <t>WD repeat domain phosphoinositide-interacting protein 3 OS=Mus musculus OX=10090 GN=Wdr45b PE=1 SV=2</t>
  </si>
  <si>
    <t>Kinesin-like protein KIF16B OS=Mus musculus OX=10090 GN=Kif16b PE=1 SV=1</t>
  </si>
  <si>
    <t>FERM domain-containing protein 6 OS=Mus musculus OX=10090 GN=Frmd6 PE=1 SV=2</t>
  </si>
  <si>
    <t>Calcium homeostasis endoplasmic reticulum protein OS=Mus musculus OX=10090 GN=Cherp PE=1 SV=1</t>
  </si>
  <si>
    <t>Rho guanine nucleotide exchange factor 1 OS=Mus musculus OX=10090 GN=Arhgef1 PE=1 SV=2</t>
  </si>
  <si>
    <t>Protein MEMO1 OS=Mus musculus OX=10090 GN=Memo1 PE=1 SV=1</t>
  </si>
  <si>
    <t>Rho GTPase-activating protein 31 OS=Mus musculus OX=10090 GN=Arhgap31 PE=1 SV=1</t>
  </si>
  <si>
    <t>Nuclear receptor coactivator 5 OS=Mus musculus OX=10090 GN=Ncoa5 PE=1 SV=1</t>
  </si>
  <si>
    <t>Protein lin-7 homolog C OS=Mus musculus OX=10090 GN=Lin7c PE=1 SV=2</t>
  </si>
  <si>
    <t>PAT complex subunit CCDC47 OS=Mus musculus OX=10090 GN=Ccdc47 PE=1 SV=2</t>
  </si>
  <si>
    <t>Dematin OS=Mus musculus OX=10090 GN=Dmtn PE=1 SV=1</t>
  </si>
  <si>
    <t>BLOC-1-related complex subunit 6 OS=Mus musculus OX=10090 GN=Borcs6 PE=1 SV=1</t>
  </si>
  <si>
    <t>Alpha-protein kinase 2 OS=Mus musculus OX=10090 GN=Alpk2 PE=2 SV=3</t>
  </si>
  <si>
    <t>1-acyl-sn-glycerol-3-phosphate acyltransferase beta OS=Mus musculus OX=10090 GN=Agpat2 PE=1 SV=1</t>
  </si>
  <si>
    <t>Dynein axonemal heavy chain 1 OS=Mus musculus OX=10090 GN=Dnah1 PE=1 SV=1</t>
  </si>
  <si>
    <t>Growth factor receptor-bound protein 2 OS=Mus musculus OX=10090 GN=Grb2 PE=1 SV=1</t>
  </si>
  <si>
    <t>NADH-ubiquinone oxidoreductase chain 1 OS=Mus musculus OX=10090 GN=Mtnd1 PE=1 SV=3</t>
  </si>
  <si>
    <t>Phosphatidylinositol 4-phosphate 5-kinase type-1 gamma OS=Mus musculus OX=10090 GN=Pip5k1c PE=1 SV=2</t>
  </si>
  <si>
    <t>COP9 signalosome complex subunit 2 OS=Mus musculus OX=10090 GN=Cops2 PE=1 SV=1</t>
  </si>
  <si>
    <t>Mitogen-activated protein kinase 10 OS=Mus musculus OX=10090 GN=Mapk10 PE=1 SV=2</t>
  </si>
  <si>
    <t>Angiomotin-like protein 2 OS=Mus musculus OX=10090 GN=Amotl2 PE=1 SV=1</t>
  </si>
  <si>
    <t>Rap guanine nucleotide exchange factor 3 OS=Mus musculus OX=10090 GN=Rapgef3 PE=1 SV=2</t>
  </si>
  <si>
    <t>Mitogen-activated protein kinase 8 OS=Mus musculus OX=10090 GN=Mapk8 PE=1 SV=1</t>
  </si>
  <si>
    <t>tRNA methyltransferase 10 homolog C OS=Mus musculus OX=10090 GN=Trmt10c PE=1 SV=2</t>
  </si>
  <si>
    <t>Mitogen-activated protein kinase kinase kinase 4 OS=Mus musculus OX=10090 GN=Map3k4 PE=1 SV=2</t>
  </si>
  <si>
    <t>Eukaryotic translation initiation factor 2 subunit 1 OS=Mus musculus OX=10090 GN=Eif2s1 PE=1 SV=3</t>
  </si>
  <si>
    <t>Fermitin family homolog 3 OS=Mus musculus OX=10090 GN=Fermt3 PE=1 SV=1</t>
  </si>
  <si>
    <t>SNF-related serine/threonine-protein kinase OS=Mus musculus OX=10090 GN=Snrk PE=1 SV=1</t>
  </si>
  <si>
    <t>Alpha-1B-glycoprotein OS=Mus musculus OX=10090 GN=A1bg PE=1 SV=1</t>
  </si>
  <si>
    <t>Arf-GAP with Rho-GAP domain, ANK repeat and PH domain-containing protein 3 OS=Mus musculus OX=10090 GN=Arap3 PE=1 SV=3</t>
  </si>
  <si>
    <t>Engulfment and cell motility protein 2 OS=Mus musculus OX=10090 GN=Elmo2 PE=1 SV=1</t>
  </si>
  <si>
    <t>Intersectin-2 OS=Mus musculus OX=10090 GN=Itsn2 PE=1 SV=2</t>
  </si>
  <si>
    <t>Voltage-dependent anion-selective channel protein 3 OS=Mus musculus OX=10090 GN=Vdac3 PE=1 SV=1</t>
  </si>
  <si>
    <t>Small nuclear ribonucleoprotein Sm D2 OS=Mus musculus OX=10090 GN=Snrpd2 PE=1 SV=1</t>
  </si>
  <si>
    <t>Protein kinase C theta type OS=Mus musculus OX=10090 GN=Prkcq PE=1 SV=1</t>
  </si>
  <si>
    <t>Pregnancy zone protein OS=Mus musculus OX=10090 GN=Pzp PE=1 SV=3</t>
  </si>
  <si>
    <t>Leucine zipper putative tumor suppressor 2 OS=Mus musculus OX=10090 GN=Lzts2 PE=1 SV=3</t>
  </si>
  <si>
    <t>Histidine--tRNA ligase, cytoplasmic OS=Mus musculus OX=10090 GN=Hars1 PE=1 SV=2</t>
  </si>
  <si>
    <t>Probable phospholipid-transporting ATPase IIA OS=Mus musculus OX=10090 GN=Atp9a PE=1 SV=3</t>
  </si>
  <si>
    <t>Segment polarity protein dishevelled homolog DVL-2 OS=Mus musculus OX=10090 GN=Dvl2 PE=1 SV=2</t>
  </si>
  <si>
    <t>Segment polarity protein dishevelled homolog DVL-3 OS=Mus musculus OX=10090 GN=Dvl3 PE=1 SV=2</t>
  </si>
  <si>
    <t>Citramalyl-CoA lyase, mitochondrial OS=Mus musculus OX=10090 GN=Clybl PE=1 SV=2</t>
  </si>
  <si>
    <t>Cdc42 effector protein 1 OS=Mus musculus OX=10090 GN=Cdc42ep1 PE=1 SV=1</t>
  </si>
  <si>
    <t>Aspartyl/asparaginyl beta-hydroxylase OS=Mus musculus OX=10090 GN=Asph PE=1 SV=1</t>
  </si>
  <si>
    <t>Ras-related protein Rab-12 OS=Mus musculus OX=10090 GN=Rab12 PE=1 SV=3</t>
  </si>
  <si>
    <t>Rho GTPase-activating protein 35 OS=Mus musculus OX=10090 GN=Arhgap35 PE=1 SV=3</t>
  </si>
  <si>
    <t>Signal-induced proliferation-associated 1-like protein 2 OS=Mus musculus OX=10090 GN=Sipa1l2 PE=1 SV=3</t>
  </si>
  <si>
    <t>Laminin subunit alpha-5 OS=Mus musculus OX=10090 GN=Lama5 PE=1 SV=4</t>
  </si>
  <si>
    <t>Cyclin-T2 OS=Mus musculus OX=10090 GN=Ccnt2 PE=1 SV=1</t>
  </si>
  <si>
    <t>SLAIN motif-containing protein 2 OS=Mus musculus OX=10090 GN=Slain2 PE=1 SV=2</t>
  </si>
  <si>
    <t>AP-1 complex subunit mu-2 OS=Mus musculus OX=10090 GN=Ap1m2 PE=1 SV=3</t>
  </si>
  <si>
    <t>Talin-2 OS=Mus musculus OX=10090 GN=Tln2 PE=1 SV=3</t>
  </si>
  <si>
    <t>CDK5 and ABL1 enzyme substrate 1 OS=Mus musculus OX=10090 GN=Cables1 PE=1 SV=2</t>
  </si>
  <si>
    <t>Potassium voltage-gated channel subfamily H member 2 OS=Mus musculus OX=10090 GN=Kcnh2 PE=1 SV=2</t>
  </si>
  <si>
    <t>Tyrosine-protein phosphatase non-receptor type 11 OS=Mus musculus OX=10090 GN=Ptpn11 PE=1 SV=3</t>
  </si>
  <si>
    <t>Casein kinase I isoform gamma-3 OS=Mus musculus OX=10090 GN=Csnk1g3 PE=1 SV=2</t>
  </si>
  <si>
    <t>Vesicular integral-membrane protein VIP36 OS=Mus musculus OX=10090 GN=Lman2 PE=1 SV=2</t>
  </si>
  <si>
    <t>Myosin regulatory light chain 12B OS=Mus musculus OX=10090 GN=Myl12b PE=1 SV=2</t>
  </si>
  <si>
    <t>Coatomer subunit beta OS=Mus musculus OX=10090 GN=Copb1 PE=1 SV=1</t>
  </si>
  <si>
    <t>Caprin-1 OS=Mus musculus OX=10090 GN=Caprin1 PE=1 SV=2</t>
  </si>
  <si>
    <t>Son of sevenless homolog 2 OS=Mus musculus OX=10090 GN=Sos2 PE=1 SV=2</t>
  </si>
  <si>
    <t>Zinc finger CCCH domain-containing protein 18 OS=Mus musculus OX=10090 GN=Zc3h18 PE=1 SV=1</t>
  </si>
  <si>
    <t>Ceruloplasmin OS=Mus musculus OX=10090 GN=Cp PE=1 SV=2</t>
  </si>
  <si>
    <t>H-2 class I histocompatibility antigen, D-B alpha chain OS=Mus musculus OX=10090 GN=H2-D1 PE=1 SV=2</t>
  </si>
  <si>
    <t>Epimerase family protein SDR39U1 OS=Mus musculus OX=10090 GN=Sdr39u1 PE=1 SV=2</t>
  </si>
  <si>
    <t>Lon protease homolog, mitochondrial OS=Mus musculus OX=10090 GN=Lonp1 PE=1 SV=2</t>
  </si>
  <si>
    <t>Short transient receptor potential channel 6 OS=Mus musculus OX=10090 GN=Trpc6 PE=1 SV=3</t>
  </si>
  <si>
    <t>Disabled homolog 2-interacting protein OS=Mus musculus OX=10090 GN=Dab2ip PE=1 SV=1</t>
  </si>
  <si>
    <t>Large ribosomal subunit protein eL18 OS=Mus musculus OX=10090 GN=Rpl18 PE=1 SV=3</t>
  </si>
  <si>
    <t>Protein phosphatase 3 catalytic subunit alpha OS=Mus musculus OX=10090 GN=Ppp3ca PE=1 SV=1</t>
  </si>
  <si>
    <t>N-acylneuraminate cytidylyltransferase OS=Mus musculus OX=10090 GN=Cmas PE=1 SV=2</t>
  </si>
  <si>
    <t>Scaffold attachment factor B2 OS=Mus musculus OX=10090 GN=Safb2 PE=1 SV=2</t>
  </si>
  <si>
    <t>Myozenin-2 OS=Mus musculus OX=10090 GN=Myoz2 PE=1 SV=1</t>
  </si>
  <si>
    <t>Paladin OS=Mus musculus OX=10090 GN=Pald1 PE=1 SV=1</t>
  </si>
  <si>
    <t>Ribose-phosphate pyrophosphokinase 2 OS=Mus musculus OX=10090 GN=Prps2 PE=1 SV=4</t>
  </si>
  <si>
    <t>Ubiquitin-conjugating enzyme E2 N OS=Mus musculus OX=10090 GN=Ube2n PE=1 SV=1</t>
  </si>
  <si>
    <t>Solute carrier family 12 member 2 OS=Mus musculus OX=10090 GN=Slc12a2 PE=1 SV=2</t>
  </si>
  <si>
    <t>Eukaryotic translation initiation factor 4 gamma 3 OS=Mus musculus OX=10090 GN=Eif4g3 PE=1 SV=2</t>
  </si>
  <si>
    <t>CDP-diacylglycerol--glycerol-3-phosphate 3-phosphatidyltransferase, mitochondrial OS=Mus musculus OX=10090 GN=Pgs1 PE=1 SV=1</t>
  </si>
  <si>
    <t>Nicotinamide/nicotinic acid mononucleotide adenylyltransferase 3 OS=Mus musculus OX=10090 GN=Nmnat3 PE=1 SV=1</t>
  </si>
  <si>
    <t>14-3-3 protein gamma OS=Mus musculus OX=10090 GN=Ywhag PE=1 SV=2</t>
  </si>
  <si>
    <t>Sickle tail protein OS=Mus musculus OX=10090 GN=Skt PE=1 SV=1</t>
  </si>
  <si>
    <t>Immunoglobulin heavy constant mu OS=Mus musculus OX=10090 GN=Ighm PE=1 SV=2</t>
  </si>
  <si>
    <t>Rho guanine nucleotide exchange factor 5 OS=Mus musculus OX=10090 GN=Arhgef5 PE=1 SV=1</t>
  </si>
  <si>
    <t>RNA-binding protein 20 OS=Mus musculus OX=10090 GN=Rbm20 PE=1 SV=3</t>
  </si>
  <si>
    <t>Proton-coupled zinc antiporter SLC30A9, mitochondrial OS=Mus musculus OX=10090 GN=Slc30a9 PE=1 SV=2</t>
  </si>
  <si>
    <t>Glycoprotein-N-acetylgalactosamine 3-beta-galactosyltransferase 1 OS=Mus musculus OX=10090 GN=C1galt1 PE=1 SV=1</t>
  </si>
  <si>
    <t>SERPINE1 mRNA-binding protein 1 OS=Mus musculus OX=10090 GN=Serbp1 PE=1 SV=2</t>
  </si>
  <si>
    <t>Murinoglobulin-1 OS=Mus musculus OX=10090 GN=Mug1 PE=1 SV=3</t>
  </si>
  <si>
    <t>Glucose-fructose oxidoreductase domain-containing protein 1 OS=Mus musculus OX=10090 GN=Gfod1 PE=1 SV=1</t>
  </si>
  <si>
    <t>Elongation factor G, mitochondrial OS=Mus musculus OX=10090 GN=Gfm1 PE=1 SV=1</t>
  </si>
  <si>
    <t>Translation initiation factor IF-2, mitochondrial OS=Mus musculus OX=10090 GN=Mtif2 PE=1 SV=2</t>
  </si>
  <si>
    <t>AP-1 complex subunit beta-1 OS=Mus musculus OX=10090 GN=Ap1b1 PE=1 SV=2</t>
  </si>
  <si>
    <t>ADP/ATP translocase 2 OS=Mus musculus OX=10090 GN=Slc25a5 PE=1 SV=3</t>
  </si>
  <si>
    <t>Histone deacetylase 2 OS=Mus musculus OX=10090 GN=Hdac2 PE=1 SV=1</t>
  </si>
  <si>
    <t>Brain-specific angiogenesis inhibitor 1-associated protein 2 OS=Mus musculus OX=10090 GN=Baiap2 PE=1 SV=2</t>
  </si>
  <si>
    <t>Ubiquitin-protein ligase E3B OS=Mus musculus OX=10090 GN=Ube3b PE=1 SV=3</t>
  </si>
  <si>
    <t>Heterogeneous nuclear ribonucleoproteins A2/B1 OS=Mus musculus OX=10090 GN=Hnrnpa2b1 PE=1 SV=2</t>
  </si>
  <si>
    <t>Cysteine and glycine-rich protein 3 OS=Mus musculus OX=10090 GN=Csrp3 PE=1 SV=1</t>
  </si>
  <si>
    <t>Dual specificity tyrosine-phosphorylation-regulated kinase 1A OS=Mus musculus OX=10090 GN=Dyrk1a PE=1 SV=1</t>
  </si>
  <si>
    <t>Immunoglobulin-binding protein 1 OS=Mus musculus OX=10090 GN=Igbp1 PE=1 SV=1</t>
  </si>
  <si>
    <t>COMM domain-containing protein 2 OS=Mus musculus OX=10090 GN=Commd2 PE=1 SV=1</t>
  </si>
  <si>
    <t>Zinc finger protein 638 OS=Mus musculus OX=10090 GN=Znf638 PE=1 SV=2</t>
  </si>
  <si>
    <t>Heterochromatin protein 1-binding protein 3 OS=Mus musculus OX=10090 GN=Hp1bp3 PE=1 SV=1</t>
  </si>
  <si>
    <t>Serine protease HTRA1 OS=Mus musculus OX=10090 GN=Htra1 PE=1 SV=2</t>
  </si>
  <si>
    <t>Electrogenic sodium bicarbonate cotransporter 1 OS=Mus musculus OX=10090 GN=Slc4a4 PE=1 SV=2</t>
  </si>
  <si>
    <t>Ferrochelatase, mitochondrial OS=Mus musculus OX=10090 GN=Fech PE=1 SV=3</t>
  </si>
  <si>
    <t>Homer protein homolog 1 OS=Mus musculus OX=10090 GN=Homer1 PE=1 SV=2</t>
  </si>
  <si>
    <t>ER membrane protein complex subunit 2 OS=Mus musculus OX=10090 GN=Emc2 PE=1 SV=1</t>
  </si>
  <si>
    <t>Large ribosomal subunit protein bL27m OS=Mus musculus OX=10090 GN=Mrpl27 PE=1 SV=1</t>
  </si>
  <si>
    <t>Acyl carrier protein, mitochondrial OS=Mus musculus OX=10090 GN=Ndufab1 PE=1 SV=1</t>
  </si>
  <si>
    <t>Glycerol-3-phosphate dehydrogenase [NAD(+)], cytoplasmic OS=Mus musculus OX=10090 GN=Gpd1 PE=1 SV=3</t>
  </si>
  <si>
    <t>Gap junction alpha-1 protein OS=Mus musculus OX=10090 GN=Gja1 PE=1 SV=2</t>
  </si>
  <si>
    <t>Inositol polyphosphate-5-phosphatase A OS=Mus musculus OX=10090 GN=Inpp5a PE=1 SV=1</t>
  </si>
  <si>
    <t>Heat shock protein HSP 90-alpha OS=Mus musculus OX=10090 GN=Hsp90aa1 PE=1 SV=4</t>
  </si>
  <si>
    <t>NADH dehydrogenase [ubiquinone] 1 beta subcomplex subunit 8, mitochondrial OS=Mus musculus OX=10090 GN=Ndufb8 PE=1 SV=1</t>
  </si>
  <si>
    <t>Catenin alpha-2 OS=Mus musculus OX=10090 GN=Ctnna2 PE=1 SV=3</t>
  </si>
  <si>
    <t>GRB10-interacting GYF protein 1 OS=Mus musculus OX=10090 GN=Gigyf1 PE=1 SV=2</t>
  </si>
  <si>
    <t>Thioredoxin-related transmembrane protein 1 OS=Mus musculus OX=10090 GN=Tmx1 PE=1 SV=1</t>
  </si>
  <si>
    <t>Large proline-rich protein BAG6 OS=Mus musculus OX=10090 GN=Bag6 PE=1 SV=1</t>
  </si>
  <si>
    <t>Emerin OS=Mus musculus OX=10090 GN=Emd PE=1 SV=1</t>
  </si>
  <si>
    <t>Syntaxin-binding protein 3 OS=Mus musculus OX=10090 GN=Stxbp3 PE=1 SV=1</t>
  </si>
  <si>
    <t>Histone H2A type 1-B OS=Mus musculus OX=10090 GN=H2ac4 PE=1 SV=1</t>
  </si>
  <si>
    <t>Histone H2A type 1-C OS=Mus musculus OX=10090 GN=H2ac6 PE=1 SV=1</t>
  </si>
  <si>
    <t>Histone H2A type 1-D OS=Mus musculus OX=10090 GN=H2ac7 PE=1 SV=1</t>
  </si>
  <si>
    <t>Histone H2A type 1-E OS=Mus musculus OX=10090 GN=H2ac8 PE=1 SV=1</t>
  </si>
  <si>
    <t>Histone H2A type 1-G OS=Mus musculus OX=10090 GN=H2ac11 PE=1 SV=1</t>
  </si>
  <si>
    <t>Histone H2A type 1-I OS=Mus musculus OX=10090 GN=H2ac13 PE=1 SV=1</t>
  </si>
  <si>
    <t>Histone H2A type 1-N OS=Mus musculus OX=10090 GN=Hist1h2an PE=1 SV=1</t>
  </si>
  <si>
    <t>Histone H2A type 1-O OS=Mus musculus OX=10090 GN=Hist1h2ao PE=1 SV=1</t>
  </si>
  <si>
    <t>Histone H2A type 1-P OS=Mus musculus OX=10090 GN=Hist1h2ap PE=1 SV=1</t>
  </si>
  <si>
    <t>Endonuclease G, mitochondrial OS=Mus musculus OX=10090 GN=Endog PE=1 SV=1</t>
  </si>
  <si>
    <t>ER membrane protein complex subunit 8 OS=Mus musculus OX=10090 GN=Emc8 PE=1 SV=1</t>
  </si>
  <si>
    <t>Zinc finger protein 106 OS=Mus musculus OX=10090 GN=Znf106 PE=1 SV=3</t>
  </si>
  <si>
    <t>Serine/threonine-protein kinase A-Raf OS=Mus musculus OX=10090 GN=Araf PE=1 SV=2</t>
  </si>
  <si>
    <t>Histone H2AX OS=Mus musculus OX=10090 GN=H2ax PE=1 SV=2</t>
  </si>
  <si>
    <t>Casein kinase II subunit beta OS=Mus musculus OX=10090 GN=Csnk2b PE=1 SV=1</t>
  </si>
  <si>
    <t>Endonuclease/exonuclease/phosphatase family domain-containing protein 1 OS=Mus musculus OX=10090 GN=Eepd1 PE=1 SV=1</t>
  </si>
  <si>
    <t>DNA damage-binding protein 1 OS=Mus musculus OX=10090 GN=Ddb1 PE=1 SV=2</t>
  </si>
  <si>
    <t>Tyrosine-protein kinase ABL2 OS=Mus musculus OX=10090 GN=Abl2 PE=1 SV=1</t>
  </si>
  <si>
    <t>Sepiapterin reductase OS=Mus musculus OX=10090 GN=Spr PE=1 SV=1</t>
  </si>
  <si>
    <t>Histone H2A type 2-C OS=Mus musculus OX=10090 GN=H2ac20 PE=1 SV=3</t>
  </si>
  <si>
    <t>Putative adenosylhomocysteinase 3 OS=Mus musculus OX=10090 GN=Ahcyl2 PE=1 SV=1</t>
  </si>
  <si>
    <t>Histone H2A type 2-A OS=Mus musculus OX=10090 GN=Hist2h2aa1 PE=1 SV=3</t>
  </si>
  <si>
    <t>Probable E3 ubiquitin-protein ligase HERC4 OS=Mus musculus OX=10090 GN=Herc4 PE=1 SV=2</t>
  </si>
  <si>
    <t>Histone H2A type 3 OS=Mus musculus OX=10090 GN=H2ac25 PE=1 SV=3</t>
  </si>
  <si>
    <t>Pleckstrin homology domain-containing family A member 1 OS=Mus musculus OX=10090 GN=Plekha1 PE=1 SV=1</t>
  </si>
  <si>
    <t>Histone H2A type 1-F OS=Mus musculus OX=10090 GN=Hist1h2af PE=1 SV=3</t>
  </si>
  <si>
    <t>Histone H2A type 1-H OS=Mus musculus OX=10090 GN=H2ac12 PE=1 SV=3</t>
  </si>
  <si>
    <t>Histone H2A type 1-K OS=Mus musculus OX=10090 GN=H2ac15 PE=1 SV=3</t>
  </si>
  <si>
    <t>Histone H2A.J OS=Mus musculus OX=10090 GN=H2aj PE=1 SV=1</t>
  </si>
  <si>
    <t>AarF domain-containing protein kinase 1 OS=Mus musculus OX=10090 GN=Adck1 PE=1 SV=1</t>
  </si>
  <si>
    <t>Mitochondrial peptide methionine sulfoxide reductase OS=Mus musculus OX=10090 GN=Msra PE=1 SV=1</t>
  </si>
  <si>
    <t>DNA topoisomerase 3-beta-1 OS=Mus musculus OX=10090 GN=Top3b PE=1 SV=1</t>
  </si>
  <si>
    <t>Glutathione reductase, mitochondrial OS=Mus musculus OX=10090 GN=Gsr PE=1 SV=3</t>
  </si>
  <si>
    <t>Tyrosine-protein kinase SYK OS=Mus musculus OX=10090 GN=Syk PE=1 SV=2</t>
  </si>
  <si>
    <t>FERM, ARHGEF and pleckstrin domain-containing protein 2 OS=Mus musculus OX=10090 GN=Farp2 PE=1 SV=2</t>
  </si>
  <si>
    <t>Low molecular weight phosphotyrosine protein phosphatase OS=Mus musculus OX=10090 GN=Acp1 PE=1 SV=3</t>
  </si>
  <si>
    <t>AF4/FMR2 family member 4 OS=Mus musculus OX=10090 GN=Aff4 PE=1 SV=1</t>
  </si>
  <si>
    <t>Serine/threonine-protein phosphatase 2A regulatory subunit B'' subunit delta OS=Mus musculus OX=10090 GN=Ppp2r3d PE=2 SV=1</t>
  </si>
  <si>
    <t>TRMT1-like protein OS=Mus musculus OX=10090 GN=Trmt1l PE=1 SV=1</t>
  </si>
  <si>
    <t>Protein kinase C eta type OS=Mus musculus OX=10090 GN=Prkch PE=1 SV=2</t>
  </si>
  <si>
    <t>Dynamin-2 OS=Mus musculus OX=10090 GN=Dnm2 PE=1 SV=2</t>
  </si>
  <si>
    <t>Junction plakoglobin OS=Mus musculus OX=10090 GN=Jup PE=1 SV=3</t>
  </si>
  <si>
    <t>Calcium-binding protein 39 OS=Mus musculus OX=10090 GN=Cab39 PE=1 SV=2</t>
  </si>
  <si>
    <t>Pre-B-cell leukemia transcription factor-interacting protein 1 OS=Mus musculus OX=10090 GN=Pbxip1 PE=1 SV=2</t>
  </si>
  <si>
    <t>Ral guanine nucleotide dissociation stimulator-like 3 OS=Mus musculus OX=10090 GN=Rgl3 PE=1 SV=2</t>
  </si>
  <si>
    <t>Protein phosphatase Slingshot homolog 2 OS=Mus musculus OX=10090 GN=Ssh2 PE=1 SV=2</t>
  </si>
  <si>
    <t>Rho GTPase-activating protein 26 OS=Mus musculus OX=10090 GN=Arhgap26 PE=1 SV=3</t>
  </si>
  <si>
    <t>FYVE, RhoGEF and PH domain-containing protein 5 OS=Mus musculus OX=10090 GN=Fgd5 PE=1 SV=2</t>
  </si>
  <si>
    <t>Ubiquinone biosynthesis protein COQ4 homolog, mitochondrial OS=Mus musculus OX=10090 GN=Coq4 PE=1 SV=1</t>
  </si>
  <si>
    <t>Ferroptosis suppressor protein 1 OS=Mus musculus OX=10090 GN=Aifm2 PE=1 SV=1</t>
  </si>
  <si>
    <t>Actin-binding LIM protein 1 OS=Mus musculus OX=10090 GN=Ablim1 PE=1 SV=1</t>
  </si>
  <si>
    <t>Protein LSM12 OS=Mus musculus OX=10090 GN=Lsm12 PE=1 SV=1</t>
  </si>
  <si>
    <t>Iron-sulfur cluster assembly 2 homolog, mitochondrial OS=Mus musculus OX=10090 GN=Isca2 PE=1 SV=2</t>
  </si>
  <si>
    <t>NCK-interacting protein with SH3 domain OS=Mus musculus OX=10090 GN=Nckipsd PE=1 SV=2</t>
  </si>
  <si>
    <t>Glutaredoxin-1 OS=Mus musculus OX=10090 GN=Glrx PE=1 SV=3</t>
  </si>
  <si>
    <t>LanC-like protein 2 OS=Mus musculus OX=10090 GN=Lancl2 PE=1 SV=1</t>
  </si>
  <si>
    <t>Serotransferrin OS=Mus musculus OX=10090 GN=Tf PE=1 SV=1</t>
  </si>
  <si>
    <t>Ubiquitin-conjugating enzyme E2 L3 OS=Mus musculus OX=10090 GN=Ube2l3 PE=1 SV=1</t>
  </si>
  <si>
    <t>Calcineurin B homologous protein 1 OS=Mus musculus OX=10090 GN=Chp1 PE=1 SV=2</t>
  </si>
  <si>
    <t>Matrin-3 OS=Mus musculus OX=10090 GN=Matr3 PE=1 SV=1</t>
  </si>
  <si>
    <t>SH2B adapter protein 1 OS=Mus musculus OX=10090 GN=Sh2b1 PE=1 SV=2</t>
  </si>
  <si>
    <t>NEDD8 ultimate buster 1 OS=Mus musculus OX=10090 GN=Nub1 PE=1 SV=2</t>
  </si>
  <si>
    <t>Low-density lipoprotein receptor-related protein 4 OS=Mus musculus OX=10090 GN=Lrp4 PE=1 SV=3</t>
  </si>
  <si>
    <t>Fermitin family homolog 2 OS=Mus musculus OX=10090 GN=Fermt2 PE=1 SV=1</t>
  </si>
  <si>
    <t>Transmembrane protein 11, mitochondrial OS=Mus musculus OX=10090 GN=Tmem11 PE=1 SV=1</t>
  </si>
  <si>
    <t>Alpha-sarcoglycan OS=Mus musculus OX=10090 GN=Sgca PE=1 SV=1</t>
  </si>
  <si>
    <t>Transmembrane protein 53 OS=Mus musculus OX=10090 GN=Tmem53 PE=1 SV=1</t>
  </si>
  <si>
    <t>Tubulin beta-6 chain OS=Mus musculus OX=10090 GN=Tubb6 PE=1 SV=1</t>
  </si>
  <si>
    <t>SH2 domain-containing adapter protein E OS=Mus musculus OX=10090 GN=She PE=1 SV=1</t>
  </si>
  <si>
    <t>Beta-sarcoglycan OS=Mus musculus OX=10090 GN=Sgcb PE=1 SV=1</t>
  </si>
  <si>
    <t>Long-chain specific acyl-CoA dehydrogenase, mitochondrial OS=Mus musculus OX=10090 GN=Acadl PE=1 SV=2</t>
  </si>
  <si>
    <t>Tetratricopeptide repeat protein 7B OS=Mus musculus OX=10090 GN=Ttc7b PE=1 SV=1</t>
  </si>
  <si>
    <t>NADH dehydrogenase [ubiquinone] 1 alpha subcomplex subunit 13 OS=Mus musculus OX=10090 GN=Ndufa13 PE=1 SV=3</t>
  </si>
  <si>
    <t>Protein Shroom2 OS=Mus musculus OX=10090 GN=Shroom2 PE=1 SV=1</t>
  </si>
  <si>
    <t>Mitogen-activated protein kinase kinase kinase 20 OS=Mus musculus OX=10090 GN=Map3k20 PE=1 SV=1</t>
  </si>
  <si>
    <t>BCAS3 microtubule associated cell migration factor OS=Mus musculus OX=10090 GN=Bcas3 PE=1 SV=2</t>
  </si>
  <si>
    <t>Small ribosomal subunit protein mS25 OS=Mus musculus OX=10090 GN=Mrps25 PE=1 SV=1</t>
  </si>
  <si>
    <t>Dolichyl-diphosphooligosaccharide--protein glycosyltransferase subunit STT3B OS=Mus musculus OX=10090 GN=Stt3b PE=1 SV=2</t>
  </si>
  <si>
    <t>Protein CutA OS=Mus musculus OX=10090 GN=Cuta PE=1 SV=3</t>
  </si>
  <si>
    <t>WD repeat-containing protein 1 OS=Mus musculus OX=10090 GN=Wdr1 PE=1 SV=3</t>
  </si>
  <si>
    <t>Tight junction protein ZO-1 OS=Mus musculus OX=10090 GN=Tjp1 PE=1 SV=2</t>
  </si>
  <si>
    <t>MOB-like protein phocein OS=Mus musculus OX=10090 GN=Mob4 PE=1 SV=1</t>
  </si>
  <si>
    <t>Histone-arginine methyltransferase CARM1 OS=Mus musculus OX=10090 GN=Carm1 PE=1 SV=2</t>
  </si>
  <si>
    <t>Regulator of nonsense transcripts 1 OS=Mus musculus OX=10090 GN=Upf1 PE=1 SV=2</t>
  </si>
  <si>
    <t>Elongin-C OS=Mus musculus OX=10090 GN=Eloc PE=1 SV=1</t>
  </si>
  <si>
    <t>La-related protein 4 OS=Mus musculus OX=10090 GN=Larp4 PE=1 SV=2</t>
  </si>
  <si>
    <t>Peptidyl-prolyl cis-trans isomerase NIMA-interacting 1 OS=Mus musculus OX=10090 GN=Pin1 PE=1 SV=1</t>
  </si>
  <si>
    <t>E3 ubiquitin-protein ligase RING1 OS=Mus musculus OX=10090 GN=Ring1 PE=1 SV=2</t>
  </si>
  <si>
    <t>Histone lysine acetyltransferase CREBBP OS=Mus musculus OX=10090 GN=Crebbp PE=1 SV=3</t>
  </si>
  <si>
    <t>Synaptojanin-2 OS=Mus musculus OX=10090 GN=Synj2 PE=1 SV=2</t>
  </si>
  <si>
    <t>Alpha-parvin OS=Mus musculus OX=10090 GN=Parva PE=1 SV=1</t>
  </si>
  <si>
    <t>Serine protease HTRA2, mitochondrial OS=Mus musculus OX=10090 GN=Htra2 PE=1 SV=2</t>
  </si>
  <si>
    <t>Muscleblind-like protein 1 OS=Mus musculus OX=10090 GN=Mbnl1 PE=1 SV=1</t>
  </si>
  <si>
    <t>Rho guanine nucleotide exchange factor 2 OS=Mus musculus OX=10090 GN=Arhgef2 PE=1 SV=4</t>
  </si>
  <si>
    <t>NADH-ubiquinone oxidoreductase chain 5 OS=Mus musculus OX=10090 GN=Mtnd5 PE=1 SV=3</t>
  </si>
  <si>
    <t>Sestrin-1 OS=Mus musculus OX=10090 GN=Sesn1 PE=1 SV=3</t>
  </si>
  <si>
    <t>Cytoplasmic phosphatidylinositol transfer protein 1 OS=Mus musculus OX=10090 GN=Pitpnc1 PE=1 SV=1</t>
  </si>
  <si>
    <t>Constitutive coactivator of PPAR-gamma-like protein 2 OS=Mus musculus OX=10090 GN=Fam120c PE=1 SV=3</t>
  </si>
  <si>
    <t>NADH dehydrogenase [ubiquinone] iron-sulfur protein 4, mitochondrial OS=Mus musculus OX=10090 GN=Ndufs4 PE=1 SV=3</t>
  </si>
  <si>
    <t>Breakpoint cluster region protein OS=Mus musculus OX=10090 GN=Bcr PE=1 SV=3</t>
  </si>
  <si>
    <t>TGF-beta-activated kinase 1 and MAP3K7-binding protein 2 OS=Mus musculus OX=10090 GN=Tab2 PE=1 SV=1</t>
  </si>
  <si>
    <t>Rho guanine nucleotide exchange factor 10-like protein OS=Mus musculus OX=10090 GN=Arhgef10l PE=1 SV=1</t>
  </si>
  <si>
    <t>Exocyst complex component 5 OS=Mus musculus OX=10090 GN=Exoc5 PE=1 SV=2</t>
  </si>
  <si>
    <t>Tropomyosin alpha-1 chain OS=Mus musculus OX=10090 GN=Tpm1 PE=1 SV=1</t>
  </si>
  <si>
    <t>Tubulointerstitial nephritis antigen-like OS=Mus musculus OX=10090 GN=Tinagl1 PE=1 SV=1</t>
  </si>
  <si>
    <t>Protein phosphatase 1 regulatory subunit 12B OS=Mus musculus OX=10090 GN=Ppp1r12b PE=1 SV=2</t>
  </si>
  <si>
    <t>AP-3 complex subunit beta-2 OS=Mus musculus OX=10090 GN=Ap3b2 PE=1 SV=2</t>
  </si>
  <si>
    <t>Tudor domain-containing protein 3 OS=Mus musculus OX=10090 GN=Tdrd3 PE=1 SV=4</t>
  </si>
  <si>
    <t>NADH dehydrogenase [ubiquinone] 1 beta subcomplex subunit 7 OS=Mus musculus OX=10090 GN=Ndufb7 PE=1 SV=3</t>
  </si>
  <si>
    <t>Cleavage and polyadenylation specificity factor subunit 1 OS=Mus musculus OX=10090 GN=Cpsf1 PE=1 SV=1</t>
  </si>
  <si>
    <t>Vitamin K-dependent gamma-carboxylase OS=Mus musculus OX=10090 GN=Ggcx PE=1 SV=1</t>
  </si>
  <si>
    <t>LYR motif-containing protein 4 OS=Mus musculus OX=10090 GN=Lyrm4 PE=1 SV=1</t>
  </si>
  <si>
    <t>Serine/threonine-protein kinase 38-like OS=Mus musculus OX=10090 GN=Stk38l PE=1 SV=2</t>
  </si>
  <si>
    <t>Lipase maturation factor 2 OS=Mus musculus OX=10090 GN=Lmf2 PE=1 SV=1</t>
  </si>
  <si>
    <t>NADH dehydrogenase [ubiquinone] 1 alpha subcomplex subunit 11 OS=Mus musculus OX=10090 GN=Ndufa11 PE=1 SV=2</t>
  </si>
  <si>
    <t>Putative ATP-dependent RNA helicase Pl10 OS=Mus musculus OX=10090 GN=D1Pas1 PE=1 SV=1</t>
  </si>
  <si>
    <t>Serine/threonine/tyrosine-interacting-like protein 2 OS=Mus musculus OX=10090 GN=Styxl2 PE=1 SV=1</t>
  </si>
  <si>
    <t>Glyceraldehyde-3-phosphate dehydrogenase OS=Mus musculus OX=10090 GN=Gapdh PE=1 SV=2</t>
  </si>
  <si>
    <t>Desmoplakin OS=Mus musculus OX=10090 GN=Dsp PE=1 SV=1</t>
  </si>
  <si>
    <t>Lactosylceramide alpha-2,3-sialyltransferase OS=Mus musculus OX=10090 GN=St3gal5 PE=1 SV=2</t>
  </si>
  <si>
    <t>Myocardial zonula adherens protein OS=Mus musculus OX=10090 GN=Myzap PE=1 SV=1</t>
  </si>
  <si>
    <t>Rab-3A-interacting protein OS=Mus musculus OX=10090 GN=Rab3ip PE=1 SV=1</t>
  </si>
  <si>
    <t>NADH dehydrogenase [ubiquinone] 1 beta subcomplex subunit 10 OS=Mus musculus OX=10090 GN=Ndufb10 PE=1 SV=3</t>
  </si>
  <si>
    <t>Pre-rRNA-processing protein TSR1 homolog OS=Mus musculus OX=10090 GN=Tsr1 PE=1 SV=1</t>
  </si>
  <si>
    <t>Deoxynucleotidyltransferase terminal-interacting protein 1 OS=Mus musculus OX=10090 GN=Dnttip1 PE=1 SV=1</t>
  </si>
  <si>
    <t>Glutathione S-transferase P 1 OS=Mus musculus OX=10090 GN=Gstp1 PE=1 SV=2</t>
  </si>
  <si>
    <t>RNA-binding protein Raly OS=Mus musculus OX=10090 GN=Raly PE=1 SV=3</t>
  </si>
  <si>
    <t>Autophagy-related protein 16-1 OS=Mus musculus OX=10090 GN=Atg16l1 PE=1 SV=1</t>
  </si>
  <si>
    <t>Kinesin-like protein KIF13A OS=Mus musculus OX=10090 GN=Kif13a PE=1 SV=1</t>
  </si>
  <si>
    <t>Twinfilin-2 OS=Mus musculus OX=10090 GN=Twf2 PE=1 SV=1</t>
  </si>
  <si>
    <t>Leucine-rich repeat-containing protein 1 OS=Mus musculus OX=10090 GN=Lrrc1 PE=1 SV=2</t>
  </si>
  <si>
    <t>BAG family molecular chaperone regulator 5 OS=Mus musculus OX=10090 GN=Bag5 PE=1 SV=1</t>
  </si>
  <si>
    <t>BLOC-1-related complex subunit 7 OS=Mus musculus OX=10090 GN=Borcs7 PE=1 SV=1</t>
  </si>
  <si>
    <t>Inositol hexakisphosphate and diphosphoinositol-pentakisphosphate kinase 1 OS=Mus musculus OX=10090 GN=Ppip5k1 PE=1 SV=1</t>
  </si>
  <si>
    <t>Cdc42 effector protein 4 OS=Mus musculus OX=10090 GN=Cdc42ep4 PE=1 SV=1</t>
  </si>
  <si>
    <t>Vacuolar protein sorting-associated protein 33B OS=Mus musculus OX=10090 GN=Vps33b PE=1 SV=1</t>
  </si>
  <si>
    <t>Polypeptide N-acetylgalactosaminyltransferase 2 OS=Mus musculus OX=10090 GN=Galnt2 PE=1 SV=1</t>
  </si>
  <si>
    <t>NADH dehydrogenase [ubiquinone] 1 beta subcomplex subunit 9 OS=Mus musculus OX=10090 GN=Ndufb9 PE=1 SV=3</t>
  </si>
  <si>
    <t>Casein kinase II subunit alpha OS=Mus musculus OX=10090 GN=Csnk2a1 PE=1 SV=2</t>
  </si>
  <si>
    <t>cAMP-dependent protein kinase type II-alpha regulatory subunit OS=Mus musculus OX=10090 GN=Prkar2a PE=1 SV=2</t>
  </si>
  <si>
    <t>NADH-ubiquinone oxidoreductase chain 4 OS=Mus musculus OX=10090 GN=Mtnd4 PE=1 SV=1</t>
  </si>
  <si>
    <t>Plexin-A1 OS=Mus musculus OX=10090 GN=Plxna1 PE=1 SV=1</t>
  </si>
  <si>
    <t>Alsin OS=Mus musculus OX=10090 GN=Als2 PE=1 SV=3</t>
  </si>
  <si>
    <t>Coatomer subunit gamma-2 OS=Mus musculus OX=10090 GN=Copg2 PE=1 SV=1</t>
  </si>
  <si>
    <t>Troponin C, slow skeletal and cardiac muscles OS=Mus musculus OX=10090 GN=Tnnc1 PE=1 SV=1</t>
  </si>
  <si>
    <t>NADH dehydrogenase [ubiquinone] 1 beta subcomplex subunit 6 OS=Mus musculus OX=10090 GN=Ndufb6 PE=1 SV=3</t>
  </si>
  <si>
    <t>Eukaryotic translation initiation factor 4E type 3 OS=Mus musculus OX=10090 GN=Eif4e3 PE=1 SV=1</t>
  </si>
  <si>
    <t>ATP-binding cassette sub-family F member 3 OS=Mus musculus OX=10090 GN=Abcf3 PE=1 SV=1</t>
  </si>
  <si>
    <t>RNA transcription, translation and transport factor protein OS=Mus musculus OX=10090 GN=RTRAF PE=1 SV=1</t>
  </si>
  <si>
    <t>Vacuolar protein sorting-associated protein 26B OS=Mus musculus OX=10090 GN=Vps26b PE=1 SV=1</t>
  </si>
  <si>
    <t>Serine/threonine-protein kinase SMG1 OS=Mus musculus OX=10090 GN=Smg1 PE=1 SV=3</t>
  </si>
  <si>
    <t>Dynamin-1-like protein OS=Mus musculus OX=10090 GN=Dnm1l PE=1 SV=2</t>
  </si>
  <si>
    <t>Tumor susceptibility gene 101 protein OS=Mus musculus OX=10090 GN=Tsg101 PE=1 SV=2</t>
  </si>
  <si>
    <t>Chromodomain-helicase-DNA-binding protein 8 OS=Mus musculus OX=10090 GN=Chd8 PE=1 SV=1</t>
  </si>
  <si>
    <t>Phosphatidylinositol 4-kinase alpha OS=Mus musculus OX=10090 GN=Pi4ka PE=1 SV=2</t>
  </si>
  <si>
    <t>Serine/threonine-protein phosphatase 2A 65 kDa regulatory subunit A beta isoform OS=Mus musculus OX=10090 GN=Ppp2r1b PE=1 SV=2</t>
  </si>
  <si>
    <t>Glutaredoxin-3 OS=Mus musculus OX=10090 GN=Glrx3 PE=1 SV=1</t>
  </si>
  <si>
    <t>Carboxypeptidase N subunit 2 OS=Mus musculus OX=10090 GN=Cpn2 PE=1 SV=2</t>
  </si>
  <si>
    <t>DmX-like protein 2 OS=Mus musculus OX=10090 GN=Dmxl2 PE=1 SV=3</t>
  </si>
  <si>
    <t>Cytochrome c oxidase subunit 6A1, mitochondrial OS=Mus musculus OX=10090 GN=Cox6a1 PE=1 SV=2</t>
  </si>
  <si>
    <t>ATP-dependent zinc metalloprotease YME1L1 OS=Mus musculus OX=10090 GN=Yme1l1 PE=1 SV=1</t>
  </si>
  <si>
    <t>Enoyl-CoA hydratase domain-containing protein 2, mitochondrial OS=Mus musculus OX=10090 GN=Echdc2 PE=1 SV=2</t>
  </si>
  <si>
    <t>4'-phosphopantetheine phosphatase OS=Mus musculus OX=10090 GN=Pank4 PE=1 SV=2</t>
  </si>
  <si>
    <t>A-kinase anchor protein 10, mitochondrial OS=Mus musculus OX=10090 GN=Akap10 PE=1 SV=3</t>
  </si>
  <si>
    <t>Proteasome subunit beta type-10 OS=Mus musculus OX=10090 GN=Psmb10 PE=1 SV=1</t>
  </si>
  <si>
    <t>Protein disulfide-isomerase TMX3 OS=Mus musculus OX=10090 GN=Tmx3 PE=1 SV=2</t>
  </si>
  <si>
    <t>Ragulator complex protein LAMTOR5 OS=Mus musculus OX=10090 GN=Lamtor5 PE=1 SV=1</t>
  </si>
  <si>
    <t>CREB-regulated transcription coactivator 1 OS=Mus musculus OX=10090 GN=Crtc1 PE=1 SV=1</t>
  </si>
  <si>
    <t>Peroxiredoxin-6 OS=Mus musculus OX=10090 GN=Prdx6 PE=1 SV=3</t>
  </si>
  <si>
    <t>Phosphatidylglycerophosphatase and protein-tyrosine phosphatase 1 OS=Mus musculus OX=10090 GN=Ptpmt1 PE=1 SV=1</t>
  </si>
  <si>
    <t>Cytoplasmic dynein 1 heavy chain 1 OS=Mus musculus OX=10090 GN=Dync1h1 PE=1 SV=2</t>
  </si>
  <si>
    <t>LIM and senescent cell antigen-like-containing domain protein 2 OS=Mus musculus OX=10090 GN=Lims2 PE=1 SV=1</t>
  </si>
  <si>
    <t>T-complex protein 1 subunit gamma OS=Mus musculus OX=10090 GN=Cct3 PE=1 SV=1</t>
  </si>
  <si>
    <t>DENN domain-containing protein 2B OS=Mus musculus OX=10090 GN=Dennd2b PE=1 SV=1</t>
  </si>
  <si>
    <t>Kininogen-1 OS=Mus musculus OX=10090 GN=Kng1 PE=1 SV=1</t>
  </si>
  <si>
    <t>Calpastatin OS=Mus musculus OX=10090 GN=Cast PE=1 SV=2</t>
  </si>
  <si>
    <t>Heat shock 70 kDa protein 1-like OS=Mus musculus OX=10090 GN=Hspa1l PE=1 SV=4</t>
  </si>
  <si>
    <t>PHD finger-like domain-containing protein 5A OS=Mus musculus OX=10090 GN=Phf5a PE=1 SV=1</t>
  </si>
  <si>
    <t>Small ribosomal subunit protein uS4 OS=Mus musculus OX=10090 GN=Rps9 PE=1 SV=3</t>
  </si>
  <si>
    <t>mRNA-decapping enzyme 1A OS=Mus musculus OX=10090 GN=Dcp1a PE=1 SV=1</t>
  </si>
  <si>
    <t>Myotubularin-related protein 4 OS=Mus musculus OX=10090 GN=Mtmr4 PE=1 SV=1</t>
  </si>
  <si>
    <t>Eukaryotic translation elongation factor 1 epsilon-1 OS=Mus musculus OX=10090 GN=Eef1e1 PE=1 SV=1</t>
  </si>
  <si>
    <t>Protein 4.1 OS=Mus musculus OX=10090 GN=Epb41 PE=1 SV=2</t>
  </si>
  <si>
    <t>ATP-binding cassette sub-family E member 1 OS=Mus musculus OX=10090 GN=Abce1 PE=1 SV=1</t>
  </si>
  <si>
    <t>Dynein light chain 2, cytoplasmic OS=Mus musculus OX=10090 GN=Dynll2 PE=1 SV=1</t>
  </si>
  <si>
    <t>Arf-GAP with GTPase, ANK repeat and PH domain-containing protein 3 OS=Mus musculus OX=10090 GN=Agap3 PE=1 SV=1</t>
  </si>
  <si>
    <t>Arginyl-tRNA--protein transferase 1 OS=Mus musculus OX=10090 GN=Ate1 PE=1 SV=2</t>
  </si>
  <si>
    <t>N-acetylgalactosamine kinase OS=Mus musculus OX=10090 GN=Galk2 PE=1 SV=1</t>
  </si>
  <si>
    <t>Nucleolar RNA helicase 2 OS=Mus musculus OX=10090 GN=Ddx21 PE=1 SV=3</t>
  </si>
  <si>
    <t>C-Jun-amino-terminal kinase-interacting protein 3 OS=Mus musculus OX=10090 GN=Mapk8ip3 PE=1 SV=1</t>
  </si>
  <si>
    <t>Pleckstrin OS=Mus musculus OX=10090 GN=Plek PE=1 SV=1</t>
  </si>
  <si>
    <t>Mitofusin-1 OS=Mus musculus OX=10090 GN=Mfn1 PE=1 SV=3</t>
  </si>
  <si>
    <t>Acetyl-coenzyme A synthetase, cytoplasmic OS=Mus musculus OX=10090 GN=Acss2 PE=1 SV=2</t>
  </si>
  <si>
    <t>Arf-GAP with Rho-GAP domain, ANK repeat and PH domain-containing protein 1 OS=Mus musculus OX=10090 GN=Arap1 PE=1 SV=2</t>
  </si>
  <si>
    <t>H-2 class I histocompatibility antigen, L-D alpha chain OS=Mus musculus OX=10090 GN=H2-L PE=1 SV=2</t>
  </si>
  <si>
    <t>Eukaryotic translation initiation factor 5A-1 OS=Mus musculus OX=10090 GN=Eif5a PE=1 SV=2</t>
  </si>
  <si>
    <t>Transcriptional regulator ERG OS=Mus musculus OX=10090 GN=Erg PE=1 SV=2</t>
  </si>
  <si>
    <t>Putative RNA-binding protein Luc7-like 2 OS=Mus musculus OX=10090 GN=Luc7l2 PE=1 SV=1</t>
  </si>
  <si>
    <t>Prostaglandin E synthase 3 OS=Mus musculus OX=10090 GN=Ptges3 PE=1 SV=1</t>
  </si>
  <si>
    <t>Serine/arginine-rich splicing factor 6 OS=Mus musculus OX=10090 GN=Srsf6 PE=1 SV=1</t>
  </si>
  <si>
    <t>THO complex subunit 1 OS=Mus musculus OX=10090 GN=Thoc1 PE=1 SV=1</t>
  </si>
  <si>
    <t>3-ketoacyl-CoA thiolase A, peroxisomal OS=Mus musculus OX=10090 GN=Acaa1a PE=1 SV=1</t>
  </si>
  <si>
    <t>Cadherin-2 OS=Mus musculus OX=10090 GN=Cdh2 PE=1 SV=2</t>
  </si>
  <si>
    <t>Large ribosomal subunit protein uL13 OS=Mus musculus OX=10090 GN=Rpl13a PE=1 SV=4</t>
  </si>
  <si>
    <t>Ribosome-binding protein 1 OS=Mus musculus OX=10090 GN=Rrbp1 PE=1 SV=2</t>
  </si>
  <si>
    <t>Serine/arginine-rich splicing factor 1 OS=Mus musculus OX=10090 GN=Srsf1 PE=1 SV=3</t>
  </si>
  <si>
    <t>Guanine nucleotide-binding protein G(I)/G(S)/G(T) subunit beta-2 OS=Mus musculus OX=10090 GN=Gnb2 PE=1 SV=3</t>
  </si>
  <si>
    <t>Protein mono-ADP-ribosyltransferase PARP3 OS=Mus musculus OX=10090 GN=Parp3 PE=2 SV=1</t>
  </si>
  <si>
    <t>Tuberin OS=Mus musculus OX=10090 GN=Tsc2 PE=1 SV=1</t>
  </si>
  <si>
    <t>Nucleoporin SEH1 OS=Mus musculus OX=10090 GN=Seh1l PE=2 SV=1</t>
  </si>
  <si>
    <t>NADH dehydrogenase [ubiquinone] 1 alpha subcomplex subunit 6 OS=Mus musculus OX=10090 GN=Ndufa6 PE=1 SV=1</t>
  </si>
  <si>
    <t>S-adenosylmethionine synthase isoform type-2 OS=Mus musculus OX=10090 GN=Mat2a PE=1 SV=2</t>
  </si>
  <si>
    <t>E3 ubiquitin-protein ligase BRE1B OS=Mus musculus OX=10090 GN=Rnf40 PE=1 SV=2</t>
  </si>
  <si>
    <t>T-complex protein 1 subunit epsilon OS=Mus musculus OX=10090 GN=Cct5 PE=1 SV=1</t>
  </si>
  <si>
    <t>Dolichyl-diphosphooligosaccharide--protein glycosyltransferase subunit 1 OS=Mus musculus OX=10090 GN=Rpn1 PE=1 SV=1</t>
  </si>
  <si>
    <t>Protein TANC1 OS=Mus musculus OX=10090 GN=Tanc1 PE=1 SV=2</t>
  </si>
  <si>
    <t>Inactive tyrosine-protein kinase PRAG1 OS=Mus musculus OX=10090 GN=Prag1 PE=1 SV=3</t>
  </si>
  <si>
    <t>E3 ubiquitin-protein ligase NEDD4-like OS=Mus musculus OX=10090 GN=Nedd4l PE=1 SV=2</t>
  </si>
  <si>
    <t>1-phosphatidylinositol 4,5-bisphosphate phosphodiesterase gamma-1 OS=Mus musculus OX=10090 GN=Plcg1 PE=1 SV=2</t>
  </si>
  <si>
    <t>P2R1A-PPP2R2A-interacting phosphatase regulator 1 OS=Mus musculus OX=10090 GN=Pabir1 PE=1 SV=1</t>
  </si>
  <si>
    <t>Unconventional myosin-Id OS=Mus musculus OX=10090 GN=Myo1d PE=1 SV=1</t>
  </si>
  <si>
    <t>Glutathione S-transferase LANCL1 OS=Mus musculus OX=10090 GN=Lancl1 PE=1 SV=1</t>
  </si>
  <si>
    <t>StAR-related lipid transfer protein 13 OS=Mus musculus OX=10090 GN=Stard13 PE=1 SV=5</t>
  </si>
  <si>
    <t>Leucine-rich repeat serine/threonine-protein kinase 1 OS=Mus musculus OX=10090 GN=Lrrk1 PE=1 SV=1</t>
  </si>
  <si>
    <t>DnaJ homolog subfamily A member 4 OS=Mus musculus OX=10090 GN=Dnaja4 PE=1 SV=1</t>
  </si>
  <si>
    <t>Intersectin-1 OS=Mus musculus OX=10090 GN=Itsn1 PE=1 SV=2</t>
  </si>
  <si>
    <t>Delta(14)-sterol reductase LBR OS=Mus musculus OX=10090 GN=Lbr PE=1 SV=2</t>
  </si>
  <si>
    <t>Mitochondrial ribonuclease P catalytic subunit OS=Mus musculus OX=10090 GN=Prorp PE=2 SV=1</t>
  </si>
  <si>
    <t>TGF-beta-activated kinase 1 and MAP3K7-binding protein 3 OS=Mus musculus OX=10090 GN=Tab3 PE=1 SV=2</t>
  </si>
  <si>
    <t>RUN and FYVE domain-containing protein 1 OS=Mus musculus OX=10090 GN=Rufy1 PE=1 SV=1</t>
  </si>
  <si>
    <t>Liprin-beta-2 OS=Mus musculus OX=10090 GN=Ppfibp2 PE=1 SV=3</t>
  </si>
  <si>
    <t>RNA-binding protein with multiple splicing 2 OS=Mus musculus OX=10090 GN=Rbpms2 PE=1 SV=1</t>
  </si>
  <si>
    <t>Adhesion G protein-coupled receptor A2 OS=Mus musculus OX=10090 GN=Adgra2 PE=1 SV=2</t>
  </si>
  <si>
    <t>NADH dehydrogenase [ubiquinone] 1 beta subcomplex subunit 4 OS=Mus musculus OX=10090 GN=Ndufb4 PE=1 SV=3</t>
  </si>
  <si>
    <t>cAMP-dependent protein kinase catalytic subunit beta OS=Mus musculus OX=10090 GN=Prkacb PE=1 SV=2</t>
  </si>
  <si>
    <t>Serine/threonine-protein phosphatase 2A 65 kDa regulatory subunit A alpha isoform OS=Mus musculus OX=10090 GN=Ppp2r1a PE=1 SV=3</t>
  </si>
  <si>
    <t>Disheveled-associated activator of morphogenesis 1 OS=Mus musculus OX=10090 GN=Daam1 PE=1 SV=4</t>
  </si>
  <si>
    <t>Lys-63-specific deubiquitinase BRCC36 OS=Mus musculus OX=10090 GN=Brcc3 PE=1 SV=1</t>
  </si>
  <si>
    <t>Nascent polypeptide-associated complex subunit alpha OS=Mus musculus OX=10090 GN=Naca PE=1 SV=1</t>
  </si>
  <si>
    <t>Tubulin alpha-8 chain OS=Mus musculus OX=10090 GN=Tuba8 PE=1 SV=1</t>
  </si>
  <si>
    <t>Purine nucleoside phosphorylase OS=Mus musculus OX=10090 GN=Pnp PE=1 SV=2</t>
  </si>
  <si>
    <t>Kinesin-like protein KIF2A OS=Mus musculus OX=10090 GN=Kif2a PE=1 SV=2</t>
  </si>
  <si>
    <t>Apolipoprotein A-I OS=Mus musculus OX=10090 GN=Apoa1 PE=1 SV=2</t>
  </si>
  <si>
    <t>Electrogenic aspartate/glutamate antiporter SLC25A12, mitochondrial OS=Mus musculus OX=10090 GN=Slc25a12 PE=1 SV=1</t>
  </si>
  <si>
    <t>Plexin-B2 OS=Mus musculus OX=10090 GN=Plxnb2 PE=1 SV=1</t>
  </si>
  <si>
    <t>Myosin regulatory light polypeptide 9 OS=Mus musculus OX=10090 GN=Myl9 PE=1 SV=3</t>
  </si>
  <si>
    <t>Alpha-ketoglutarate-dependent dioxygenase alkB homolog 3 OS=Mus musculus OX=10090 GN=Alkbh3 PE=1 SV=1</t>
  </si>
  <si>
    <t>Ubiquitin conjugation factor E4 B OS=Mus musculus OX=10090 GN=Ube4b PE=1 SV=3</t>
  </si>
  <si>
    <t>CCR4-NOT transcription complex subunit 3 OS=Mus musculus OX=10090 GN=Cnot3 PE=1 SV=1</t>
  </si>
  <si>
    <t>Eukaryotic translation initiation factor 3 subunit C OS=Mus musculus OX=10090 GN=Eif3c PE=1 SV=1</t>
  </si>
  <si>
    <t>Cadherin-5 OS=Mus musculus OX=10090 GN=Cdh5 PE=1 SV=2</t>
  </si>
  <si>
    <t>Putative GTP-binding protein 6 OS=Mus musculus OX=10090 GN=Gtpbp6 PE=1 SV=1</t>
  </si>
  <si>
    <t>26S proteasome non-ATPase regulatory subunit 6 OS=Mus musculus OX=10090 GN=Psmd6 PE=1 SV=1</t>
  </si>
  <si>
    <t>Interleukin enhancer-binding factor 3 OS=Mus musculus OX=10090 GN=Ilf3 PE=1 SV=2</t>
  </si>
  <si>
    <t>Histone H4 OS=Mus musculus OX=10090 GN=H4c1 PE=1 SV=2</t>
  </si>
  <si>
    <t>Protein PAT1 homolog 1 OS=Mus musculus OX=10090 GN=Patl1 PE=1 SV=2</t>
  </si>
  <si>
    <t>ELKS/Rab6-interacting/CAST family member 1 OS=Mus musculus OX=10090 GN=Erc1 PE=1 SV=1</t>
  </si>
  <si>
    <t>Calnexin OS=Mus musculus OX=10090 GN=Canx PE=1 SV=1</t>
  </si>
  <si>
    <t>Immunity-related GTPase family M protein 1 OS=Mus musculus OX=10090 GN=Irgm1 PE=1 SV=1</t>
  </si>
  <si>
    <t>Protein phosphatase Slingshot homolog 3 OS=Mus musculus OX=10090 GN=Ssh3 PE=1 SV=1</t>
  </si>
  <si>
    <t>SH3 domain-binding protein 5-like OS=Mus musculus OX=10090 GN=Sh3bp5l PE=1 SV=1</t>
  </si>
  <si>
    <t>Large ribosomal subunit protein mL49 OS=Mus musculus OX=10090 GN=Mrpl49 PE=1 SV=1</t>
  </si>
  <si>
    <t>Beta-parvin OS=Mus musculus OX=10090 GN=Parvb PE=1 SV=1</t>
  </si>
  <si>
    <t>Nuclear factor of activated T-cells, cytoplasmic 1 OS=Mus musculus OX=10090 GN=Nfatc1 PE=1 SV=1</t>
  </si>
  <si>
    <t>Protein lin-7 homolog A OS=Mus musculus OX=10090 GN=Lin7a PE=1 SV=2</t>
  </si>
  <si>
    <t>Protein furry homolog OS=Mus musculus OX=10090 GN=Fry PE=1 SV=1</t>
  </si>
  <si>
    <t>Heterogeneous nuclear ribonucleoprotein U OS=Mus musculus OX=10090 GN=Hnrnpu PE=1 SV=1</t>
  </si>
  <si>
    <t>CREB-regulated transcription coactivator 3 OS=Mus musculus OX=10090 GN=Crtc3 PE=1 SV=2</t>
  </si>
  <si>
    <t>Actin-related protein 2/3 complex subunit 1A OS=Mus musculus OX=10090 GN=Arpc1a PE=1 SV=1</t>
  </si>
  <si>
    <t>Baculoviral IAP repeat-containing protein 6 OS=Mus musculus OX=10090 GN=Birc6 PE=1 SV=2</t>
  </si>
  <si>
    <t>Spectrin beta chain, erythrocytic OS=Mus musculus OX=10090 GN=Sptb PE=1 SV=4</t>
  </si>
  <si>
    <t>Small ribosomal subunit protein mS37 OS=Mus musculus OX=10090 GN=Chchd1 PE=1 SV=1</t>
  </si>
  <si>
    <t>Proline-rich AKT1 substrate 1 OS=Mus musculus OX=10090 GN=Akt1s1 PE=1 SV=1</t>
  </si>
  <si>
    <t>Patatin-like phospholipase domain-containing protein 2 OS=Mus musculus OX=10090 GN=Pnpla2 PE=1 SV=1</t>
  </si>
  <si>
    <t>Interferon regulatory factor 2-binding protein 2 OS=Mus musculus OX=10090 GN=Irf2bp2 PE=1 SV=1</t>
  </si>
  <si>
    <t>Large ribosomal subunit protein eL24 OS=Mus musculus OX=10090 GN=Rpl24 PE=1 SV=2</t>
  </si>
  <si>
    <t>Tubulin beta-1 chain OS=Mus musculus OX=10090 GN=Tubb1 PE=1 SV=1</t>
  </si>
  <si>
    <t>Probable arginine--tRNA ligase, mitochondrial OS=Mus musculus OX=10090 GN=Rars2 PE=1 SV=1</t>
  </si>
  <si>
    <t>N-alpha-acetyltransferase 15, NatA auxiliary subunit OS=Mus musculus OX=10090 GN=Naa15 PE=1 SV=1</t>
  </si>
  <si>
    <t>N-alpha-acetyltransferase 16, NatA auxiliary subunit OS=Mus musculus OX=10090 GN=Naa16 PE=2 SV=1</t>
  </si>
  <si>
    <t>Protein phosphatase 1F OS=Mus musculus OX=10090 GN=Ppm1f PE=1 SV=1</t>
  </si>
  <si>
    <t>DDB1- and CUL4-associated factor 8 OS=Mus musculus OX=10090 GN=Dcaf8 PE=1 SV=1</t>
  </si>
  <si>
    <t>Target of rapamycin complex 2 subunit MAPKAP1 OS=Mus musculus OX=10090 GN=Mapkap1 PE=1 SV=1</t>
  </si>
  <si>
    <t>Bridge-like lipid transfer protein family member 2 OS=Mus musculus OX=10090 GN=Bltp2 PE=1 SV=1</t>
  </si>
  <si>
    <t>Cytospin-B OS=Mus musculus OX=10090 GN=Specc1 PE=1 SV=2</t>
  </si>
  <si>
    <t>Copper homeostasis protein cutC homolog OS=Mus musculus OX=10090 GN=Cutc PE=1 SV=1</t>
  </si>
  <si>
    <t>Pre-mRNA-processing factor 40 homolog A OS=Mus musculus OX=10090 GN=Prpf40a PE=1 SV=1</t>
  </si>
  <si>
    <t>Fructose-bisphosphate aldolase A OS=Mus musculus OX=10090 GN=Aldoa PE=1 SV=2</t>
  </si>
  <si>
    <t>Glutathione S-transferase P 2 OS=Mus musculus OX=10090 GN=Gstp2 PE=1 SV=2</t>
  </si>
  <si>
    <t>FMR1-interacting protein NUFIP2 OS=Mus musculus OX=10090 GN=Nufip2 PE=1 SV=1</t>
  </si>
  <si>
    <t>F-box only protein 22 OS=Mus musculus OX=10090 GN=Fbxo22 PE=1 SV=2</t>
  </si>
  <si>
    <t>NF-kappa-B inhibitor-interacting Ras-like protein 2 OS=Mus musculus OX=10090 GN=Nkiras2 PE=1 SV=1</t>
  </si>
  <si>
    <t>Serine/threonine-protein kinase SIK2 OS=Mus musculus OX=10090 GN=Sik2 PE=1 SV=1</t>
  </si>
  <si>
    <t>SH2 domain-containing protein 3C OS=Mus musculus OX=10090 GN=Sh2d3c PE=1 SV=1</t>
  </si>
  <si>
    <t>UAP56-interacting factor OS=Mus musculus OX=10090 GN=Fyttd1 PE=1 SV=1</t>
  </si>
  <si>
    <t>Mitogen-activated protein kinase kinase kinase 7 OS=Mus musculus OX=10090 GN=Map3k7 PE=1 SV=1</t>
  </si>
  <si>
    <t>Acyl-CoA:lysophosphatidylglycerol acyltransferase 1 OS=Mus musculus OX=10090 GN=Lpgat1 PE=1 SV=1</t>
  </si>
  <si>
    <t>Synaptotagmin-like protein 4 OS=Mus musculus OX=10090 GN=Sytl4 PE=1 SV=1</t>
  </si>
  <si>
    <t>Rap guanine nucleotide exchange factor 2 OS=Mus musculus OX=10090 GN=Rapgef2 PE=1 SV=2</t>
  </si>
  <si>
    <t>Histone H3.3C OS=Mus musculus OX=10090 GN=H3-5 PE=3 SV=3</t>
  </si>
  <si>
    <t>Histone H3.1 OS=Mus musculus OX=10090 GN=H3c1 PE=1 SV=2</t>
  </si>
  <si>
    <t>Histone H3.2 OS=Mus musculus OX=10090 GN=H3c2 PE=1 SV=2</t>
  </si>
  <si>
    <t>Histone H3.3 OS=Mus musculus OX=10090 GN=H3-3a PE=1 SV=2</t>
  </si>
  <si>
    <t>DENN domain-containing protein 1A OS=Mus musculus OX=10090 GN=Dennd1a PE=1 SV=2</t>
  </si>
  <si>
    <t>Mitochondrial import receptor subunit TOM70 OS=Mus musculus OX=10090 GN=Tomm70 PE=1 SV=2</t>
  </si>
  <si>
    <t>Calmodulin-regulated spectrin-associated protein 1 OS=Mus musculus OX=10090 GN=Camsap1 PE=1 SV=1</t>
  </si>
  <si>
    <t>Heat shock protein beta-6 OS=Mus musculus OX=10090 GN=Hspb6 PE=1 SV=1</t>
  </si>
  <si>
    <t>FAD synthase OS=Mus musculus OX=10090 GN=Flad1 PE=1 SV=1</t>
  </si>
  <si>
    <t>Acylglycerol kinase, mitochondrial OS=Mus musculus OX=10090 GN=Agk PE=1 SV=1</t>
  </si>
  <si>
    <t>Protein DDI1 homolog 2 OS=Mus musculus OX=10090 GN=Ddi2 PE=1 SV=1</t>
  </si>
  <si>
    <t>Protein HEXIM1 OS=Mus musculus OX=10090 GN=Hexim1 PE=1 SV=1</t>
  </si>
  <si>
    <t>Male-specific lethal 1 homolog OS=Mus musculus OX=10090 GN=Msl1 PE=1 SV=1</t>
  </si>
  <si>
    <t>Extracellular matrix protein 1 OS=Mus musculus OX=10090 GN=Ecm1 PE=1 SV=2</t>
  </si>
  <si>
    <t>Protein Hook homolog 3 OS=Mus musculus OX=10090 GN=Hook3 PE=1 SV=2</t>
  </si>
  <si>
    <t>T-complex protein 1 subunit delta OS=Mus musculus OX=10090 GN=Cct4 PE=1 SV=3</t>
  </si>
  <si>
    <t>Alpha-crystallin B chain OS=Mus musculus OX=10090 GN=Cryab PE=1 SV=2</t>
  </si>
  <si>
    <t>Ras-related GTP-binding protein B OS=Mus musculus OX=10090 GN=Rragb PE=1 SV=1</t>
  </si>
  <si>
    <t>ERC protein 2 OS=Mus musculus OX=10090 GN=Erc2 PE=1 SV=2</t>
  </si>
  <si>
    <t>Ras-related GTP-binding protein A OS=Mus musculus OX=10090 GN=Rraga PE=1 SV=1</t>
  </si>
  <si>
    <t>Phosphatidylinositol 5-phosphate 4-kinase type-2 gamma OS=Mus musculus OX=10090 GN=Pip4k2c PE=1 SV=1</t>
  </si>
  <si>
    <t>DnaJ homolog subfamily B member 4 OS=Mus musculus OX=10090 GN=Dnajb4 PE=1 SV=1</t>
  </si>
  <si>
    <t>Mitochondrial import receptor subunit TOM20 homolog OS=Mus musculus OX=10090 GN=Tomm20 PE=1 SV=1</t>
  </si>
  <si>
    <t>Hamartin OS=Mus musculus OX=10090 GN=Tsc1 PE=1 SV=1</t>
  </si>
  <si>
    <t>Histidine-rich glycoprotein OS=Mus musculus OX=10090 GN=Hrg PE=1 SV=2</t>
  </si>
  <si>
    <t>Integrin-linked protein kinase OS=Mus musculus OX=10090 GN=Ilk PE=1 SV=2</t>
  </si>
  <si>
    <t>Serine/arginine-rich splicing factor 3 OS=Mus musculus OX=10090 GN=Srsf3 PE=1 SV=1</t>
  </si>
  <si>
    <t>Inactive hydroxysteroid dehydrogenase-like protein 1 OS=Mus musculus OX=10090 GN=Hsdl1 PE=1 SV=1</t>
  </si>
  <si>
    <t>Large ribosomal subunit protein uL4m OS=Mus musculus OX=10090 GN=Mrpl4 PE=1 SV=1</t>
  </si>
  <si>
    <t>Elongation factor 1-beta OS=Mus musculus OX=10090 GN=Eef1b PE=1 SV=5</t>
  </si>
  <si>
    <t>Junctional cadherin 5-associated protein OS=Mus musculus OX=10090 GN=Jcad PE=1 SV=2</t>
  </si>
  <si>
    <t>Alpha-1-antitrypsin 1-1 OS=Mus musculus OX=10090 GN=Serpina1a PE=1 SV=4</t>
  </si>
  <si>
    <t>Alpha-1-antitrypsin 1-3 OS=Mus musculus OX=10090 GN=Serpina1c PE=1 SV=2</t>
  </si>
  <si>
    <t>Pantothenate kinase 2, mitochondrial OS=Mus musculus OX=10090 GN=Pank2 PE=1 SV=1</t>
  </si>
  <si>
    <t>Toll-like receptor 3 OS=Mus musculus OX=10090 GN=Tlr3 PE=1 SV=2</t>
  </si>
  <si>
    <t>Target of rapamycin complex subunit LST8 OS=Mus musculus OX=10090 GN=Mlst8 PE=1 SV=1</t>
  </si>
  <si>
    <t>Perilipin-4 OS=Mus musculus OX=10090 GN=Plin4 PE=1 SV=2</t>
  </si>
  <si>
    <t>Splicing factor 45 OS=Mus musculus OX=10090 GN=Rbm17 PE=1 SV=1</t>
  </si>
  <si>
    <t>Inner nuclear membrane protein Man1 OS=Mus musculus OX=10090 GN=Lemd3 PE=1 SV=2</t>
  </si>
  <si>
    <t>Large ribosomal subunit protein eL13 OS=Mus musculus OX=10090 GN=Rpl13 PE=1 SV=3</t>
  </si>
  <si>
    <t>Voltage-dependent anion-selective channel protein 2 OS=Mus musculus OX=10090 GN=Vdac2 PE=1 SV=2</t>
  </si>
  <si>
    <t>NADH dehydrogenase [ubiquinone] 1 subunit C2 OS=Mus musculus OX=10090 GN=Ndufc2 PE=1 SV=1</t>
  </si>
  <si>
    <t>Eukaryotic translation initiation factor 4 gamma 1 OS=Mus musculus OX=10090 GN=Eif4g1 PE=1 SV=1</t>
  </si>
  <si>
    <t>Protein kinase C alpha type OS=Mus musculus OX=10090 GN=Prkca PE=1 SV=3</t>
  </si>
  <si>
    <t>Protein arginine N-methyltransferase 5 OS=Mus musculus OX=10090 GN=Prmt5 PE=1 SV=3</t>
  </si>
  <si>
    <t>Tyrosine-protein kinase ABL1 OS=Mus musculus OX=10090 GN=Abl1 PE=1 SV=3</t>
  </si>
  <si>
    <t>T-complex protein 1 subunit alpha OS=Mus musculus OX=10090 GN=Tcp1 PE=1 SV=3</t>
  </si>
  <si>
    <t>Transcription activator BRG1 OS=Mus musculus OX=10090 GN=Smarca4 PE=1 SV=1</t>
  </si>
  <si>
    <t>SWI/SNF complex subunit SMARCC2 OS=Mus musculus OX=10090 GN=Smarcc2 PE=1 SV=2</t>
  </si>
  <si>
    <t>Selenocysteine-specific elongation factor OS=Mus musculus OX=10090 GN=Eefsec PE=1 SV=2</t>
  </si>
  <si>
    <t>Hyccin OS=Mus musculus OX=10090 GN=Hycc1 PE=1 SV=3</t>
  </si>
  <si>
    <t>Protein CLEC16A OS=Mus musculus OX=10090 GN=Clec16a PE=1 SV=2</t>
  </si>
  <si>
    <t>Cell division cycle 5-like protein OS=Mus musculus OX=10090 GN=Cdc5l PE=1 SV=2</t>
  </si>
  <si>
    <t>Troponin T, cardiac muscle OS=Mus musculus OX=10090 GN=Tnnt2 PE=1 SV=2</t>
  </si>
  <si>
    <t>Hemicentin-2 OS=Mus musculus OX=10090 GN=Hmcn2 PE=1 SV=1</t>
  </si>
  <si>
    <t>Heat shock protein HSP 90-beta OS=Mus musculus OX=10090 GN=Hsp90ab1 PE=1 SV=3</t>
  </si>
  <si>
    <t>Potassium voltage-gated channel subfamily KQT member 1 OS=Mus musculus OX=10090 GN=Kcnq1 PE=1 SV=3</t>
  </si>
  <si>
    <t>Presequence protease, mitochondrial OS=Mus musculus OX=10090 GN=Pitrm1 PE=1 SV=1</t>
  </si>
  <si>
    <t>Protein NEDD1 OS=Mus musculus OX=10090 GN=Nedd1 PE=1 SV=2</t>
  </si>
  <si>
    <t>COMM domain-containing protein 3 OS=Mus musculus OX=10090 GN=Commd3 PE=1 SV=1</t>
  </si>
  <si>
    <t>Large ribosomal subunit protein eL14 OS=Mus musculus OX=10090 GN=Rpl14 PE=1 SV=3</t>
  </si>
  <si>
    <t>Monoacylglycerol lipase ABHD6 OS=Mus musculus OX=10090 GN=Abhd6 PE=1 SV=1</t>
  </si>
  <si>
    <t>Misshapen-like kinase 1 OS=Mus musculus OX=10090 GN=Mink1 PE=1 SV=3</t>
  </si>
  <si>
    <t>Vacuolar protein sorting-associated protein 18 homolog OS=Mus musculus OX=10090 GN=Vps18 PE=1 SV=2</t>
  </si>
  <si>
    <t>Vacuolar protein sorting-associated protein 29 OS=Mus musculus OX=10090 GN=Vps29 PE=1 SV=1</t>
  </si>
  <si>
    <t>EH domain-containing protein 2 OS=Mus musculus OX=10090 GN=Ehd2 PE=1 SV=1</t>
  </si>
  <si>
    <t>Protein argonaute-2 OS=Mus musculus OX=10090 GN=Ago2 PE=1 SV=3</t>
  </si>
  <si>
    <t>Nuclear pore complex protein Nup133 OS=Mus musculus OX=10090 GN=Nup133 PE=1 SV=2</t>
  </si>
  <si>
    <t>Methionine aminopeptidase 1 OS=Mus musculus OX=10090 GN=Metap1 PE=1 SV=1</t>
  </si>
  <si>
    <t>Ribosomal protein S6 kinase beta-2 OS=Mus musculus OX=10090 GN=Rps6kb2 PE=1 SV=1</t>
  </si>
  <si>
    <t>GH3 domain-containing protein OS=Mus musculus OX=10090 GN=Ghdc PE=2 SV=2</t>
  </si>
  <si>
    <t>Liprin-alpha-2 OS=Mus musculus OX=10090 GN=Ppfia2 PE=1 SV=2</t>
  </si>
  <si>
    <t>Transmembrane and coiled-coil domain protein 3 OS=Mus musculus OX=10090 GN=Tmcc3 PE=1 SV=2</t>
  </si>
  <si>
    <t>Cyclin-T1 OS=Mus musculus OX=10090 GN=Ccnt1 PE=1 SV=3</t>
  </si>
  <si>
    <t>Ribosome-releasing factor 2, mitochondrial OS=Mus musculus OX=10090 GN=Gfm2 PE=1 SV=2</t>
  </si>
  <si>
    <t>Raftlin OS=Mus musculus OX=10090 GN=Rftn1 PE=1 SV=4</t>
  </si>
  <si>
    <t>Triple functional domain protein OS=Mus musculus OX=10090 GN=Trio PE=1 SV=3</t>
  </si>
  <si>
    <t>Eukaryotic translation initiation factor 5A-2 OS=Mus musculus OX=10090 GN=Eif5a2 PE=1 SV=3</t>
  </si>
  <si>
    <t>Glycerol-3-phosphate dehydrogenase, mitochondrial OS=Mus musculus OX=10090 GN=Gpd2 PE=1 SV=2</t>
  </si>
  <si>
    <t>Pre-mRNA-processing factor 19 OS=Mus musculus OX=10090 GN=Prpf19 PE=1 SV=1</t>
  </si>
  <si>
    <t>Chromatin-remodeling ATPase INO80 OS=Mus musculus OX=10090 GN=Ino80 PE=1 SV=2</t>
  </si>
  <si>
    <t>26S proteasome non-ATPase regulatory subunit 1 OS=Mus musculus OX=10090 GN=Psmd1 PE=1 SV=1</t>
  </si>
  <si>
    <t>Protein ZNRD2 OS=Mus musculus OX=10090 GN=Znrd2 PE=1 SV=1</t>
  </si>
  <si>
    <t>Exportin-2 OS=Mus musculus OX=10090 GN=Cse1l PE=1 SV=1</t>
  </si>
  <si>
    <t>Phosphotriesterase-related protein OS=Mus musculus OX=10090 GN=Pter PE=1 SV=1</t>
  </si>
  <si>
    <t>Eukaryotic translation initiation factor 4 gamma 2 OS=Mus musculus OX=10090 GN=Eif4g2 PE=1 SV=2</t>
  </si>
  <si>
    <t>Large ribosomal subunit protein mL55 OS=Mus musculus OX=10090 GN=Mrpl55 PE=1 SV=1</t>
  </si>
  <si>
    <t>Oxysterol-binding protein-related protein 3 OS=Mus musculus OX=10090 GN=Osbpl3 PE=1 SV=2</t>
  </si>
  <si>
    <t>Tubulin gamma-2 chain OS=Mus musculus OX=10090 GN=Tubg2 PE=1 SV=1</t>
  </si>
  <si>
    <t>Histone deacetylase 5 OS=Mus musculus OX=10090 GN=Hdac5 PE=1 SV=2</t>
  </si>
  <si>
    <t>Parkinson disease protein 7 homolog OS=Mus musculus OX=10090 GN=Park7 PE=1 SV=1</t>
  </si>
  <si>
    <t>Nucleophosmin OS=Mus musculus OX=10090 GN=Npm1 PE=1 SV=1</t>
  </si>
  <si>
    <t>Vigilin OS=Mus musculus OX=10090 GN=Hdlbp PE=1 SV=1</t>
  </si>
  <si>
    <t>Large ribosomal subunit protein uL11m OS=Mus musculus OX=10090 GN=Mrpl11 PE=1 SV=1</t>
  </si>
  <si>
    <t>Serine/threonine-protein phosphatase 5 OS=Mus musculus OX=10090 GN=Ppp5c PE=1 SV=3</t>
  </si>
  <si>
    <t>Heterogeneous nuclear ribonucleoprotein F OS=Mus musculus OX=10090 GN=Hnrnpf PE=1 SV=3</t>
  </si>
  <si>
    <t>Retinol dehydrogenase 14 OS=Mus musculus OX=10090 GN=Rdh14 PE=1 SV=1</t>
  </si>
  <si>
    <t>Guanine nucleotide exchange factor DBS OS=Mus musculus OX=10090 GN=Mcf2l PE=1 SV=2</t>
  </si>
  <si>
    <t>Protein arginine methyltransferase NDUFAF7, mitochondrial OS=Mus musculus OX=10090 GN=Ndufaf7 PE=1 SV=4</t>
  </si>
  <si>
    <t>Phosphatidylinositol polyphosphate 5-phosphatase type IV OS=Mus musculus OX=10090 GN=Inpp5e PE=1 SV=1</t>
  </si>
  <si>
    <t>Guanine nucleotide-binding protein subunit alpha-13 OS=Mus musculus OX=10090 GN=Gna13 PE=1 SV=1</t>
  </si>
  <si>
    <t>Leukocyte receptor cluster member 8 homolog OS=Mus musculus OX=10090 GN=Leng8 PE=1 SV=1</t>
  </si>
  <si>
    <t>Gamma-tubulin complex component 4 OS=Mus musculus OX=10090 GN=Tubgcp4 PE=1 SV=2</t>
  </si>
  <si>
    <t>Butyrophilin-like protein 9 OS=Mus musculus OX=10090 GN=Btnl9 PE=1 SV=1</t>
  </si>
  <si>
    <t>Protein pelota homolog OS=Mus musculus OX=10090 GN=Pelo PE=1 SV=3</t>
  </si>
  <si>
    <t>TGF-beta-activated kinase 1 and MAP3K7-binding protein 1 OS=Mus musculus OX=10090 GN=Tab1 PE=1 SV=2</t>
  </si>
  <si>
    <t>Alpha-centractin OS=Mus musculus OX=10090 GN=Actr1a PE=1 SV=1</t>
  </si>
  <si>
    <t>Dephospho-CoA kinase domain-containing protein OS=Mus musculus OX=10090 GN=Dcakd PE=1 SV=1</t>
  </si>
  <si>
    <t>Protein Shroom4 OS=Mus musculus OX=10090 GN=Shroom4 PE=1 SV=1</t>
  </si>
  <si>
    <t>Transformer-2 protein homolog alpha OS=Mus musculus OX=10090 GN=Tra2a PE=1 SV=1</t>
  </si>
  <si>
    <t>Pre-mRNA 3'-end-processing factor FIP1 OS=Mus musculus OX=10090 GN=Fip1l1 PE=1 SV=1</t>
  </si>
  <si>
    <t>Protein disulfide-isomerase OS=Mus musculus OX=10090 GN=P4hb PE=1 SV=2</t>
  </si>
  <si>
    <t>Transmembrane anterior posterior transformation protein 1 OS=Mus musculus OX=10090 GN=Tapt1 PE=1 SV=2</t>
  </si>
  <si>
    <t>Molybdenum cofactor biosynthesis protein 1 OS=Mus musculus OX=10090 GN=Mocs1 PE=1 SV=2</t>
  </si>
  <si>
    <t>SH3 and PX domain-containing protein 2A OS=Mus musculus OX=10090 GN=Sh3pxd2a PE=1 SV=2</t>
  </si>
  <si>
    <t>TSC22 domain family protein 4 OS=Mus musculus OX=10090 GN=Tsc22d4 PE=1 SV=2</t>
  </si>
  <si>
    <t>14-3-3 protein sigma OS=Mus musculus OX=10090 GN=Sfn PE=1 SV=2</t>
  </si>
  <si>
    <t>2',3'-cyclic-nucleotide 3'-phosphodiesterase OS=Mus musculus OX=10090 GN=Cnp PE=1 SV=3</t>
  </si>
  <si>
    <t>Myosin regulatory light chain 10 OS=Mus musculus OX=10090 GN=Myl10 PE=2 SV=1</t>
  </si>
  <si>
    <t>C2 domain-containing protein 2 OS=Mus musculus OX=10090 GN=C2cd2 PE=1 SV=1</t>
  </si>
  <si>
    <t>BAG family molecular chaperone regulator 2 OS=Mus musculus OX=10090 GN=Bag2 PE=1 SV=1</t>
  </si>
  <si>
    <t>Serine/threonine-protein phosphatase 2A 56 kDa regulatory subunit alpha isoform OS=Mus musculus OX=10090 GN=Ppp2r5a PE=1 SV=1</t>
  </si>
  <si>
    <t>Transformer-2 protein homolog beta OS=Mus musculus OX=10090 GN=Tra2b PE=1 SV=1</t>
  </si>
  <si>
    <t>Ubiquitin carboxyl-terminal hydrolase 15 OS=Mus musculus OX=10090 GN=Usp15 PE=1 SV=1</t>
  </si>
  <si>
    <t>Methyl-CpG-binding protein 2 OS=Mus musculus OX=10090 GN=Mecp2 PE=1 SV=1</t>
  </si>
  <si>
    <t>26S proteasome non-ATPase regulatory subunit 7 OS=Mus musculus OX=10090 GN=Psmd7 PE=1 SV=2</t>
  </si>
  <si>
    <t>SH2 domain-containing adapter protein B OS=Mus musculus OX=10090 GN=Shb PE=1 SV=2</t>
  </si>
  <si>
    <t>Carboxymethylenebutenolidase homolog OS=Mus musculus OX=10090 GN=Cmbl PE=1 SV=1</t>
  </si>
  <si>
    <t>Phenylalanine--tRNA ligase beta subunit OS=Mus musculus OX=10090 GN=Farsb PE=1 SV=2</t>
  </si>
  <si>
    <t>Large ribosomal subunit protein uL24 OS=Mus musculus OX=10090 GN=Rpl26 PE=1 SV=1</t>
  </si>
  <si>
    <t>Threonine--tRNA ligase 2, cytoplasmic OS=Mus musculus OX=10090 GN=Tars3 PE=1 SV=1</t>
  </si>
  <si>
    <t>Ataxin-2-like protein OS=Mus musculus OX=10090 GN=Atxn2l PE=1 SV=1</t>
  </si>
  <si>
    <t>Phosphatidate cytidylyltransferase 2 OS=Mus musculus OX=10090 GN=Cds2 PE=1 SV=1</t>
  </si>
  <si>
    <t>Phosphatidylinositol 3-kinase regulatory subunit alpha OS=Mus musculus OX=10090 GN=Pik3r1 PE=1 SV=2</t>
  </si>
  <si>
    <t>Protein Dok-7 OS=Mus musculus OX=10090 GN=Dok7 PE=1 SV=1</t>
  </si>
  <si>
    <t>GTP-binding protein SAR1a OS=Mus musculus OX=10090 GN=Sar1a PE=1 SV=1</t>
  </si>
  <si>
    <t>Cation-independent mannose-6-phosphate receptor OS=Mus musculus OX=10090 GN=Igf2r PE=1 SV=1</t>
  </si>
  <si>
    <t>Trafficking protein particle complex subunit 5 OS=Mus musculus OX=10090 GN=Trappc5 PE=1 SV=1</t>
  </si>
  <si>
    <t>Basic helix-loop-helix ARNT-like protein 1 OS=Mus musculus OX=10090 GN=Bmal1 PE=1 SV=2</t>
  </si>
  <si>
    <t>Regulator of microtubule dynamics protein 3 OS=Mus musculus OX=10090 GN=Rmdn3 PE=1 SV=2</t>
  </si>
  <si>
    <t>DNA topoisomerase 2-beta OS=Mus musculus OX=10090 GN=Top2b PE=1 SV=2</t>
  </si>
  <si>
    <t>Pumilio homolog 2 OS=Mus musculus OX=10090 GN=Pum2 PE=1 SV=2</t>
  </si>
  <si>
    <t>Aspartate--tRNA ligase, mitochondrial OS=Mus musculus OX=10090 GN=Dars2 PE=1 SV=1</t>
  </si>
  <si>
    <t>cGMP-dependent 3',5'-cyclic phosphodiesterase OS=Mus musculus OX=10090 GN=Pde2a PE=1 SV=4</t>
  </si>
  <si>
    <t>RB1-inducible coiled-coil protein 1 OS=Mus musculus OX=10090 GN=Rb1cc1 PE=1 SV=3</t>
  </si>
  <si>
    <t>Peptide deformylase, mitochondrial OS=Mus musculus OX=10090 GN=Pdf PE=3 SV=1</t>
  </si>
  <si>
    <t>[Pyruvate dehydrogenase [acetyl-transferring]]-phosphatase 1, mitochondrial OS=Mus musculus OX=10090 GN=Pdp1 PE=1 SV=1</t>
  </si>
  <si>
    <t>Methionine--tRNA ligase, cytoplasmic OS=Mus musculus OX=10090 GN=Mars1 PE=1 SV=1</t>
  </si>
  <si>
    <t>Membrane-associated phosphatidylinositol transfer protein 1 OS=Mus musculus OX=10090 GN=Pitpnm1 PE=1 SV=1</t>
  </si>
  <si>
    <t>CCR4-NOT transcription complex subunit 2 OS=Mus musculus OX=10090 GN=Cnot2 PE=1 SV=2</t>
  </si>
  <si>
    <t>DnaJ homolog subfamily C member 11 OS=Mus musculus OX=10090 GN=Dnajc11 PE=1 SV=2</t>
  </si>
  <si>
    <t>Mitochondrial coenzyme A diphosphatase NUDT8 OS=Mus musculus OX=10090 GN=Nudt8 PE=1 SV=1</t>
  </si>
  <si>
    <t>E3 ubiquitin-protein ligase AMFR OS=Mus musculus OX=10090 GN=Amfr PE=1 SV=2</t>
  </si>
  <si>
    <t>Cytospin-A OS=Mus musculus OX=10090 GN=Specc1l PE=1 SV=1</t>
  </si>
  <si>
    <t>Glycosaminoglycan xylosylkinase OS=Mus musculus OX=10090 GN=Fam20b PE=1 SV=1</t>
  </si>
  <si>
    <t>Small ribosomal subunit protein mS34 OS=Mus musculus OX=10090 GN=Mrps34 PE=1 SV=1</t>
  </si>
  <si>
    <t>Protein unc-45 homolog B OS=Mus musculus OX=10090 GN=Unc45b PE=1 SV=1</t>
  </si>
  <si>
    <t>Protein rogdi homolog OS=Mus musculus OX=10090 GN=Rogdi PE=1 SV=2</t>
  </si>
  <si>
    <t>LEM domain-containing protein 2 OS=Mus musculus OX=10090 GN=Lemd2 PE=1 SV=1</t>
  </si>
  <si>
    <t>Pre-mRNA-splicing factor SPF27 OS=Mus musculus OX=10090 GN=Bcas2 PE=1 SV=1</t>
  </si>
  <si>
    <t>Developmentally-regulated GTP-binding protein 1 OS=Mus musculus OX=10090 GN=Drg1 PE=1 SV=1</t>
  </si>
  <si>
    <t>Membrane-associated guanylate kinase, WW and PDZ domain-containing protein 1 OS=Mus musculus OX=10090 GN=Magi1 PE=1 SV=1</t>
  </si>
  <si>
    <t>SNARE-associated protein Snapin OS=Mus musculus OX=10090 GN=Snapin PE=1 SV=1</t>
  </si>
  <si>
    <t>Protein MTSS 2 OS=Mus musculus OX=10090 GN=Mtss2 PE=1 SV=1</t>
  </si>
  <si>
    <t>General transcription factor II-I OS=Mus musculus OX=10090 GN=Gtf2i PE=1 SV=3</t>
  </si>
  <si>
    <t>Protein diaphanous homolog 2 OS=Mus musculus OX=10090 GN=Diaph2 PE=1 SV=2</t>
  </si>
  <si>
    <t>Fatty acid synthase OS=Mus musculus OX=10090 GN=Fasn PE=1 SV=2</t>
  </si>
  <si>
    <t>Phospholipid transfer protein C2CD2L OS=Mus musculus OX=10090 GN=C2cd2l PE=1 SV=3</t>
  </si>
  <si>
    <t>Electrogenic aspartate/glutamate antiporter SLC25A13, mitochondrial OS=Mus musculus OX=10090 GN=Slc25a13 PE=1 SV=1</t>
  </si>
  <si>
    <t>14-3-3 protein eta OS=Mus musculus OX=10090 GN=Ywhah PE=1 SV=2</t>
  </si>
  <si>
    <t>Large ribosomal subunit protein bL32m OS=Mus musculus OX=10090 GN=Mrpl32 PE=1 SV=1</t>
  </si>
  <si>
    <t>DnaJ homolog subfamily A member 2 OS=Mus musculus OX=10090 GN=Dnaja2 PE=1 SV=1</t>
  </si>
  <si>
    <t>UDP-glucose:glycoprotein glucosyltransferase 1 OS=Mus musculus OX=10090 GN=Uggt1 PE=1 SV=4</t>
  </si>
  <si>
    <t>Cell cycle and apoptosis regulator protein 2 OS=Mus musculus OX=10090 GN=Ccar2 PE=1 SV=2</t>
  </si>
  <si>
    <t>Syntaxin-17 OS=Mus musculus OX=10090 GN=Stx17 PE=1 SV=1</t>
  </si>
  <si>
    <t>Pre-mRNA cleavage complex 2 protein Pcf11 OS=Mus musculus OX=10090 GN=Pcf11 PE=2 SV=1</t>
  </si>
  <si>
    <t>PDZ and LIM domain protein 1 OS=Mus musculus OX=10090 GN=Pdlim1 PE=1 SV=4</t>
  </si>
  <si>
    <t>Signal recognition particle receptor subunit beta OS=Mus musculus OX=10090 GN=Srprb PE=1 SV=1</t>
  </si>
  <si>
    <t>Neuropilin-1 OS=Mus musculus OX=10090 GN=Nrp1 PE=1 SV=2</t>
  </si>
  <si>
    <t>C4b-binding protein OS=Mus musculus OX=10090 GN=C4bpa PE=1 SV=3</t>
  </si>
  <si>
    <t>Double-stranded RNA-binding protein Staufen homolog 1 OS=Mus musculus OX=10090 GN=Stau1 PE=1 SV=1</t>
  </si>
  <si>
    <t>Synaptojanin-2-binding protein OS=Mus musculus OX=10090 GN=Synj2bp PE=1 SV=1</t>
  </si>
  <si>
    <t>Xaa-Pro aminopeptidase 3 OS=Mus musculus OX=10090 GN=Xpnpep3 PE=1 SV=1</t>
  </si>
  <si>
    <t>Paraplegin OS=Mus musculus OX=10090 GN=Spg7 PE=1 SV=1</t>
  </si>
  <si>
    <t>ATP-binding cassette sub-family F member 2 OS=Mus musculus OX=10090 GN=Abcf2 PE=1 SV=1</t>
  </si>
  <si>
    <t>CDGSH iron-sulfur domain-containing protein 2 OS=Mus musculus OX=10090 GN=Cisd2 PE=1 SV=1</t>
  </si>
  <si>
    <t>CST complex subunit STN1 OS=Mus musculus OX=10090 GN=Stn1 PE=1 SV=2</t>
  </si>
  <si>
    <t>Large ribosomal subunit protein eL32 OS=Mus musculus OX=10090 GN=Rpl32 PE=1 SV=2</t>
  </si>
  <si>
    <t>LIM domain-binding protein 3 OS=Mus musculus OX=10090 GN=Ldb3 PE=1 SV=1</t>
  </si>
  <si>
    <t>RNA binding motif protein, X-linked-like-1 OS=Mus musculus OX=10090 GN=Rbmxl1 PE=2 SV=1</t>
  </si>
  <si>
    <t>RNA-binding motif protein, X chromosome OS=Mus musculus OX=10090 GN=Rbmx PE=1 SV=1</t>
  </si>
  <si>
    <t>Cytosolic purine 5'-nucleotidase OS=Mus musculus OX=10090 GN=Nt5c2 PE=1 SV=2</t>
  </si>
  <si>
    <t>OTU domain-containing protein 7B OS=Mus musculus OX=10090 GN=Otud7b PE=1 SV=1</t>
  </si>
  <si>
    <t>Solute carrier family 25 member 35 OS=Mus musculus OX=10090 GN=Slc25a35 PE=1 SV=2</t>
  </si>
  <si>
    <t>E3 ubiquitin-protein ligase HUWE1 OS=Mus musculus OX=10090 GN=Huwe1 PE=1 SV=5</t>
  </si>
  <si>
    <t>Rho guanine nucleotide exchange factor 12 OS=Mus musculus OX=10090 GN=Arhgef12 PE=1 SV=2</t>
  </si>
  <si>
    <t>Transmembrane protein 94 OS=Mus musculus OX=10090 GN=Tmem94 PE=1 SV=1</t>
  </si>
  <si>
    <t>Unconventional myosin-Va OS=Mus musculus OX=10090 GN=Myo5a PE=1 SV=2</t>
  </si>
  <si>
    <t>Zinc finger protein 512 OS=Mus musculus OX=10090 GN=Znf512 PE=2 SV=2</t>
  </si>
  <si>
    <t>26S proteasome non-ATPase regulatory subunit 5 OS=Mus musculus OX=10090 GN=Psmd5 PE=1 SV=4</t>
  </si>
  <si>
    <t>Pentatricopeptide repeat-containing protein 1, mitochondrial OS=Mus musculus OX=10090 GN=Ptcd1 PE=2 SV=2</t>
  </si>
  <si>
    <t>Oxysterol-binding protein-related protein 8 OS=Mus musculus OX=10090 GN=Osbpl8 PE=1 SV=1</t>
  </si>
  <si>
    <t>Myosin-6 OS=Mus musculus OX=10090 GN=Myh6 PE=1 SV=2</t>
  </si>
  <si>
    <t>Golgi apparatus protein 1 OS=Mus musculus OX=10090 GN=Glg1 PE=1 SV=1</t>
  </si>
  <si>
    <t>Eukaryotic translation initiation factor 4E OS=Mus musculus OX=10090 GN=Eif4e PE=1 SV=1</t>
  </si>
  <si>
    <t>SUN domain-containing protein 2 OS=Mus musculus OX=10090 GN=Sun2 PE=1 SV=3</t>
  </si>
  <si>
    <t>Small integral membrane protein 4 OS=Mus musculus OX=10090 GN=Uqcc5 PE=1 SV=2</t>
  </si>
  <si>
    <t>Cytosolic Fe-S cluster assembly factor NUBP2 OS=Mus musculus OX=10090 GN=Nubp2 PE=1 SV=1</t>
  </si>
  <si>
    <t>Forkhead box protein K1 OS=Mus musculus OX=10090 GN=Foxk1 PE=1 SV=2</t>
  </si>
  <si>
    <t>IQ motif and SEC7 domain-containing protein 2 OS=Mus musculus OX=10090 GN=Iqsec2 PE=1 SV=3</t>
  </si>
  <si>
    <t>Regulation of nuclear pre-mRNA domain-containing protein 2 OS=Mus musculus OX=10090 GN=Rprd2 PE=1 SV=1</t>
  </si>
  <si>
    <t>Vesicle-associated membrane protein-associated protein B OS=Mus musculus OX=10090 GN=Vapb PE=1 SV=3</t>
  </si>
  <si>
    <t>Ral GTPase-activating protein subunit beta OS=Mus musculus OX=10090 GN=Ralgapb PE=1 SV=2</t>
  </si>
  <si>
    <t>Elongation factor Tu, mitochondrial OS=Mus musculus OX=10090 GN=Tufm PE=1 SV=1</t>
  </si>
  <si>
    <t>Peroxiredoxin-1 OS=Mus musculus OX=10090 GN=Prdx1 PE=1 SV=1</t>
  </si>
  <si>
    <t>Integrin alpha-7 OS=Mus musculus OX=10090 GN=Itga7 PE=1 SV=3</t>
  </si>
  <si>
    <t>Anion exchange protein 2 OS=Mus musculus OX=10090 GN=Slc4a2 PE=1 SV=1</t>
  </si>
  <si>
    <t>Cullin-1 OS=Mus musculus OX=10090 GN=Cul1 PE=1 SV=1</t>
  </si>
  <si>
    <t>Lysosomal alpha-glucosidase OS=Mus musculus OX=10090 GN=Gaa PE=1 SV=2</t>
  </si>
  <si>
    <t>Methionyl-tRNA formyltransferase, mitochondrial OS=Mus musculus OX=10090 GN=Mtfmt PE=2 SV=3</t>
  </si>
  <si>
    <t>tRNA (34-2'-O)-methyltransferase regulator WDR6 OS=Mus musculus OX=10090 GN=Wdr6 PE=1 SV=1</t>
  </si>
  <si>
    <t>Large ribosomal subunit protein eL19 OS=Mus musculus OX=10090 GN=Rpl19 PE=1 SV=1</t>
  </si>
  <si>
    <t>RalBP1-associated Eps domain-containing protein 2 OS=Mus musculus OX=10090 GN=Reps2 PE=1 SV=2</t>
  </si>
  <si>
    <t>Myosin regulatory light chain 2, ventricular/cardiac muscle isoform OS=Mus musculus OX=10090 GN=Myl2 PE=1 SV=3</t>
  </si>
  <si>
    <t>CCR4-NOT transcription complex subunit 1 OS=Mus musculus OX=10090 GN=Cnot1 PE=1 SV=2</t>
  </si>
  <si>
    <t>Protein arginine N-methyltransferase 1 OS=Mus musculus OX=10090 GN=Prmt1 PE=1 SV=1</t>
  </si>
  <si>
    <t>Scaffold attachment factor B1 OS=Mus musculus OX=10090 GN=Safb PE=1 SV=2</t>
  </si>
  <si>
    <t>E3 ubiquitin-protein ligase TRIP12 OS=Mus musculus OX=10090 GN=Trip12 PE=1 SV=1</t>
  </si>
  <si>
    <t>Stomatin OS=Mus musculus OX=10090 GN=Stom PE=1 SV=3</t>
  </si>
  <si>
    <t>AP-2 complex subunit mu OS=Mus musculus OX=10090 GN=Ap2m1 PE=1 SV=1</t>
  </si>
  <si>
    <t>Myocyte-specific enhancer factor 2A OS=Mus musculus OX=10090 GN=Mef2a PE=1 SV=2</t>
  </si>
  <si>
    <t>Myocyte-specific enhancer factor 2C OS=Mus musculus OX=10090 GN=Mef2c PE=1 SV=2</t>
  </si>
  <si>
    <t>Formin-binding protein 1-like OS=Mus musculus OX=10090 GN=Fnbp1l PE=1 SV=2</t>
  </si>
  <si>
    <t>Large ribosomal subunit protein mL38 OS=Mus musculus OX=10090 GN=Mrpl38 PE=1 SV=2</t>
  </si>
  <si>
    <t>PRA1 family protein 3 OS=Mus musculus OX=10090 GN=Arl6ip5 PE=1 SV=2</t>
  </si>
  <si>
    <t>Ubiquinol-cytochrome-c reductase complex assembly factor 2 OS=Mus musculus OX=10090 GN=Uqcc2 PE=1 SV=1</t>
  </si>
  <si>
    <t>RAS guanyl-releasing protein 2 OS=Mus musculus OX=10090 GN=Rasgrp2 PE=1 SV=2</t>
  </si>
  <si>
    <t>ATP-dependent RNA helicase DDX3X OS=Mus musculus OX=10090 GN=Ddx3x PE=1 SV=3</t>
  </si>
  <si>
    <t>Nitric oxide-associated protein 1 OS=Mus musculus OX=10090 GN=Noa1 PE=1 SV=1</t>
  </si>
  <si>
    <t>Protein scribble homolog OS=Mus musculus OX=10090 GN=Scrib PE=1 SV=2</t>
  </si>
  <si>
    <t>TBC1 domain family member 5 OS=Mus musculus OX=10090 GN=Tbc1d5 PE=1 SV=2</t>
  </si>
  <si>
    <t>Protein EFR3 homolog A OS=Mus musculus OX=10090 GN=Efr3a PE=1 SV=1</t>
  </si>
  <si>
    <t>Dynactin subunit 5 OS=Mus musculus OX=10090 GN=Dctn5 PE=1 SV=1</t>
  </si>
  <si>
    <t>Cullin-2 OS=Mus musculus OX=10090 GN=Cul2 PE=1 SV=2</t>
  </si>
  <si>
    <t>Constitutive coactivator of PPAR-gamma-like protein 1 OS=Mus musculus OX=10090 GN=FAM120A PE=1 SV=2</t>
  </si>
  <si>
    <t>Short-chain specific acyl-CoA dehydrogenase, mitochondrial OS=Mus musculus OX=10090 GN=Acads PE=1 SV=2</t>
  </si>
  <si>
    <t>Myotubularin-related protein 12 OS=Mus musculus OX=10090 GN=Mtmr12 PE=1 SV=2</t>
  </si>
  <si>
    <t>Serine/arginine-rich splicing factor 7 OS=Mus musculus OX=10090 GN=Srsf7 PE=1 SV=1</t>
  </si>
  <si>
    <t>Golgi to ER traffic protein 4 homolog OS=Mus musculus OX=10090 GN=Get4 PE=1 SV=2</t>
  </si>
  <si>
    <t>Importin subunit alpha-3 OS=Mus musculus OX=10090 GN=Kpna4 PE=1 SV=1</t>
  </si>
  <si>
    <t>E3 ubiquitin-protein ligase RING2 OS=Mus musculus OX=10090 GN=Rnf2 PE=1 SV=1</t>
  </si>
  <si>
    <t>Dimethyladenosine transferase 2, mitochondrial OS=Mus musculus OX=10090 GN=Tfb2m PE=2 SV=1</t>
  </si>
  <si>
    <t>Phytanoyl-CoA hydroxylase-interacting protein OS=Mus musculus OX=10090 GN=Phyhip PE=1 SV=1</t>
  </si>
  <si>
    <t>N-terminal kinase-like protein OS=Mus musculus OX=10090 GN=Scyl1 PE=1 SV=1</t>
  </si>
  <si>
    <t>Polyisoprenoid diphosphate/phosphate phosphohydrolase PLPP6 OS=Mus musculus OX=10090 GN=Plpp6 PE=1 SV=1</t>
  </si>
  <si>
    <t>FYVE, RhoGEF and PH domain-containing protein 1 OS=Mus musculus OX=10090 GN=Fgd1 PE=1 SV=2</t>
  </si>
  <si>
    <t>SWI/SNF-related matrix-associated actin-dependent regulator of chromatin subfamily D member 3 OS=Mus musculus OX=10090 GN=Smarcd3 PE=1 SV=2</t>
  </si>
  <si>
    <t>Protein PRRC2B OS=Mus musculus OX=10090 GN=Prrc2b PE=1 SV=1</t>
  </si>
  <si>
    <t>Oxysterol-binding protein-related protein 5 OS=Mus musculus OX=10090 GN=Osbpl5 PE=1 SV=3</t>
  </si>
  <si>
    <t>Gamma-sarcoglycan OS=Mus musculus OX=10090 GN=Sgcg PE=1 SV=2</t>
  </si>
  <si>
    <t>Vacuolar protein sorting-associated protein 41 homolog OS=Mus musculus OX=10090 GN=Vps41 PE=1 SV=1</t>
  </si>
  <si>
    <t>Sec1 family domain-containing protein 2 OS=Mus musculus OX=10090 GN=Scfd2 PE=1 SV=1</t>
  </si>
  <si>
    <t>Bifunctional phosphoribosylaminoimidazole carboxylase/phosphoribosylaminoimidazole succinocarboxamide synthetase OS=Mus musculus OX=10090 GN=Paics PE=1 SV=4</t>
  </si>
  <si>
    <t>ER membrane protein complex subunit 7 OS=Mus musculus OX=10090 GN=Emc7 PE=1 SV=1</t>
  </si>
  <si>
    <t>Protein phosphatase 1 regulatory subunit 12C OS=Mus musculus OX=10090 GN=Ppp1r12c PE=1 SV=1</t>
  </si>
  <si>
    <t>Myotubularin-related protein 5 OS=Mus musculus OX=10090 GN=Sbf1 PE=1 SV=2</t>
  </si>
  <si>
    <t>Heat shock cognate 71 kDa protein OS=Mus musculus OX=10090 GN=Hspa8 PE=1 SV=1</t>
  </si>
  <si>
    <t>Programmed cell death protein 2 OS=Mus musculus OX=10090 GN=Pdcd2 PE=2 SV=2</t>
  </si>
  <si>
    <t>Hydroxymethylglutaryl-CoA lyase, mitochondrial OS=Mus musculus OX=10090 GN=Hmgcl PE=1 SV=2</t>
  </si>
  <si>
    <t>Eukaryotic translation initiation factor 3 subunit L OS=Mus musculus OX=10090 GN=Eif3l PE=1 SV=1</t>
  </si>
  <si>
    <t>GATOR1 complex protein NPRL2 OS=Mus musculus OX=10090 GN=Nprl2 PE=2 SV=1</t>
  </si>
  <si>
    <t>Mitochondrial amidoxime reducing component 2 OS=Mus musculus OX=10090 GN=Mtarc2 PE=1 SV=1</t>
  </si>
  <si>
    <t>F-box only protein 21 OS=Mus musculus OX=10090 GN=Fbxo21 PE=1 SV=1</t>
  </si>
  <si>
    <t>Sodium/potassium-transporting ATPase subunit beta-3 OS=Mus musculus OX=10090 GN=Atp1b3 PE=1 SV=1</t>
  </si>
  <si>
    <t>Torsin-1A-interacting protein 1 OS=Mus musculus OX=10090 GN=Tor1aip1 PE=1 SV=3</t>
  </si>
  <si>
    <t>Trifunctional purine biosynthetic protein adenosine-3 OS=Mus musculus OX=10090 GN=Gart PE=1 SV=3</t>
  </si>
  <si>
    <t>Zinc finger and BTB domain-containing protein 20 OS=Mus musculus OX=10090 GN=Zbtb20 PE=1 SV=1</t>
  </si>
  <si>
    <t>RNA-binding protein 27 OS=Mus musculus OX=10090 GN=Rbm27 PE=1 SV=3</t>
  </si>
  <si>
    <t>Muscleblind-like protein 2 OS=Mus musculus OX=10090 GN=Mbnl2 PE=2 SV=2</t>
  </si>
  <si>
    <t>Plakophilin-2 OS=Mus musculus OX=10090 GN=Pkp2 PE=1 SV=1</t>
  </si>
  <si>
    <t>Heat shock-related 70 kDa protein 2 OS=Mus musculus OX=10090 GN=Hspa2 PE=1 SV=2</t>
  </si>
  <si>
    <t>Protein Red OS=Mus musculus OX=10090 GN=Ik PE=1 SV=2</t>
  </si>
  <si>
    <t>T-complex protein 1 subunit beta OS=Mus musculus OX=10090 GN=Cct2 PE=1 SV=4</t>
  </si>
  <si>
    <t>DNA topoisomerase 1 OS=Mus musculus OX=10090 GN=Top1 PE=1 SV=2</t>
  </si>
  <si>
    <t>Nucleotide-binding oligomerization domain-containing protein 1 OS=Mus musculus OX=10090 GN=Nod1 PE=1 SV=1</t>
  </si>
  <si>
    <t>RNA-binding protein 33 OS=Mus musculus OX=10090 GN=Rbm33 PE=1 SV=2</t>
  </si>
  <si>
    <t>WD repeat, SAM and U-box domain-containing protein 1 OS=Mus musculus OX=10090 GN=Wdsub1 PE=2 SV=1</t>
  </si>
  <si>
    <t>Diacylglycerol kinase epsilon OS=Mus musculus OX=10090 GN=Dgke PE=1 SV=1</t>
  </si>
  <si>
    <t>HBS1-like protein OS=Mus musculus OX=10090 GN=Hbs1l PE=1 SV=2</t>
  </si>
  <si>
    <t>T-complex protein 1 subunit eta OS=Mus musculus OX=10090 GN=Cct7 PE=1 SV=1</t>
  </si>
  <si>
    <t>Hydroxyacylglutathione hydrolase, mitochondrial OS=Mus musculus OX=10090 GN=Hagh PE=1 SV=2</t>
  </si>
  <si>
    <t>Aspartate--tRNA ligase, cytoplasmic OS=Mus musculus OX=10090 GN=Dars1 PE=1 SV=2</t>
  </si>
  <si>
    <t>RNA 3'-terminal phosphate cyclase OS=Mus musculus OX=10090 GN=RtcA PE=1 SV=2</t>
  </si>
  <si>
    <t>Acylphosphatase-2 OS=Mus musculus OX=10090 GN=Acyp2 PE=1 SV=2</t>
  </si>
  <si>
    <t>1-acyl-sn-glycerol-3-phosphate acyltransferase gamma OS=Mus musculus OX=10090 GN=Agpat3 PE=1 SV=2</t>
  </si>
  <si>
    <t>RNA-binding protein 25 OS=Mus musculus OX=10090 GN=Rbm25 PE=1 SV=2</t>
  </si>
  <si>
    <t>Triadin OS=Mus musculus OX=10090 GN=Trdn PE=1 SV=1</t>
  </si>
  <si>
    <t>Adenylosuccinate synthetase isozyme 1 OS=Mus musculus OX=10090 GN=Adss1 PE=1 SV=2</t>
  </si>
  <si>
    <t>Arf-GAP with SH3 domain, ANK repeat and PH domain-containing protein 2 OS=Mus musculus OX=10090 GN=Asap2 PE=1 SV=3</t>
  </si>
  <si>
    <t>Aminoacyl tRNA synthase complex-interacting multifunctional protein 2 OS=Mus musculus OX=10090 GN=Aimp2 PE=1 SV=2</t>
  </si>
  <si>
    <t>Cyclin-dependent kinase 9 OS=Mus musculus OX=10090 GN=Cdk9 PE=1 SV=1</t>
  </si>
  <si>
    <t>Heat shock protein beta-7 OS=Mus musculus OX=10090 GN=Hspb7 PE=1 SV=3</t>
  </si>
  <si>
    <t>FAST kinase domain-containing protein 5, mitochondrial OS=Mus musculus OX=10090 GN=Fastkd5 PE=2 SV=1</t>
  </si>
  <si>
    <t>ATP-dependent RNA helicase DDX1 OS=Mus musculus OX=10090 GN=Ddx1 PE=1 SV=1</t>
  </si>
  <si>
    <t>Pleckstrin homology domain-containing family O member 1 OS=Mus musculus OX=10090 GN=Plekho1 PE=1 SV=1</t>
  </si>
  <si>
    <t>NADH dehydrogenase [ubiquinone] 1 alpha subcomplex subunit 2 OS=Mus musculus OX=10090 GN=Ndufa2 PE=1 SV=3</t>
  </si>
  <si>
    <t>Multimerin-2 OS=Mus musculus OX=10090 GN=Mmrn2 PE=1 SV=1</t>
  </si>
  <si>
    <t>Mannose-1-phosphate guanyltransferase beta OS=Mus musculus OX=10090 GN=Gmppb PE=1 SV=1</t>
  </si>
  <si>
    <t>Thioredoxin-related transmembrane protein 2 OS=Mus musculus OX=10090 GN=Tmx2 PE=1 SV=1</t>
  </si>
  <si>
    <t>Annexin A11 OS=Mus musculus OX=10090 GN=Anxa11 PE=1 SV=2</t>
  </si>
  <si>
    <t>Myopalladin OS=Mus musculus OX=10090 GN=Mypn PE=1 SV=2</t>
  </si>
  <si>
    <t>Nesprin-1 OS=Mus musculus OX=10090 GN=Syne1 PE=1 SV=2</t>
  </si>
  <si>
    <t>Rho GTPase-activating protein 29 OS=Mus musculus OX=10090 GN=Arhgap29 PE=1 SV=1</t>
  </si>
  <si>
    <t>Myosin-7 OS=Mus musculus OX=10090 GN=Myh7 PE=2 SV=1</t>
  </si>
  <si>
    <t>3-ketoacyl-CoA thiolase B, peroxisomal OS=Mus musculus OX=10090 GN=Acaa1b PE=1 SV=1</t>
  </si>
  <si>
    <t>Xin actin-binding repeat-containing protein 2 OS=Mus musculus OX=10090 GN=Xirp2 PE=1 SV=1</t>
  </si>
  <si>
    <t>Dystonin OS=Mus musculus OX=10090 GN=Dst PE=1 SV=2</t>
  </si>
  <si>
    <t>Regulation of nuclear pre-mRNA domain-containing protein 1B OS=Mus musculus OX=10090 GN=Rprd1b PE=1 SV=2</t>
  </si>
  <si>
    <t>Pyrroline-5-carboxylate reductase 3 OS=Mus musculus OX=10090 GN=Pycr3 PE=1 SV=2</t>
  </si>
  <si>
    <t>Zinc transporter 7 OS=Mus musculus OX=10090 GN=Slc30a7 PE=1 SV=1</t>
  </si>
  <si>
    <t>Homer protein homolog 2 OS=Mus musculus OX=10090 GN=Homer2 PE=1 SV=1</t>
  </si>
  <si>
    <t>Tectonin beta-propeller repeat-containing protein 1 OS=Mus musculus OX=10090 GN=Tecpr1 PE=1 SV=1</t>
  </si>
  <si>
    <t>Syntaxin-binding protein 5 OS=Mus musculus OX=10090 GN=Stxbp5 PE=1 SV=3</t>
  </si>
  <si>
    <t>ER membrane protein complex subunit 4 OS=Mus musculus OX=10090 GN=Emc4 PE=1 SV=1</t>
  </si>
  <si>
    <t>Cullin-3 OS=Mus musculus OX=10090 GN=Cul3 PE=1 SV=1</t>
  </si>
  <si>
    <t>Serine/arginine-rich splicing factor 10 OS=Mus musculus OX=10090 GN=Srsf10 PE=1 SV=2</t>
  </si>
  <si>
    <t>Rho-associated protein kinase 2 OS=Mus musculus OX=10090 GN=Rock2 PE=1 SV=1</t>
  </si>
  <si>
    <t>RNA-binding protein 14 OS=Mus musculus OX=10090 GN=Rbm14 PE=1 SV=1</t>
  </si>
  <si>
    <t>Large ribosomal subunit protein eL31 OS=Mus musculus OX=10090 GN=Rpl31 PE=1 SV=1</t>
  </si>
  <si>
    <t>Roundabout homolog 4 OS=Mus musculus OX=10090 GN=Robo4 PE=1 SV=2</t>
  </si>
  <si>
    <t>E3 ubiquitin-protein transferase MAEA OS=Mus musculus OX=10090 GN=Maea PE=1 SV=1</t>
  </si>
  <si>
    <t>Hsp90 co-chaperone Cdc37 OS=Mus musculus OX=10090 GN=Cdc37 PE=1 SV=1</t>
  </si>
  <si>
    <t>Calmodulin-1 OS=Mus musculus OX=10090 GN=Calm1 PE=1 SV=1</t>
  </si>
  <si>
    <t>Calmodulin-2 OS=Mus musculus OX=10090 GN=Calm2 PE=1 SV=1</t>
  </si>
  <si>
    <t>Calmodulin-3 OS=Mus musculus OX=10090 GN=Calm3 PE=1 SV=1</t>
  </si>
  <si>
    <t>Dihydroxyacetone phosphate acyltransferase OS=Mus musculus OX=10090 GN=Gnpat PE=1 SV=1</t>
  </si>
  <si>
    <t>Rho family-interacting cell polarization regulator 1 OS=Mus musculus OX=10090 GN=Ripor1 PE=1 SV=2</t>
  </si>
  <si>
    <t>Saccharopine dehydrogenase-like oxidoreductase OS=Mus musculus OX=10090 GN=Sccpdh PE=1 SV=1</t>
  </si>
  <si>
    <t>Mitochondrial intermembrane space import and assembly protein 40 OS=Mus musculus OX=10090 GN=Chchd4 PE=1 SV=1</t>
  </si>
  <si>
    <t>Calmodulin-like protein 3 OS=Mus musculus OX=10090 GN=Calml3 PE=2 SV=1</t>
  </si>
  <si>
    <t>Uncharacterized aarF domain-containing protein kinase 5 OS=Mus musculus OX=10090 GN=Adck5 PE=2 SV=2</t>
  </si>
  <si>
    <t>TRIO and F-actin-binding protein OS=Mus musculus OX=10090 GN=Triobp PE=1 SV=3</t>
  </si>
  <si>
    <t>Nuclear receptor coactivator 3 OS=Mus musculus OX=10090 GN=Ncoa3 PE=1 SV=2</t>
  </si>
  <si>
    <t>Alcohol dehydrogenase 1 OS=Mus musculus OX=10090 GN=Adh1 PE=1 SV=2</t>
  </si>
  <si>
    <t>Vitamin D-binding protein OS=Mus musculus OX=10090 GN=Gc PE=1 SV=2</t>
  </si>
  <si>
    <t>GATOR complex protein WDR24 OS=Mus musculus OX=10090 GN=Wdr24 PE=1 SV=1</t>
  </si>
  <si>
    <t>BLOC-1-related complex subunit 5 OS=Mus musculus OX=10090 GN=Borcs5 PE=1 SV=1</t>
  </si>
  <si>
    <t>Presenilin-associated rhomboid-like protein, mitochondrial OS=Mus musculus OX=10090 GN=Parl PE=1 SV=1</t>
  </si>
  <si>
    <t>E3 ubiquitin-protein ligase Itchy OS=Mus musculus OX=10090 GN=Itch PE=1 SV=2</t>
  </si>
  <si>
    <t>Cleavage and polyadenylation specificity factor subunit 3 OS=Mus musculus OX=10090 GN=Cpsf3 PE=1 SV=2</t>
  </si>
  <si>
    <t>CapZ-interacting protein OS=Mus musculus OX=10090 GN=Rcsd1 PE=1 SV=1</t>
  </si>
  <si>
    <t>Complement C3 OS=Mus musculus OX=10090 GN=C3 PE=1 SV=3</t>
  </si>
  <si>
    <t>Trafficking protein particle complex subunit 10 OS=Mus musculus OX=10090 GN=Trappc10 PE=1 SV=3</t>
  </si>
  <si>
    <t>Phenylalanine--tRNA ligase alpha subunit OS=Mus musculus OX=10090 GN=Farsa PE=1 SV=1</t>
  </si>
  <si>
    <t>Mothers against decapentaplegic homolog 4 OS=Mus musculus OX=10090 GN=Smad4 PE=1 SV=2</t>
  </si>
  <si>
    <t>Pyruvate carboxylase, mitochondrial OS=Mus musculus OX=10090 GN=Pc PE=1 SV=1</t>
  </si>
  <si>
    <t>DAZ-associated protein 1 OS=Mus musculus OX=10090 GN=Dazap1 PE=1 SV=2</t>
  </si>
  <si>
    <t>Hormone-sensitive lipase OS=Mus musculus OX=10090 GN=Lipe PE=1 SV=2</t>
  </si>
  <si>
    <t>F-box-like/WD repeat-containing protein TBL1XR1 OS=Mus musculus OX=10090 GN=Tbl1xr1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</si>
</sst>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0.000000"/>
    <numFmt numFmtId="166" formatCode="0.00000000"/>
    <numFmt numFmtId="167" formatCode="0.00000"/>
    <numFmt numFmtId="168" formatCode="0.0000"/>
    <numFmt numFmtId="169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left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7" fontId="1" fillId="2" borderId="0" xfId="0" applyNumberFormat="1" applyFont="1" applyFill="1"/>
    <xf numFmtId="168" fontId="1" fillId="2" borderId="0" xfId="0" applyNumberFormat="1" applyFont="1" applyFill="1"/>
    <xf numFmtId="169" fontId="1" fillId="2" borderId="0" xfId="0" applyNumberFormat="1" applyFont="1" applyFill="1"/>
    <xf numFmtId="0" fontId="0" fillId="2" borderId="0" xfId="0" applyFill="1"/>
    <xf numFmtId="0" fontId="2" fillId="2" borderId="0" xfId="0" applyFont="1" applyFill="1" applyAlignment="1">
      <alignment horizontal="left"/>
    </xf>
    <xf numFmtId="166" fontId="2" fillId="2" borderId="0" xfId="0" applyNumberFormat="1" applyFont="1" applyFill="1"/>
    <xf numFmtId="167" fontId="2" fillId="2" borderId="0" xfId="0" applyNumberFormat="1" applyFont="1" applyFill="1"/>
    <xf numFmtId="168" fontId="2" fillId="2" borderId="0" xfId="0" applyNumberFormat="1" applyFont="1" applyFill="1"/>
    <xf numFmtId="165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167" fontId="0" fillId="2" borderId="0" xfId="0" applyNumberFormat="1" applyFill="1"/>
    <xf numFmtId="168" fontId="0" fillId="2" borderId="0" xfId="0" applyNumberFormat="1" applyFill="1"/>
    <xf numFmtId="169" fontId="0" fillId="2" borderId="0" xfId="0" applyNumberFormat="1" applyFill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 applyAlignment="1">
      <alignment horizontal="center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C802-67E4-4ABA-9059-9688A35A970A}">
  <dimension ref="A1:O2863"/>
  <sheetViews>
    <sheetView tabSelected="1" workbookViewId="0">
      <selection activeCell="D1" sqref="D1:D1048576"/>
    </sheetView>
  </sheetViews>
  <sheetFormatPr defaultColWidth="46" defaultRowHeight="15" x14ac:dyDescent="0.25"/>
  <cols>
    <col min="1" max="1" width="86" customWidth="1"/>
    <col min="2" max="2" width="10.140625" customWidth="1"/>
    <col min="3" max="3" width="10.42578125" customWidth="1"/>
    <col min="4" max="4" width="16.85546875" style="2" customWidth="1"/>
    <col min="5" max="5" width="14.7109375" style="29" customWidth="1"/>
    <col min="6" max="6" width="16.7109375" style="29" customWidth="1"/>
    <col min="7" max="7" width="14.42578125" style="30" customWidth="1"/>
    <col min="8" max="8" width="12.28515625" style="1" customWidth="1"/>
    <col min="9" max="9" width="15.140625" style="30" customWidth="1"/>
    <col min="10" max="10" width="6.42578125" style="32" customWidth="1"/>
    <col min="11" max="11" width="12.7109375" style="1" customWidth="1"/>
    <col min="12" max="12" width="17.7109375" style="29" customWidth="1"/>
    <col min="13" max="13" width="13.7109375" style="29" customWidth="1"/>
    <col min="14" max="14" width="13.42578125" style="30" customWidth="1"/>
    <col min="15" max="15" width="11.42578125" style="31" customWidth="1"/>
  </cols>
  <sheetData>
    <row r="1" spans="1:15" x14ac:dyDescent="0.25">
      <c r="A1" s="4" t="s">
        <v>5729</v>
      </c>
      <c r="B1" s="4" t="s">
        <v>0</v>
      </c>
      <c r="C1" s="5" t="s">
        <v>1</v>
      </c>
      <c r="D1" s="6" t="s">
        <v>4</v>
      </c>
      <c r="E1" s="7" t="s">
        <v>5730</v>
      </c>
      <c r="F1" s="7" t="s">
        <v>5731</v>
      </c>
      <c r="G1" s="8" t="s">
        <v>5732</v>
      </c>
      <c r="H1" s="9" t="s">
        <v>5733</v>
      </c>
      <c r="I1" s="8" t="s">
        <v>5734</v>
      </c>
      <c r="J1" s="10" t="s">
        <v>5735</v>
      </c>
      <c r="K1" s="9" t="s">
        <v>2</v>
      </c>
      <c r="L1" s="11" t="s">
        <v>5736</v>
      </c>
      <c r="M1" s="11" t="s">
        <v>3</v>
      </c>
      <c r="N1" s="12" t="s">
        <v>5737</v>
      </c>
      <c r="O1" s="13" t="s">
        <v>5738</v>
      </c>
    </row>
    <row r="2" spans="1:15" x14ac:dyDescent="0.25">
      <c r="A2" s="14" t="s">
        <v>5739</v>
      </c>
      <c r="B2" s="14" t="s">
        <v>13</v>
      </c>
      <c r="C2" s="15" t="s">
        <v>14</v>
      </c>
      <c r="D2" s="16">
        <v>5.0000000000000004E-6</v>
      </c>
      <c r="E2" s="17">
        <v>7.8639999999999999</v>
      </c>
      <c r="F2" s="17">
        <v>8.99</v>
      </c>
      <c r="G2" s="18">
        <v>-1.127</v>
      </c>
      <c r="H2" s="19">
        <v>7.4450000000000002E-2</v>
      </c>
      <c r="I2" s="18">
        <v>15.14</v>
      </c>
      <c r="J2" s="20">
        <v>6</v>
      </c>
      <c r="K2" s="19">
        <v>2.8029999999999999E-3</v>
      </c>
      <c r="L2" s="21">
        <f t="shared" ref="L2:L65" si="0">-LOG(K2,10)</f>
        <v>2.5523769022397138</v>
      </c>
      <c r="M2" s="21">
        <f t="shared" ref="M2:M65" si="1">LOG(O2,2)</f>
        <v>-1.1259999999999997</v>
      </c>
      <c r="N2" s="22">
        <f t="shared" ref="N2:N65" si="2">-LOG(D2,10)</f>
        <v>5.3010299956639813</v>
      </c>
      <c r="O2" s="23">
        <f t="shared" ref="O2:O65" si="3">((2^E2)/(2^F2))</f>
        <v>0.45818432233767581</v>
      </c>
    </row>
    <row r="3" spans="1:15" x14ac:dyDescent="0.25">
      <c r="A3" s="14" t="s">
        <v>5740</v>
      </c>
      <c r="B3" s="14" t="s">
        <v>21</v>
      </c>
      <c r="C3" s="15" t="s">
        <v>22</v>
      </c>
      <c r="D3" s="16">
        <v>1.0000000000000001E-5</v>
      </c>
      <c r="E3" s="17">
        <v>11.15</v>
      </c>
      <c r="F3" s="17">
        <v>10.76</v>
      </c>
      <c r="G3" s="18">
        <v>0.38550000000000001</v>
      </c>
      <c r="H3" s="19">
        <v>2.8410000000000001E-2</v>
      </c>
      <c r="I3" s="18">
        <v>13.57</v>
      </c>
      <c r="J3" s="20">
        <v>6</v>
      </c>
      <c r="K3" s="19">
        <v>2.8029999999999999E-3</v>
      </c>
      <c r="L3" s="21">
        <f t="shared" si="0"/>
        <v>2.5523769022397138</v>
      </c>
      <c r="M3" s="21">
        <f t="shared" si="1"/>
        <v>0.38999999999999962</v>
      </c>
      <c r="N3" s="22">
        <f t="shared" si="2"/>
        <v>5</v>
      </c>
      <c r="O3" s="23">
        <f t="shared" si="3"/>
        <v>1.3103934038583629</v>
      </c>
    </row>
    <row r="4" spans="1:15" x14ac:dyDescent="0.25">
      <c r="A4" s="14" t="s">
        <v>5741</v>
      </c>
      <c r="B4" s="14" t="s">
        <v>7</v>
      </c>
      <c r="C4" s="15" t="s">
        <v>8</v>
      </c>
      <c r="D4" s="16">
        <v>3.0000000000000001E-6</v>
      </c>
      <c r="E4" s="17">
        <v>9.5760000000000005</v>
      </c>
      <c r="F4" s="17">
        <v>10.34</v>
      </c>
      <c r="G4" s="18">
        <v>-0.76329999999999998</v>
      </c>
      <c r="H4" s="19">
        <v>4.6600000000000003E-2</v>
      </c>
      <c r="I4" s="18">
        <v>16.38</v>
      </c>
      <c r="J4" s="20">
        <v>6</v>
      </c>
      <c r="K4" s="19">
        <v>2.8029999999999999E-3</v>
      </c>
      <c r="L4" s="21">
        <f t="shared" si="0"/>
        <v>2.5523769022397138</v>
      </c>
      <c r="M4" s="21">
        <f t="shared" si="1"/>
        <v>-0.76399999999999912</v>
      </c>
      <c r="N4" s="22">
        <f t="shared" si="2"/>
        <v>5.5228787452803374</v>
      </c>
      <c r="O4" s="23">
        <f t="shared" si="3"/>
        <v>0.58886139479749111</v>
      </c>
    </row>
    <row r="5" spans="1:15" x14ac:dyDescent="0.25">
      <c r="A5" s="14" t="s">
        <v>5742</v>
      </c>
      <c r="B5" s="14" t="s">
        <v>19</v>
      </c>
      <c r="C5" s="15" t="s">
        <v>20</v>
      </c>
      <c r="D5" s="16">
        <v>9.0000000000000002E-6</v>
      </c>
      <c r="E5" s="17">
        <v>10.15</v>
      </c>
      <c r="F5" s="17">
        <v>11.77</v>
      </c>
      <c r="G5" s="18">
        <v>-1.625</v>
      </c>
      <c r="H5" s="19">
        <v>0.1168</v>
      </c>
      <c r="I5" s="18">
        <v>13.91</v>
      </c>
      <c r="J5" s="20">
        <v>6</v>
      </c>
      <c r="K5" s="19">
        <v>2.8029999999999999E-3</v>
      </c>
      <c r="L5" s="21">
        <f t="shared" si="0"/>
        <v>2.5523769022397138</v>
      </c>
      <c r="M5" s="21">
        <f t="shared" si="1"/>
        <v>-1.6199999999999986</v>
      </c>
      <c r="N5" s="22">
        <f t="shared" si="2"/>
        <v>5.0457574905606748</v>
      </c>
      <c r="O5" s="23">
        <f t="shared" si="3"/>
        <v>0.32533546386048373</v>
      </c>
    </row>
    <row r="6" spans="1:15" x14ac:dyDescent="0.25">
      <c r="A6" s="14" t="s">
        <v>5743</v>
      </c>
      <c r="B6" s="14" t="s">
        <v>23</v>
      </c>
      <c r="C6" s="15" t="s">
        <v>24</v>
      </c>
      <c r="D6" s="16">
        <v>1.2E-5</v>
      </c>
      <c r="E6" s="17">
        <v>9.7159999999999993</v>
      </c>
      <c r="F6" s="17">
        <v>8.4350000000000005</v>
      </c>
      <c r="G6" s="18">
        <v>1.2809999999999999</v>
      </c>
      <c r="H6" s="19">
        <v>9.7360000000000002E-2</v>
      </c>
      <c r="I6" s="18">
        <v>13.16</v>
      </c>
      <c r="J6" s="20">
        <v>6</v>
      </c>
      <c r="K6" s="19">
        <v>2.8029999999999999E-3</v>
      </c>
      <c r="L6" s="21">
        <f t="shared" si="0"/>
        <v>2.5523769022397138</v>
      </c>
      <c r="M6" s="21">
        <f t="shared" si="1"/>
        <v>1.2809999999999986</v>
      </c>
      <c r="N6" s="22">
        <f t="shared" si="2"/>
        <v>4.9208187539523749</v>
      </c>
      <c r="O6" s="23">
        <f t="shared" si="3"/>
        <v>2.4300735838100294</v>
      </c>
    </row>
    <row r="7" spans="1:15" x14ac:dyDescent="0.25">
      <c r="A7" s="14" t="s">
        <v>5744</v>
      </c>
      <c r="B7" s="14" t="s">
        <v>27</v>
      </c>
      <c r="C7" s="15" t="s">
        <v>28</v>
      </c>
      <c r="D7" s="16">
        <v>1.2E-5</v>
      </c>
      <c r="E7" s="17">
        <v>12.56</v>
      </c>
      <c r="F7" s="17">
        <v>11.15</v>
      </c>
      <c r="G7" s="18">
        <v>1.409</v>
      </c>
      <c r="H7" s="19">
        <v>0.1075</v>
      </c>
      <c r="I7" s="18">
        <v>13.1</v>
      </c>
      <c r="J7" s="20">
        <v>6</v>
      </c>
      <c r="K7" s="19">
        <v>2.8029999999999999E-3</v>
      </c>
      <c r="L7" s="21">
        <f t="shared" si="0"/>
        <v>2.5523769022397138</v>
      </c>
      <c r="M7" s="21">
        <f t="shared" si="1"/>
        <v>1.4100000000000006</v>
      </c>
      <c r="N7" s="22">
        <f t="shared" si="2"/>
        <v>4.9208187539523749</v>
      </c>
      <c r="O7" s="23">
        <f t="shared" si="3"/>
        <v>2.6573716281930242</v>
      </c>
    </row>
    <row r="8" spans="1:15" x14ac:dyDescent="0.25">
      <c r="A8" s="14" t="s">
        <v>5745</v>
      </c>
      <c r="B8" s="14" t="s">
        <v>17</v>
      </c>
      <c r="C8" s="15" t="s">
        <v>18</v>
      </c>
      <c r="D8" s="16">
        <v>7.9999999999999996E-6</v>
      </c>
      <c r="E8" s="17">
        <v>11.7</v>
      </c>
      <c r="F8" s="17">
        <v>10.97</v>
      </c>
      <c r="G8" s="18">
        <v>0.7298</v>
      </c>
      <c r="H8" s="19">
        <v>5.228E-2</v>
      </c>
      <c r="I8" s="18">
        <v>13.96</v>
      </c>
      <c r="J8" s="20">
        <v>6</v>
      </c>
      <c r="K8" s="19">
        <v>2.8029999999999999E-3</v>
      </c>
      <c r="L8" s="21">
        <f t="shared" si="0"/>
        <v>2.5523769022397138</v>
      </c>
      <c r="M8" s="21">
        <f t="shared" si="1"/>
        <v>0.72999999999999732</v>
      </c>
      <c r="N8" s="22">
        <f t="shared" si="2"/>
        <v>5.0969100130080554</v>
      </c>
      <c r="O8" s="23">
        <f t="shared" si="3"/>
        <v>1.6586390916288802</v>
      </c>
    </row>
    <row r="9" spans="1:15" x14ac:dyDescent="0.25">
      <c r="A9" s="14" t="s">
        <v>5746</v>
      </c>
      <c r="B9" s="14" t="s">
        <v>11</v>
      </c>
      <c r="C9" s="15" t="s">
        <v>12</v>
      </c>
      <c r="D9" s="16">
        <v>5.0000000000000004E-6</v>
      </c>
      <c r="E9" s="17">
        <v>11.22</v>
      </c>
      <c r="F9" s="17">
        <v>11.96</v>
      </c>
      <c r="G9" s="18">
        <v>-0.73819999999999997</v>
      </c>
      <c r="H9" s="19">
        <v>4.7969999999999999E-2</v>
      </c>
      <c r="I9" s="18">
        <v>15.39</v>
      </c>
      <c r="J9" s="20">
        <v>6</v>
      </c>
      <c r="K9" s="19">
        <v>2.8029999999999999E-3</v>
      </c>
      <c r="L9" s="21">
        <f t="shared" si="0"/>
        <v>2.5523769022397138</v>
      </c>
      <c r="M9" s="21">
        <f t="shared" si="1"/>
        <v>-0.74000000000000032</v>
      </c>
      <c r="N9" s="22">
        <f t="shared" si="2"/>
        <v>5.3010299956639813</v>
      </c>
      <c r="O9" s="23">
        <f t="shared" si="3"/>
        <v>0.59873935230946418</v>
      </c>
    </row>
    <row r="10" spans="1:15" x14ac:dyDescent="0.25">
      <c r="A10" s="14" t="s">
        <v>5747</v>
      </c>
      <c r="B10" s="14" t="s">
        <v>5</v>
      </c>
      <c r="C10" s="15" t="s">
        <v>6</v>
      </c>
      <c r="D10" s="16">
        <v>1.9999999999999999E-6</v>
      </c>
      <c r="E10" s="17">
        <v>10.23</v>
      </c>
      <c r="F10" s="17">
        <v>9.093</v>
      </c>
      <c r="G10" s="18">
        <v>1.1359999999999999</v>
      </c>
      <c r="H10" s="19">
        <v>6.2289999999999998E-2</v>
      </c>
      <c r="I10" s="18">
        <v>18.239999999999998</v>
      </c>
      <c r="J10" s="20">
        <v>6</v>
      </c>
      <c r="K10" s="19">
        <v>2.8029999999999999E-3</v>
      </c>
      <c r="L10" s="21">
        <f t="shared" si="0"/>
        <v>2.5523769022397138</v>
      </c>
      <c r="M10" s="21">
        <f t="shared" si="1"/>
        <v>1.1370000000000007</v>
      </c>
      <c r="N10" s="22">
        <f t="shared" si="2"/>
        <v>5.6989700043360179</v>
      </c>
      <c r="O10" s="23">
        <f t="shared" si="3"/>
        <v>2.1992322986291035</v>
      </c>
    </row>
    <row r="11" spans="1:15" x14ac:dyDescent="0.25">
      <c r="A11" s="14" t="s">
        <v>5748</v>
      </c>
      <c r="B11" s="14" t="s">
        <v>15</v>
      </c>
      <c r="C11" s="15" t="s">
        <v>16</v>
      </c>
      <c r="D11" s="16">
        <v>7.9999999999999996E-6</v>
      </c>
      <c r="E11" s="17">
        <v>10.28</v>
      </c>
      <c r="F11" s="17">
        <v>10.79</v>
      </c>
      <c r="G11" s="18">
        <v>-0.50639999999999996</v>
      </c>
      <c r="H11" s="19">
        <v>3.6089999999999997E-2</v>
      </c>
      <c r="I11" s="18">
        <v>14.03</v>
      </c>
      <c r="J11" s="20">
        <v>6</v>
      </c>
      <c r="K11" s="19">
        <v>2.8029999999999999E-3</v>
      </c>
      <c r="L11" s="21">
        <f t="shared" si="0"/>
        <v>2.5523769022397138</v>
      </c>
      <c r="M11" s="21">
        <f t="shared" si="1"/>
        <v>-0.50999999999999901</v>
      </c>
      <c r="N11" s="22">
        <f t="shared" si="2"/>
        <v>5.0969100130080554</v>
      </c>
      <c r="O11" s="23">
        <f t="shared" si="3"/>
        <v>0.70222243786899907</v>
      </c>
    </row>
    <row r="12" spans="1:15" x14ac:dyDescent="0.25">
      <c r="A12" s="14" t="s">
        <v>5749</v>
      </c>
      <c r="B12" s="14" t="s">
        <v>25</v>
      </c>
      <c r="C12" s="15" t="s">
        <v>26</v>
      </c>
      <c r="D12" s="16">
        <v>1.2E-5</v>
      </c>
      <c r="E12" s="17">
        <v>9.4920000000000009</v>
      </c>
      <c r="F12" s="17">
        <v>8.766</v>
      </c>
      <c r="G12" s="18">
        <v>0.72529999999999994</v>
      </c>
      <c r="H12" s="19">
        <v>5.5280000000000003E-2</v>
      </c>
      <c r="I12" s="18">
        <v>13.12</v>
      </c>
      <c r="J12" s="20">
        <v>6</v>
      </c>
      <c r="K12" s="19">
        <v>2.8029999999999999E-3</v>
      </c>
      <c r="L12" s="21">
        <f t="shared" si="0"/>
        <v>2.5523769022397138</v>
      </c>
      <c r="M12" s="21">
        <f t="shared" si="1"/>
        <v>0.72600000000000087</v>
      </c>
      <c r="N12" s="22">
        <f t="shared" si="2"/>
        <v>4.9208187539523749</v>
      </c>
      <c r="O12" s="23">
        <f t="shared" si="3"/>
        <v>1.6540467368865321</v>
      </c>
    </row>
    <row r="13" spans="1:15" x14ac:dyDescent="0.25">
      <c r="A13" s="14" t="s">
        <v>5750</v>
      </c>
      <c r="B13" s="14" t="s">
        <v>9</v>
      </c>
      <c r="C13" s="15" t="s">
        <v>10</v>
      </c>
      <c r="D13" s="16">
        <v>3.9999999999999998E-6</v>
      </c>
      <c r="E13" s="17">
        <v>12.15</v>
      </c>
      <c r="F13" s="17">
        <v>11.59</v>
      </c>
      <c r="G13" s="18">
        <v>0.56689999999999996</v>
      </c>
      <c r="H13" s="19">
        <v>3.5360000000000003E-2</v>
      </c>
      <c r="I13" s="18">
        <v>16.03</v>
      </c>
      <c r="J13" s="20">
        <v>6</v>
      </c>
      <c r="K13" s="19">
        <v>2.8029999999999999E-3</v>
      </c>
      <c r="L13" s="21">
        <f t="shared" si="0"/>
        <v>2.5523769022397138</v>
      </c>
      <c r="M13" s="21">
        <f t="shared" si="1"/>
        <v>0.56000000000000105</v>
      </c>
      <c r="N13" s="22">
        <f t="shared" si="2"/>
        <v>5.3979400086720366</v>
      </c>
      <c r="O13" s="23">
        <f t="shared" si="3"/>
        <v>1.4742692172911023</v>
      </c>
    </row>
    <row r="14" spans="1:15" x14ac:dyDescent="0.25">
      <c r="A14" s="14" t="s">
        <v>5751</v>
      </c>
      <c r="B14" s="14" t="s">
        <v>29</v>
      </c>
      <c r="C14" s="15" t="s">
        <v>30</v>
      </c>
      <c r="D14" s="16">
        <v>1.5E-5</v>
      </c>
      <c r="E14" s="17">
        <v>9.32</v>
      </c>
      <c r="F14" s="17">
        <v>9.9939999999999998</v>
      </c>
      <c r="G14" s="18">
        <v>-0.67320000000000002</v>
      </c>
      <c r="H14" s="19">
        <v>5.3170000000000002E-2</v>
      </c>
      <c r="I14" s="18">
        <v>12.66</v>
      </c>
      <c r="J14" s="20">
        <v>6</v>
      </c>
      <c r="K14" s="19">
        <v>3.163E-3</v>
      </c>
      <c r="L14" s="21">
        <f t="shared" si="0"/>
        <v>2.4999008080842771</v>
      </c>
      <c r="M14" s="21">
        <f t="shared" si="1"/>
        <v>-0.67400000000000049</v>
      </c>
      <c r="N14" s="22">
        <f t="shared" si="2"/>
        <v>4.8239087409443187</v>
      </c>
      <c r="O14" s="23">
        <f t="shared" si="3"/>
        <v>0.62676651022034502</v>
      </c>
    </row>
    <row r="15" spans="1:15" x14ac:dyDescent="0.25">
      <c r="A15" s="14" t="s">
        <v>5752</v>
      </c>
      <c r="B15" s="14" t="s">
        <v>33</v>
      </c>
      <c r="C15" s="15" t="s">
        <v>34</v>
      </c>
      <c r="D15" s="16">
        <v>2.4000000000000001E-5</v>
      </c>
      <c r="E15" s="17">
        <v>11.27</v>
      </c>
      <c r="F15" s="17">
        <v>9.3079999999999998</v>
      </c>
      <c r="G15" s="18">
        <v>1.962</v>
      </c>
      <c r="H15" s="19">
        <v>0.16830000000000001</v>
      </c>
      <c r="I15" s="18">
        <v>11.66</v>
      </c>
      <c r="J15" s="20">
        <v>6</v>
      </c>
      <c r="K15" s="19">
        <v>4.4229999999999998E-3</v>
      </c>
      <c r="L15" s="21">
        <f t="shared" si="0"/>
        <v>2.3542830606303959</v>
      </c>
      <c r="M15" s="21">
        <f t="shared" si="1"/>
        <v>1.9619999999999995</v>
      </c>
      <c r="N15" s="22">
        <f t="shared" si="2"/>
        <v>4.6197887582883936</v>
      </c>
      <c r="O15" s="23">
        <f t="shared" si="3"/>
        <v>3.8960170741729625</v>
      </c>
    </row>
    <row r="16" spans="1:15" x14ac:dyDescent="0.25">
      <c r="A16" s="14" t="s">
        <v>5753</v>
      </c>
      <c r="B16" s="14" t="s">
        <v>31</v>
      </c>
      <c r="C16" s="15" t="s">
        <v>32</v>
      </c>
      <c r="D16" s="16">
        <v>2.4000000000000001E-5</v>
      </c>
      <c r="E16" s="17">
        <v>9.69</v>
      </c>
      <c r="F16" s="17">
        <v>9.2449999999999992</v>
      </c>
      <c r="G16" s="18">
        <v>0.44469999999999998</v>
      </c>
      <c r="H16" s="19">
        <v>3.8129999999999997E-2</v>
      </c>
      <c r="I16" s="18">
        <v>11.66</v>
      </c>
      <c r="J16" s="20">
        <v>6</v>
      </c>
      <c r="K16" s="19">
        <v>4.4229999999999998E-3</v>
      </c>
      <c r="L16" s="21">
        <f t="shared" si="0"/>
        <v>2.3542830606303959</v>
      </c>
      <c r="M16" s="21">
        <f t="shared" si="1"/>
        <v>0.44500000000000117</v>
      </c>
      <c r="N16" s="22">
        <f t="shared" si="2"/>
        <v>4.6197887582883936</v>
      </c>
      <c r="O16" s="23">
        <f t="shared" si="3"/>
        <v>1.3613141164994744</v>
      </c>
    </row>
    <row r="17" spans="1:15" x14ac:dyDescent="0.25">
      <c r="A17" s="14" t="s">
        <v>5754</v>
      </c>
      <c r="B17" s="14" t="s">
        <v>41</v>
      </c>
      <c r="C17" s="15" t="s">
        <v>42</v>
      </c>
      <c r="D17" s="16">
        <v>3.1999999999999999E-5</v>
      </c>
      <c r="E17" s="17">
        <v>13.16</v>
      </c>
      <c r="F17" s="17">
        <v>13.99</v>
      </c>
      <c r="G17" s="18">
        <v>-0.83150000000000002</v>
      </c>
      <c r="H17" s="19">
        <v>7.5029999999999999E-2</v>
      </c>
      <c r="I17" s="18">
        <v>11.08</v>
      </c>
      <c r="J17" s="20">
        <v>6</v>
      </c>
      <c r="K17" s="19">
        <v>4.424E-3</v>
      </c>
      <c r="L17" s="21">
        <f t="shared" si="0"/>
        <v>2.3541848817033579</v>
      </c>
      <c r="M17" s="21">
        <f t="shared" si="1"/>
        <v>-0.83</v>
      </c>
      <c r="N17" s="22">
        <f t="shared" si="2"/>
        <v>4.4948500216800937</v>
      </c>
      <c r="O17" s="23">
        <f t="shared" si="3"/>
        <v>0.56252924234440471</v>
      </c>
    </row>
    <row r="18" spans="1:15" x14ac:dyDescent="0.25">
      <c r="A18" s="14" t="s">
        <v>5755</v>
      </c>
      <c r="B18" s="14" t="s">
        <v>43</v>
      </c>
      <c r="C18" s="15" t="s">
        <v>44</v>
      </c>
      <c r="D18" s="16">
        <v>3.1999999999999999E-5</v>
      </c>
      <c r="E18" s="17">
        <v>10.09</v>
      </c>
      <c r="F18" s="17">
        <v>10.81</v>
      </c>
      <c r="G18" s="18">
        <v>-0.72289999999999999</v>
      </c>
      <c r="H18" s="19">
        <v>6.5250000000000002E-2</v>
      </c>
      <c r="I18" s="18">
        <v>11.08</v>
      </c>
      <c r="J18" s="20">
        <v>6</v>
      </c>
      <c r="K18" s="19">
        <v>4.424E-3</v>
      </c>
      <c r="L18" s="21">
        <f t="shared" si="0"/>
        <v>2.3541848817033579</v>
      </c>
      <c r="M18" s="21">
        <f t="shared" si="1"/>
        <v>-0.72000000000000097</v>
      </c>
      <c r="N18" s="22">
        <f t="shared" si="2"/>
        <v>4.4948500216800937</v>
      </c>
      <c r="O18" s="23">
        <f t="shared" si="3"/>
        <v>0.60709744219752304</v>
      </c>
    </row>
    <row r="19" spans="1:15" x14ac:dyDescent="0.25">
      <c r="A19" s="14" t="s">
        <v>5756</v>
      </c>
      <c r="B19" s="14" t="s">
        <v>45</v>
      </c>
      <c r="C19" s="15" t="s">
        <v>46</v>
      </c>
      <c r="D19" s="16">
        <v>3.4E-5</v>
      </c>
      <c r="E19" s="17">
        <v>11.02</v>
      </c>
      <c r="F19" s="17">
        <v>11.54</v>
      </c>
      <c r="G19" s="18">
        <v>-0.51959999999999995</v>
      </c>
      <c r="H19" s="19">
        <v>4.725E-2</v>
      </c>
      <c r="I19" s="18">
        <v>11</v>
      </c>
      <c r="J19" s="20">
        <v>6</v>
      </c>
      <c r="K19" s="19">
        <v>4.424E-3</v>
      </c>
      <c r="L19" s="21">
        <f t="shared" si="0"/>
        <v>2.3541848817033579</v>
      </c>
      <c r="M19" s="21">
        <f t="shared" si="1"/>
        <v>-0.51999999999999968</v>
      </c>
      <c r="N19" s="22">
        <f t="shared" si="2"/>
        <v>4.4685210829577446</v>
      </c>
      <c r="O19" s="23">
        <f t="shared" si="3"/>
        <v>0.6973718331752029</v>
      </c>
    </row>
    <row r="20" spans="1:15" x14ac:dyDescent="0.25">
      <c r="A20" s="14" t="s">
        <v>5757</v>
      </c>
      <c r="B20" s="14" t="s">
        <v>35</v>
      </c>
      <c r="C20" s="15" t="s">
        <v>36</v>
      </c>
      <c r="D20" s="16">
        <v>2.9E-5</v>
      </c>
      <c r="E20" s="17">
        <v>10.46</v>
      </c>
      <c r="F20" s="17">
        <v>11.45</v>
      </c>
      <c r="G20" s="18">
        <v>-0.99260000000000004</v>
      </c>
      <c r="H20" s="19">
        <v>8.8190000000000004E-2</v>
      </c>
      <c r="I20" s="18">
        <v>11.26</v>
      </c>
      <c r="J20" s="20">
        <v>6</v>
      </c>
      <c r="K20" s="19">
        <v>4.424E-3</v>
      </c>
      <c r="L20" s="21">
        <f t="shared" si="0"/>
        <v>2.3541848817033579</v>
      </c>
      <c r="M20" s="21">
        <f t="shared" si="1"/>
        <v>-0.98999999999999833</v>
      </c>
      <c r="N20" s="22">
        <f t="shared" si="2"/>
        <v>4.5376020021010435</v>
      </c>
      <c r="O20" s="23">
        <f t="shared" si="3"/>
        <v>0.50347777502836</v>
      </c>
    </row>
    <row r="21" spans="1:15" x14ac:dyDescent="0.25">
      <c r="A21" s="14" t="s">
        <v>5758</v>
      </c>
      <c r="B21" s="14" t="s">
        <v>39</v>
      </c>
      <c r="C21" s="15" t="s">
        <v>40</v>
      </c>
      <c r="D21" s="16">
        <v>3.1000000000000001E-5</v>
      </c>
      <c r="E21" s="17">
        <v>11.41</v>
      </c>
      <c r="F21" s="17">
        <v>10.57</v>
      </c>
      <c r="G21" s="18">
        <v>0.83760000000000001</v>
      </c>
      <c r="H21" s="19">
        <v>7.5120000000000006E-2</v>
      </c>
      <c r="I21" s="18">
        <v>11.15</v>
      </c>
      <c r="J21" s="20">
        <v>6</v>
      </c>
      <c r="K21" s="19">
        <v>4.424E-3</v>
      </c>
      <c r="L21" s="21">
        <f t="shared" si="0"/>
        <v>2.3541848817033579</v>
      </c>
      <c r="M21" s="21">
        <f t="shared" si="1"/>
        <v>0.83999999999999908</v>
      </c>
      <c r="N21" s="22">
        <f t="shared" si="2"/>
        <v>4.5086383061657269</v>
      </c>
      <c r="O21" s="23">
        <f t="shared" si="3"/>
        <v>1.7900501418559438</v>
      </c>
    </row>
    <row r="22" spans="1:15" x14ac:dyDescent="0.25">
      <c r="A22" s="14" t="s">
        <v>5759</v>
      </c>
      <c r="B22" s="14" t="s">
        <v>37</v>
      </c>
      <c r="C22" s="15" t="s">
        <v>38</v>
      </c>
      <c r="D22" s="16">
        <v>3.0000000000000001E-5</v>
      </c>
      <c r="E22" s="17">
        <v>13.55</v>
      </c>
      <c r="F22" s="17">
        <v>14.76</v>
      </c>
      <c r="G22" s="18">
        <v>-1.2190000000000001</v>
      </c>
      <c r="H22" s="19">
        <v>0.1087</v>
      </c>
      <c r="I22" s="18">
        <v>11.22</v>
      </c>
      <c r="J22" s="20">
        <v>6</v>
      </c>
      <c r="K22" s="19">
        <v>4.424E-3</v>
      </c>
      <c r="L22" s="21">
        <f t="shared" si="0"/>
        <v>2.3541848817033579</v>
      </c>
      <c r="M22" s="21">
        <f t="shared" si="1"/>
        <v>-1.2099999999999993</v>
      </c>
      <c r="N22" s="22">
        <f t="shared" si="2"/>
        <v>4.5228787452803374</v>
      </c>
      <c r="O22" s="23">
        <f t="shared" si="3"/>
        <v>0.43226861565393282</v>
      </c>
    </row>
    <row r="23" spans="1:15" x14ac:dyDescent="0.25">
      <c r="A23" s="14" t="s">
        <v>5760</v>
      </c>
      <c r="B23" s="14" t="s">
        <v>51</v>
      </c>
      <c r="C23" s="15" t="s">
        <v>52</v>
      </c>
      <c r="D23" s="16">
        <v>3.8999999999999999E-5</v>
      </c>
      <c r="E23" s="17">
        <v>11.91</v>
      </c>
      <c r="F23" s="17">
        <v>10.91</v>
      </c>
      <c r="G23" s="18">
        <v>1.0009999999999999</v>
      </c>
      <c r="H23" s="19">
        <v>9.3460000000000001E-2</v>
      </c>
      <c r="I23" s="18">
        <v>10.71</v>
      </c>
      <c r="J23" s="20">
        <v>6</v>
      </c>
      <c r="K23" s="19">
        <v>4.4970000000000001E-3</v>
      </c>
      <c r="L23" s="21">
        <f t="shared" si="0"/>
        <v>2.347077112432058</v>
      </c>
      <c r="M23" s="21">
        <f t="shared" si="1"/>
        <v>1.0000000000000002</v>
      </c>
      <c r="N23" s="22">
        <f t="shared" si="2"/>
        <v>4.4089353929735005</v>
      </c>
      <c r="O23" s="23">
        <f t="shared" si="3"/>
        <v>2.0000000000000004</v>
      </c>
    </row>
    <row r="24" spans="1:15" x14ac:dyDescent="0.25">
      <c r="A24" s="14" t="s">
        <v>5761</v>
      </c>
      <c r="B24" s="14" t="s">
        <v>49</v>
      </c>
      <c r="C24" s="15" t="s">
        <v>50</v>
      </c>
      <c r="D24" s="16">
        <v>3.8000000000000002E-5</v>
      </c>
      <c r="E24" s="17">
        <v>8.5359999999999996</v>
      </c>
      <c r="F24" s="17">
        <v>9.6300000000000008</v>
      </c>
      <c r="G24" s="18">
        <v>-1.0940000000000001</v>
      </c>
      <c r="H24" s="19">
        <v>0.1014</v>
      </c>
      <c r="I24" s="18">
        <v>10.79</v>
      </c>
      <c r="J24" s="20">
        <v>6</v>
      </c>
      <c r="K24" s="19">
        <v>4.4970000000000001E-3</v>
      </c>
      <c r="L24" s="21">
        <f t="shared" si="0"/>
        <v>2.347077112432058</v>
      </c>
      <c r="M24" s="21">
        <f t="shared" si="1"/>
        <v>-1.0940000000000016</v>
      </c>
      <c r="N24" s="22">
        <f t="shared" si="2"/>
        <v>4.420216403383189</v>
      </c>
      <c r="O24" s="23">
        <f t="shared" si="3"/>
        <v>0.46846072343621226</v>
      </c>
    </row>
    <row r="25" spans="1:15" x14ac:dyDescent="0.25">
      <c r="A25" s="14" t="s">
        <v>5762</v>
      </c>
      <c r="B25" s="14" t="s">
        <v>47</v>
      </c>
      <c r="C25" s="15" t="s">
        <v>48</v>
      </c>
      <c r="D25" s="16">
        <v>3.6999999999999998E-5</v>
      </c>
      <c r="E25" s="17">
        <v>9.7100000000000009</v>
      </c>
      <c r="F25" s="17">
        <v>8.1039999999999992</v>
      </c>
      <c r="G25" s="18">
        <v>1.6060000000000001</v>
      </c>
      <c r="H25" s="19">
        <v>0.1487</v>
      </c>
      <c r="I25" s="18">
        <v>10.8</v>
      </c>
      <c r="J25" s="20">
        <v>6</v>
      </c>
      <c r="K25" s="19">
        <v>4.4970000000000001E-3</v>
      </c>
      <c r="L25" s="21">
        <f t="shared" si="0"/>
        <v>2.347077112432058</v>
      </c>
      <c r="M25" s="21">
        <f t="shared" si="1"/>
        <v>1.6060000000000012</v>
      </c>
      <c r="N25" s="22">
        <f t="shared" si="2"/>
        <v>4.431798275933005</v>
      </c>
      <c r="O25" s="23">
        <f t="shared" si="3"/>
        <v>3.0440667616787187</v>
      </c>
    </row>
    <row r="26" spans="1:15" x14ac:dyDescent="0.25">
      <c r="A26" s="14" t="s">
        <v>5763</v>
      </c>
      <c r="B26" s="14" t="s">
        <v>53</v>
      </c>
      <c r="C26" s="15" t="s">
        <v>54</v>
      </c>
      <c r="D26" s="16">
        <v>4.1999999999999998E-5</v>
      </c>
      <c r="E26" s="17">
        <v>12.47</v>
      </c>
      <c r="F26" s="17">
        <v>13.8</v>
      </c>
      <c r="G26" s="18">
        <v>-1.3360000000000001</v>
      </c>
      <c r="H26" s="19">
        <v>0.12609999999999999</v>
      </c>
      <c r="I26" s="18">
        <v>10.6</v>
      </c>
      <c r="J26" s="20">
        <v>6</v>
      </c>
      <c r="K26" s="19">
        <v>4.5329999999999997E-3</v>
      </c>
      <c r="L26" s="21">
        <f t="shared" si="0"/>
        <v>2.3436142809413121</v>
      </c>
      <c r="M26" s="21">
        <f t="shared" si="1"/>
        <v>-1.329999999999999</v>
      </c>
      <c r="N26" s="22">
        <f t="shared" si="2"/>
        <v>4.3767507096020992</v>
      </c>
      <c r="O26" s="23">
        <f t="shared" si="3"/>
        <v>0.39776824187745963</v>
      </c>
    </row>
    <row r="27" spans="1:15" x14ac:dyDescent="0.25">
      <c r="A27" s="14" t="s">
        <v>5764</v>
      </c>
      <c r="B27" s="14" t="s">
        <v>55</v>
      </c>
      <c r="C27" s="15" t="s">
        <v>56</v>
      </c>
      <c r="D27" s="16">
        <v>4.5000000000000003E-5</v>
      </c>
      <c r="E27" s="17">
        <v>9.1929999999999996</v>
      </c>
      <c r="F27" s="17">
        <v>9.9459999999999997</v>
      </c>
      <c r="G27" s="18">
        <v>-0.75280000000000002</v>
      </c>
      <c r="H27" s="19">
        <v>7.1900000000000006E-2</v>
      </c>
      <c r="I27" s="18">
        <v>10.47</v>
      </c>
      <c r="J27" s="20">
        <v>6</v>
      </c>
      <c r="K27" s="19">
        <v>4.5329999999999997E-3</v>
      </c>
      <c r="L27" s="21">
        <f t="shared" si="0"/>
        <v>2.3436142809413121</v>
      </c>
      <c r="M27" s="21">
        <f t="shared" si="1"/>
        <v>-0.75299999999999967</v>
      </c>
      <c r="N27" s="22">
        <f t="shared" si="2"/>
        <v>4.346787486224656</v>
      </c>
      <c r="O27" s="23">
        <f t="shared" si="3"/>
        <v>0.5933683988282662</v>
      </c>
    </row>
    <row r="28" spans="1:15" x14ac:dyDescent="0.25">
      <c r="A28" s="14" t="s">
        <v>5765</v>
      </c>
      <c r="B28" s="14" t="s">
        <v>57</v>
      </c>
      <c r="C28" s="15" t="s">
        <v>58</v>
      </c>
      <c r="D28" s="16">
        <v>4.6E-5</v>
      </c>
      <c r="E28" s="17">
        <v>10.37</v>
      </c>
      <c r="F28" s="17">
        <v>11.47</v>
      </c>
      <c r="G28" s="18">
        <v>-1.101</v>
      </c>
      <c r="H28" s="19">
        <v>0.1057</v>
      </c>
      <c r="I28" s="18">
        <v>10.41</v>
      </c>
      <c r="J28" s="20">
        <v>6</v>
      </c>
      <c r="K28" s="19">
        <v>4.5329999999999997E-3</v>
      </c>
      <c r="L28" s="21">
        <f t="shared" si="0"/>
        <v>2.3436142809413121</v>
      </c>
      <c r="M28" s="21">
        <f t="shared" si="1"/>
        <v>-1.1000000000000016</v>
      </c>
      <c r="N28" s="22">
        <f t="shared" si="2"/>
        <v>4.3372421683184257</v>
      </c>
      <c r="O28" s="23">
        <f t="shared" si="3"/>
        <v>0.46651649576840321</v>
      </c>
    </row>
    <row r="29" spans="1:15" x14ac:dyDescent="0.25">
      <c r="A29" s="14" t="s">
        <v>5766</v>
      </c>
      <c r="B29" s="14" t="s">
        <v>59</v>
      </c>
      <c r="C29" s="15" t="s">
        <v>60</v>
      </c>
      <c r="D29" s="16">
        <v>4.6E-5</v>
      </c>
      <c r="E29" s="17">
        <v>12.03</v>
      </c>
      <c r="F29" s="17">
        <v>11.08</v>
      </c>
      <c r="G29" s="18">
        <v>0.95079999999999998</v>
      </c>
      <c r="H29" s="19">
        <v>9.1310000000000002E-2</v>
      </c>
      <c r="I29" s="18">
        <v>10.41</v>
      </c>
      <c r="J29" s="20">
        <v>6</v>
      </c>
      <c r="K29" s="19">
        <v>4.5329999999999997E-3</v>
      </c>
      <c r="L29" s="21">
        <f t="shared" si="0"/>
        <v>2.3436142809413121</v>
      </c>
      <c r="M29" s="21">
        <f t="shared" si="1"/>
        <v>0.94999999999999962</v>
      </c>
      <c r="N29" s="22">
        <f t="shared" si="2"/>
        <v>4.3372421683184257</v>
      </c>
      <c r="O29" s="23">
        <f t="shared" si="3"/>
        <v>1.9318726578496905</v>
      </c>
    </row>
    <row r="30" spans="1:15" x14ac:dyDescent="0.25">
      <c r="A30" s="14" t="s">
        <v>5767</v>
      </c>
      <c r="B30" s="14" t="s">
        <v>67</v>
      </c>
      <c r="C30" s="15" t="s">
        <v>68</v>
      </c>
      <c r="D30" s="16">
        <v>5.8E-5</v>
      </c>
      <c r="E30" s="17">
        <v>9.8109999999999999</v>
      </c>
      <c r="F30" s="17">
        <v>9.0109999999999992</v>
      </c>
      <c r="G30" s="18">
        <v>0.80049999999999999</v>
      </c>
      <c r="H30" s="19">
        <v>8.0149999999999999E-2</v>
      </c>
      <c r="I30" s="18">
        <v>9.9879999999999995</v>
      </c>
      <c r="J30" s="20">
        <v>6</v>
      </c>
      <c r="K30" s="19">
        <v>4.692E-3</v>
      </c>
      <c r="L30" s="21">
        <f t="shared" si="0"/>
        <v>2.3286419965565082</v>
      </c>
      <c r="M30" s="21">
        <f t="shared" si="1"/>
        <v>0.80000000000000016</v>
      </c>
      <c r="N30" s="22">
        <f t="shared" si="2"/>
        <v>4.2365720064370622</v>
      </c>
      <c r="O30" s="23">
        <f t="shared" si="3"/>
        <v>1.7411011265922485</v>
      </c>
    </row>
    <row r="31" spans="1:15" x14ac:dyDescent="0.25">
      <c r="A31" s="14" t="s">
        <v>5768</v>
      </c>
      <c r="B31" s="14" t="s">
        <v>113</v>
      </c>
      <c r="C31" s="15" t="s">
        <v>114</v>
      </c>
      <c r="D31" s="16">
        <v>9.7999999999999997E-5</v>
      </c>
      <c r="E31" s="17">
        <v>11.34</v>
      </c>
      <c r="F31" s="17">
        <v>10.6</v>
      </c>
      <c r="G31" s="18">
        <v>0.7429</v>
      </c>
      <c r="H31" s="19">
        <v>8.1519999999999995E-2</v>
      </c>
      <c r="I31" s="18">
        <v>9.1140000000000008</v>
      </c>
      <c r="J31" s="20">
        <v>6</v>
      </c>
      <c r="K31" s="19">
        <v>4.692E-3</v>
      </c>
      <c r="L31" s="21">
        <f t="shared" si="0"/>
        <v>2.3286419965565082</v>
      </c>
      <c r="M31" s="21">
        <f t="shared" si="1"/>
        <v>0.74000000000000032</v>
      </c>
      <c r="N31" s="22">
        <f t="shared" si="2"/>
        <v>4.0087739243075049</v>
      </c>
      <c r="O31" s="23">
        <f t="shared" si="3"/>
        <v>1.6701758388567391</v>
      </c>
    </row>
    <row r="32" spans="1:15" x14ac:dyDescent="0.25">
      <c r="A32" s="14" t="s">
        <v>5769</v>
      </c>
      <c r="B32" s="14" t="s">
        <v>107</v>
      </c>
      <c r="C32" s="15" t="s">
        <v>108</v>
      </c>
      <c r="D32" s="16">
        <v>9.3999999999999994E-5</v>
      </c>
      <c r="E32" s="17">
        <v>10.050000000000001</v>
      </c>
      <c r="F32" s="17">
        <v>10.4</v>
      </c>
      <c r="G32" s="18">
        <v>-0.35489999999999999</v>
      </c>
      <c r="H32" s="19">
        <v>3.8649999999999997E-2</v>
      </c>
      <c r="I32" s="18">
        <v>9.1829999999999998</v>
      </c>
      <c r="J32" s="20">
        <v>6</v>
      </c>
      <c r="K32" s="19">
        <v>4.692E-3</v>
      </c>
      <c r="L32" s="21">
        <f t="shared" si="0"/>
        <v>2.3286419965565082</v>
      </c>
      <c r="M32" s="21">
        <f t="shared" si="1"/>
        <v>-0.34999999999999915</v>
      </c>
      <c r="N32" s="22">
        <f t="shared" si="2"/>
        <v>4.0268721464003008</v>
      </c>
      <c r="O32" s="23">
        <f t="shared" si="3"/>
        <v>0.78458409789675121</v>
      </c>
    </row>
    <row r="33" spans="1:15" x14ac:dyDescent="0.25">
      <c r="A33" s="14" t="s">
        <v>5770</v>
      </c>
      <c r="B33" s="14" t="s">
        <v>137</v>
      </c>
      <c r="C33" s="15" t="s">
        <v>138</v>
      </c>
      <c r="D33" s="16">
        <v>1.17E-4</v>
      </c>
      <c r="E33" s="17">
        <v>9.3650000000000002</v>
      </c>
      <c r="F33" s="17">
        <v>8.5730000000000004</v>
      </c>
      <c r="G33" s="18">
        <v>0.79149999999999998</v>
      </c>
      <c r="H33" s="19">
        <v>8.9609999999999995E-2</v>
      </c>
      <c r="I33" s="18">
        <v>8.8330000000000002</v>
      </c>
      <c r="J33" s="20">
        <v>6</v>
      </c>
      <c r="K33" s="19">
        <v>4.692E-3</v>
      </c>
      <c r="L33" s="21">
        <f t="shared" si="0"/>
        <v>2.3286419965565082</v>
      </c>
      <c r="M33" s="21">
        <f t="shared" si="1"/>
        <v>0.79200000000000048</v>
      </c>
      <c r="N33" s="22">
        <f t="shared" si="2"/>
        <v>3.9318141382538379</v>
      </c>
      <c r="O33" s="23">
        <f t="shared" si="3"/>
        <v>1.7314731310393172</v>
      </c>
    </row>
    <row r="34" spans="1:15" x14ac:dyDescent="0.25">
      <c r="A34" s="14" t="s">
        <v>5771</v>
      </c>
      <c r="B34" s="14" t="s">
        <v>61</v>
      </c>
      <c r="C34" s="15" t="s">
        <v>62</v>
      </c>
      <c r="D34" s="16">
        <v>5.1E-5</v>
      </c>
      <c r="E34" s="17">
        <v>12.57</v>
      </c>
      <c r="F34" s="17">
        <v>11.65</v>
      </c>
      <c r="G34" s="18">
        <v>0.92210000000000003</v>
      </c>
      <c r="H34" s="19">
        <v>9.0160000000000004E-2</v>
      </c>
      <c r="I34" s="18">
        <v>10.23</v>
      </c>
      <c r="J34" s="20">
        <v>6</v>
      </c>
      <c r="K34" s="19">
        <v>4.692E-3</v>
      </c>
      <c r="L34" s="21">
        <f t="shared" si="0"/>
        <v>2.3286419965565082</v>
      </c>
      <c r="M34" s="21">
        <f t="shared" si="1"/>
        <v>0.91999999999999948</v>
      </c>
      <c r="N34" s="22">
        <f t="shared" si="2"/>
        <v>4.2924298239020633</v>
      </c>
      <c r="O34" s="23">
        <f t="shared" si="3"/>
        <v>1.8921152934511911</v>
      </c>
    </row>
    <row r="35" spans="1:15" x14ac:dyDescent="0.25">
      <c r="A35" s="14" t="s">
        <v>5772</v>
      </c>
      <c r="B35" s="14" t="s">
        <v>77</v>
      </c>
      <c r="C35" s="15" t="s">
        <v>78</v>
      </c>
      <c r="D35" s="16">
        <v>6.8999999999999997E-5</v>
      </c>
      <c r="E35" s="17">
        <v>9.0540000000000003</v>
      </c>
      <c r="F35" s="17">
        <v>10.17</v>
      </c>
      <c r="G35" s="18">
        <v>-1.113</v>
      </c>
      <c r="H35" s="19">
        <v>0.1149</v>
      </c>
      <c r="I35" s="18">
        <v>9.6920000000000002</v>
      </c>
      <c r="J35" s="20">
        <v>6</v>
      </c>
      <c r="K35" s="19">
        <v>4.692E-3</v>
      </c>
      <c r="L35" s="21">
        <f t="shared" si="0"/>
        <v>2.3286419965565082</v>
      </c>
      <c r="M35" s="21">
        <f t="shared" si="1"/>
        <v>-1.1160000000000003</v>
      </c>
      <c r="N35" s="22">
        <f t="shared" si="2"/>
        <v>4.1611509092627443</v>
      </c>
      <c r="O35" s="23">
        <f t="shared" si="3"/>
        <v>0.46137124632689908</v>
      </c>
    </row>
    <row r="36" spans="1:15" x14ac:dyDescent="0.25">
      <c r="A36" s="14" t="s">
        <v>5773</v>
      </c>
      <c r="B36" s="14" t="s">
        <v>105</v>
      </c>
      <c r="C36" s="15" t="s">
        <v>106</v>
      </c>
      <c r="D36" s="16">
        <v>9.2999999999999997E-5</v>
      </c>
      <c r="E36" s="17">
        <v>13.52</v>
      </c>
      <c r="F36" s="17">
        <v>14.24</v>
      </c>
      <c r="G36" s="18">
        <v>-0.72430000000000005</v>
      </c>
      <c r="H36" s="19">
        <v>7.8799999999999995E-2</v>
      </c>
      <c r="I36" s="18">
        <v>9.1910000000000007</v>
      </c>
      <c r="J36" s="20">
        <v>6</v>
      </c>
      <c r="K36" s="19">
        <v>4.692E-3</v>
      </c>
      <c r="L36" s="21">
        <f t="shared" si="0"/>
        <v>2.3286419965565082</v>
      </c>
      <c r="M36" s="21">
        <f t="shared" si="1"/>
        <v>-0.72000000000000219</v>
      </c>
      <c r="N36" s="22">
        <f t="shared" si="2"/>
        <v>4.0315170514460643</v>
      </c>
      <c r="O36" s="23">
        <f t="shared" si="3"/>
        <v>0.60709744219752249</v>
      </c>
    </row>
    <row r="37" spans="1:15" x14ac:dyDescent="0.25">
      <c r="A37" s="14" t="s">
        <v>5774</v>
      </c>
      <c r="B37" s="14" t="s">
        <v>141</v>
      </c>
      <c r="C37" s="15" t="s">
        <v>142</v>
      </c>
      <c r="D37" s="16">
        <v>1.18E-4</v>
      </c>
      <c r="E37" s="17">
        <v>6.5369999999999999</v>
      </c>
      <c r="F37" s="17">
        <v>5.1280000000000001</v>
      </c>
      <c r="G37" s="18">
        <v>1.409</v>
      </c>
      <c r="H37" s="19">
        <v>0.15970000000000001</v>
      </c>
      <c r="I37" s="18">
        <v>8.8219999999999992</v>
      </c>
      <c r="J37" s="20">
        <v>6</v>
      </c>
      <c r="K37" s="19">
        <v>4.692E-3</v>
      </c>
      <c r="L37" s="21">
        <f t="shared" si="0"/>
        <v>2.3286419965565082</v>
      </c>
      <c r="M37" s="21">
        <f t="shared" si="1"/>
        <v>1.4090000000000003</v>
      </c>
      <c r="N37" s="22">
        <f t="shared" si="2"/>
        <v>3.9281179926938741</v>
      </c>
      <c r="O37" s="23">
        <f t="shared" si="3"/>
        <v>2.6555303167648758</v>
      </c>
    </row>
    <row r="38" spans="1:15" x14ac:dyDescent="0.25">
      <c r="A38" s="14" t="s">
        <v>5775</v>
      </c>
      <c r="B38" s="14" t="s">
        <v>83</v>
      </c>
      <c r="C38" s="15" t="s">
        <v>84</v>
      </c>
      <c r="D38" s="16">
        <v>6.9999999999999994E-5</v>
      </c>
      <c r="E38" s="17">
        <v>13.48</v>
      </c>
      <c r="F38" s="17">
        <v>14.3</v>
      </c>
      <c r="G38" s="18">
        <v>-0.82140000000000002</v>
      </c>
      <c r="H38" s="19">
        <v>8.5019999999999998E-2</v>
      </c>
      <c r="I38" s="18">
        <v>9.6609999999999996</v>
      </c>
      <c r="J38" s="20">
        <v>6</v>
      </c>
      <c r="K38" s="19">
        <v>4.692E-3</v>
      </c>
      <c r="L38" s="21">
        <f t="shared" si="0"/>
        <v>2.3286419965565082</v>
      </c>
      <c r="M38" s="21">
        <f t="shared" si="1"/>
        <v>-0.82000000000000106</v>
      </c>
      <c r="N38" s="22">
        <f t="shared" si="2"/>
        <v>4.1549019599857431</v>
      </c>
      <c r="O38" s="23">
        <f t="shared" si="3"/>
        <v>0.56644194264789893</v>
      </c>
    </row>
    <row r="39" spans="1:15" x14ac:dyDescent="0.25">
      <c r="A39" s="14" t="s">
        <v>5776</v>
      </c>
      <c r="B39" s="14" t="s">
        <v>119</v>
      </c>
      <c r="C39" s="15" t="s">
        <v>120</v>
      </c>
      <c r="D39" s="16">
        <v>1.01E-4</v>
      </c>
      <c r="E39" s="17">
        <v>9.6989999999999998</v>
      </c>
      <c r="F39" s="17">
        <v>9.3290000000000006</v>
      </c>
      <c r="G39" s="18">
        <v>0.36969999999999997</v>
      </c>
      <c r="H39" s="19">
        <v>4.0770000000000001E-2</v>
      </c>
      <c r="I39" s="18">
        <v>9.0670000000000002</v>
      </c>
      <c r="J39" s="20">
        <v>6</v>
      </c>
      <c r="K39" s="19">
        <v>4.692E-3</v>
      </c>
      <c r="L39" s="21">
        <f t="shared" si="0"/>
        <v>2.3286419965565082</v>
      </c>
      <c r="M39" s="21">
        <f t="shared" si="1"/>
        <v>0.36999999999999905</v>
      </c>
      <c r="N39" s="22">
        <f t="shared" si="2"/>
        <v>3.9956786262173569</v>
      </c>
      <c r="O39" s="23">
        <f t="shared" si="3"/>
        <v>1.2923528306374914</v>
      </c>
    </row>
    <row r="40" spans="1:15" x14ac:dyDescent="0.25">
      <c r="A40" s="14" t="s">
        <v>5777</v>
      </c>
      <c r="B40" s="14" t="s">
        <v>123</v>
      </c>
      <c r="C40" s="15" t="s">
        <v>124</v>
      </c>
      <c r="D40" s="16">
        <v>1.05E-4</v>
      </c>
      <c r="E40" s="17">
        <v>9.6170000000000009</v>
      </c>
      <c r="F40" s="17">
        <v>8.8550000000000004</v>
      </c>
      <c r="G40" s="18">
        <v>0.76280000000000003</v>
      </c>
      <c r="H40" s="19">
        <v>8.4690000000000001E-2</v>
      </c>
      <c r="I40" s="18">
        <v>9.0069999999999997</v>
      </c>
      <c r="J40" s="20">
        <v>6</v>
      </c>
      <c r="K40" s="19">
        <v>4.692E-3</v>
      </c>
      <c r="L40" s="21">
        <f t="shared" si="0"/>
        <v>2.3286419965565082</v>
      </c>
      <c r="M40" s="21">
        <f t="shared" si="1"/>
        <v>0.76200000000000068</v>
      </c>
      <c r="N40" s="22">
        <f t="shared" si="2"/>
        <v>3.9788107009300617</v>
      </c>
      <c r="O40" s="23">
        <f t="shared" si="3"/>
        <v>1.6958399292662965</v>
      </c>
    </row>
    <row r="41" spans="1:15" x14ac:dyDescent="0.25">
      <c r="A41" s="14" t="s">
        <v>5778</v>
      </c>
      <c r="B41" s="14" t="s">
        <v>85</v>
      </c>
      <c r="C41" s="15" t="s">
        <v>86</v>
      </c>
      <c r="D41" s="16">
        <v>7.2000000000000002E-5</v>
      </c>
      <c r="E41" s="17">
        <v>11.91</v>
      </c>
      <c r="F41" s="17">
        <v>11.09</v>
      </c>
      <c r="G41" s="18">
        <v>0.82069999999999999</v>
      </c>
      <c r="H41" s="19">
        <v>8.523E-2</v>
      </c>
      <c r="I41" s="18">
        <v>9.6289999999999996</v>
      </c>
      <c r="J41" s="20">
        <v>6</v>
      </c>
      <c r="K41" s="19">
        <v>4.692E-3</v>
      </c>
      <c r="L41" s="21">
        <f t="shared" si="0"/>
        <v>2.3286419965565082</v>
      </c>
      <c r="M41" s="21">
        <f t="shared" si="1"/>
        <v>0.81999999999999951</v>
      </c>
      <c r="N41" s="22">
        <f t="shared" si="2"/>
        <v>4.142667503568731</v>
      </c>
      <c r="O41" s="23">
        <f t="shared" si="3"/>
        <v>1.765405992581309</v>
      </c>
    </row>
    <row r="42" spans="1:15" x14ac:dyDescent="0.25">
      <c r="A42" s="14" t="s">
        <v>5779</v>
      </c>
      <c r="B42" s="14" t="s">
        <v>131</v>
      </c>
      <c r="C42" s="15" t="s">
        <v>132</v>
      </c>
      <c r="D42" s="16">
        <v>1.11E-4</v>
      </c>
      <c r="E42" s="17">
        <v>12.34</v>
      </c>
      <c r="F42" s="17">
        <v>11.78</v>
      </c>
      <c r="G42" s="18">
        <v>0.55920000000000003</v>
      </c>
      <c r="H42" s="19">
        <v>6.2719999999999998E-2</v>
      </c>
      <c r="I42" s="18">
        <v>8.9149999999999991</v>
      </c>
      <c r="J42" s="20">
        <v>6</v>
      </c>
      <c r="K42" s="19">
        <v>4.692E-3</v>
      </c>
      <c r="L42" s="21">
        <f t="shared" si="0"/>
        <v>2.3286419965565082</v>
      </c>
      <c r="M42" s="21">
        <f t="shared" si="1"/>
        <v>0.56000000000000127</v>
      </c>
      <c r="N42" s="22">
        <f t="shared" si="2"/>
        <v>3.9546770212133424</v>
      </c>
      <c r="O42" s="23">
        <f t="shared" si="3"/>
        <v>1.4742692172911025</v>
      </c>
    </row>
    <row r="43" spans="1:15" x14ac:dyDescent="0.25">
      <c r="A43" s="14" t="s">
        <v>5780</v>
      </c>
      <c r="B43" s="14" t="s">
        <v>129</v>
      </c>
      <c r="C43" s="15" t="s">
        <v>130</v>
      </c>
      <c r="D43" s="16">
        <v>1.1E-4</v>
      </c>
      <c r="E43" s="17">
        <v>15.55</v>
      </c>
      <c r="F43" s="17">
        <v>14.63</v>
      </c>
      <c r="G43" s="18">
        <v>0.92030000000000001</v>
      </c>
      <c r="H43" s="19">
        <v>0.10299999999999999</v>
      </c>
      <c r="I43" s="18">
        <v>8.9320000000000004</v>
      </c>
      <c r="J43" s="20">
        <v>6</v>
      </c>
      <c r="K43" s="19">
        <v>4.692E-3</v>
      </c>
      <c r="L43" s="21">
        <f t="shared" si="0"/>
        <v>2.3286419965565082</v>
      </c>
      <c r="M43" s="21">
        <f t="shared" si="1"/>
        <v>0.92000000000000215</v>
      </c>
      <c r="N43" s="22">
        <f t="shared" si="2"/>
        <v>3.9586073148417746</v>
      </c>
      <c r="O43" s="23">
        <f t="shared" si="3"/>
        <v>1.8921152934511947</v>
      </c>
    </row>
    <row r="44" spans="1:15" x14ac:dyDescent="0.25">
      <c r="A44" s="14" t="s">
        <v>5781</v>
      </c>
      <c r="B44" s="14" t="s">
        <v>95</v>
      </c>
      <c r="C44" s="15" t="s">
        <v>96</v>
      </c>
      <c r="D44" s="16">
        <v>8.0000000000000007E-5</v>
      </c>
      <c r="E44" s="17">
        <v>10.220000000000001</v>
      </c>
      <c r="F44" s="17">
        <v>9.6690000000000005</v>
      </c>
      <c r="G44" s="18">
        <v>0.54969999999999997</v>
      </c>
      <c r="H44" s="19">
        <v>5.815E-2</v>
      </c>
      <c r="I44" s="18">
        <v>9.4529999999999994</v>
      </c>
      <c r="J44" s="20">
        <v>6</v>
      </c>
      <c r="K44" s="19">
        <v>4.692E-3</v>
      </c>
      <c r="L44" s="21">
        <f t="shared" si="0"/>
        <v>2.3286419965565082</v>
      </c>
      <c r="M44" s="21">
        <f t="shared" si="1"/>
        <v>0.55100000000000104</v>
      </c>
      <c r="N44" s="22">
        <f t="shared" si="2"/>
        <v>4.0969100130080562</v>
      </c>
      <c r="O44" s="23">
        <f t="shared" si="3"/>
        <v>1.4651008746113388</v>
      </c>
    </row>
    <row r="45" spans="1:15" x14ac:dyDescent="0.25">
      <c r="A45" s="14" t="s">
        <v>5782</v>
      </c>
      <c r="B45" s="14" t="s">
        <v>87</v>
      </c>
      <c r="C45" s="15" t="s">
        <v>88</v>
      </c>
      <c r="D45" s="16">
        <v>7.2999999999999999E-5</v>
      </c>
      <c r="E45" s="17">
        <v>10.81</v>
      </c>
      <c r="F45" s="17">
        <v>11.37</v>
      </c>
      <c r="G45" s="18">
        <v>-0.56140000000000001</v>
      </c>
      <c r="H45" s="19">
        <v>5.842E-2</v>
      </c>
      <c r="I45" s="18">
        <v>9.609</v>
      </c>
      <c r="J45" s="20">
        <v>6</v>
      </c>
      <c r="K45" s="19">
        <v>4.692E-3</v>
      </c>
      <c r="L45" s="21">
        <f t="shared" si="0"/>
        <v>2.3286419965565082</v>
      </c>
      <c r="M45" s="21">
        <f t="shared" si="1"/>
        <v>-0.5599999999999985</v>
      </c>
      <c r="N45" s="22">
        <f t="shared" si="2"/>
        <v>4.1366771398795432</v>
      </c>
      <c r="O45" s="23">
        <f t="shared" si="3"/>
        <v>0.67830216372383667</v>
      </c>
    </row>
    <row r="46" spans="1:15" x14ac:dyDescent="0.25">
      <c r="A46" s="14" t="s">
        <v>5783</v>
      </c>
      <c r="B46" s="14" t="s">
        <v>111</v>
      </c>
      <c r="C46" s="15" t="s">
        <v>112</v>
      </c>
      <c r="D46" s="16">
        <v>9.6000000000000002E-5</v>
      </c>
      <c r="E46" s="17">
        <v>9.4969999999999999</v>
      </c>
      <c r="F46" s="17">
        <v>8.8729999999999993</v>
      </c>
      <c r="G46" s="18">
        <v>0.62460000000000004</v>
      </c>
      <c r="H46" s="19">
        <v>6.8320000000000006E-2</v>
      </c>
      <c r="I46" s="18">
        <v>9.1430000000000007</v>
      </c>
      <c r="J46" s="20">
        <v>6</v>
      </c>
      <c r="K46" s="19">
        <v>4.692E-3</v>
      </c>
      <c r="L46" s="21">
        <f t="shared" si="0"/>
        <v>2.3286419965565082</v>
      </c>
      <c r="M46" s="21">
        <f t="shared" si="1"/>
        <v>0.62400000000000122</v>
      </c>
      <c r="N46" s="22">
        <f t="shared" si="2"/>
        <v>4.0177287669604311</v>
      </c>
      <c r="O46" s="23">
        <f t="shared" si="3"/>
        <v>1.5411422167168169</v>
      </c>
    </row>
    <row r="47" spans="1:15" x14ac:dyDescent="0.25">
      <c r="A47" s="14" t="s">
        <v>5784</v>
      </c>
      <c r="B47" s="14" t="s">
        <v>135</v>
      </c>
      <c r="C47" s="15" t="s">
        <v>136</v>
      </c>
      <c r="D47" s="16">
        <v>1.16E-4</v>
      </c>
      <c r="E47" s="17">
        <v>9.157</v>
      </c>
      <c r="F47" s="17">
        <v>9.8759999999999994</v>
      </c>
      <c r="G47" s="18">
        <v>-0.71899999999999997</v>
      </c>
      <c r="H47" s="19">
        <v>8.1339999999999996E-2</v>
      </c>
      <c r="I47" s="18">
        <v>8.84</v>
      </c>
      <c r="J47" s="20">
        <v>6</v>
      </c>
      <c r="K47" s="19">
        <v>4.692E-3</v>
      </c>
      <c r="L47" s="21">
        <f t="shared" si="0"/>
        <v>2.3286419965565082</v>
      </c>
      <c r="M47" s="21">
        <f t="shared" si="1"/>
        <v>-0.71899999999999908</v>
      </c>
      <c r="N47" s="22">
        <f t="shared" si="2"/>
        <v>3.9355420107730814</v>
      </c>
      <c r="O47" s="23">
        <f t="shared" si="3"/>
        <v>0.60751839595250834</v>
      </c>
    </row>
    <row r="48" spans="1:15" x14ac:dyDescent="0.25">
      <c r="A48" s="14" t="s">
        <v>5785</v>
      </c>
      <c r="B48" s="14" t="s">
        <v>103</v>
      </c>
      <c r="C48" s="15" t="s">
        <v>104</v>
      </c>
      <c r="D48" s="16">
        <v>9.2E-5</v>
      </c>
      <c r="E48" s="17">
        <v>9.1010000000000009</v>
      </c>
      <c r="F48" s="17">
        <v>8.7140000000000004</v>
      </c>
      <c r="G48" s="18">
        <v>0.38740000000000002</v>
      </c>
      <c r="H48" s="19">
        <v>4.2020000000000002E-2</v>
      </c>
      <c r="I48" s="18">
        <v>9.218</v>
      </c>
      <c r="J48" s="20">
        <v>6</v>
      </c>
      <c r="K48" s="19">
        <v>4.692E-3</v>
      </c>
      <c r="L48" s="21">
        <f t="shared" si="0"/>
        <v>2.3286419965565082</v>
      </c>
      <c r="M48" s="21">
        <f t="shared" si="1"/>
        <v>0.38699999999999968</v>
      </c>
      <c r="N48" s="22">
        <f t="shared" si="2"/>
        <v>4.0362121726544444</v>
      </c>
      <c r="O48" s="23">
        <f t="shared" si="3"/>
        <v>1.3076713485367586</v>
      </c>
    </row>
    <row r="49" spans="1:15" x14ac:dyDescent="0.25">
      <c r="A49" s="14" t="s">
        <v>5786</v>
      </c>
      <c r="B49" s="14" t="s">
        <v>73</v>
      </c>
      <c r="C49" s="15" t="s">
        <v>74</v>
      </c>
      <c r="D49" s="16">
        <v>6.7999999999999999E-5</v>
      </c>
      <c r="E49" s="17">
        <v>14.41</v>
      </c>
      <c r="F49" s="17">
        <v>15.08</v>
      </c>
      <c r="G49" s="18">
        <v>-0.67469999999999997</v>
      </c>
      <c r="H49" s="19">
        <v>6.9430000000000006E-2</v>
      </c>
      <c r="I49" s="18">
        <v>9.718</v>
      </c>
      <c r="J49" s="20">
        <v>6</v>
      </c>
      <c r="K49" s="19">
        <v>4.692E-3</v>
      </c>
      <c r="L49" s="21">
        <f t="shared" si="0"/>
        <v>2.3286419965565082</v>
      </c>
      <c r="M49" s="21">
        <f t="shared" si="1"/>
        <v>-0.66999999999999871</v>
      </c>
      <c r="N49" s="22">
        <f t="shared" si="2"/>
        <v>4.1674910872937634</v>
      </c>
      <c r="O49" s="23">
        <f t="shared" si="3"/>
        <v>0.62850668726091474</v>
      </c>
    </row>
    <row r="50" spans="1:15" x14ac:dyDescent="0.25">
      <c r="A50" s="14" t="s">
        <v>5787</v>
      </c>
      <c r="B50" s="14" t="s">
        <v>115</v>
      </c>
      <c r="C50" s="15" t="s">
        <v>116</v>
      </c>
      <c r="D50" s="16">
        <v>9.7999999999999997E-5</v>
      </c>
      <c r="E50" s="17">
        <v>10.35</v>
      </c>
      <c r="F50" s="17">
        <v>9.8350000000000009</v>
      </c>
      <c r="G50" s="18">
        <v>0.51629999999999998</v>
      </c>
      <c r="H50" s="19">
        <v>5.67E-2</v>
      </c>
      <c r="I50" s="18">
        <v>9.1069999999999993</v>
      </c>
      <c r="J50" s="20">
        <v>6</v>
      </c>
      <c r="K50" s="19">
        <v>4.692E-3</v>
      </c>
      <c r="L50" s="21">
        <f t="shared" si="0"/>
        <v>2.3286419965565082</v>
      </c>
      <c r="M50" s="21">
        <f t="shared" si="1"/>
        <v>0.51499999999999868</v>
      </c>
      <c r="N50" s="22">
        <f t="shared" si="2"/>
        <v>4.0087739243075049</v>
      </c>
      <c r="O50" s="23">
        <f t="shared" si="3"/>
        <v>1.4289941397410917</v>
      </c>
    </row>
    <row r="51" spans="1:15" x14ac:dyDescent="0.25">
      <c r="A51" s="14" t="s">
        <v>5788</v>
      </c>
      <c r="B51" s="14" t="s">
        <v>71</v>
      </c>
      <c r="C51" s="15" t="s">
        <v>72</v>
      </c>
      <c r="D51" s="16">
        <v>6.0000000000000002E-5</v>
      </c>
      <c r="E51" s="17">
        <v>9.0619999999999994</v>
      </c>
      <c r="F51" s="17">
        <v>9.5820000000000007</v>
      </c>
      <c r="G51" s="18">
        <v>-0.52</v>
      </c>
      <c r="H51" s="19">
        <v>5.2389999999999999E-2</v>
      </c>
      <c r="I51" s="18">
        <v>9.9239999999999995</v>
      </c>
      <c r="J51" s="20">
        <v>6</v>
      </c>
      <c r="K51" s="19">
        <v>4.692E-3</v>
      </c>
      <c r="L51" s="21">
        <f t="shared" si="0"/>
        <v>2.3286419965565082</v>
      </c>
      <c r="M51" s="21">
        <f t="shared" si="1"/>
        <v>-0.52000000000000102</v>
      </c>
      <c r="N51" s="22">
        <f t="shared" si="2"/>
        <v>4.2218487496163561</v>
      </c>
      <c r="O51" s="23">
        <f t="shared" si="3"/>
        <v>0.69737183317520224</v>
      </c>
    </row>
    <row r="52" spans="1:15" x14ac:dyDescent="0.25">
      <c r="A52" s="14" t="s">
        <v>5789</v>
      </c>
      <c r="B52" s="14" t="s">
        <v>99</v>
      </c>
      <c r="C52" s="15" t="s">
        <v>100</v>
      </c>
      <c r="D52" s="16">
        <v>8.8999999999999995E-5</v>
      </c>
      <c r="E52" s="17">
        <v>14.19</v>
      </c>
      <c r="F52" s="17">
        <v>15.13</v>
      </c>
      <c r="G52" s="18">
        <v>-0.93879999999999997</v>
      </c>
      <c r="H52" s="19">
        <v>0.1013</v>
      </c>
      <c r="I52" s="18">
        <v>9.2710000000000008</v>
      </c>
      <c r="J52" s="20">
        <v>6</v>
      </c>
      <c r="K52" s="19">
        <v>4.692E-3</v>
      </c>
      <c r="L52" s="21">
        <f t="shared" si="0"/>
        <v>2.3286419965565082</v>
      </c>
      <c r="M52" s="21">
        <f t="shared" si="1"/>
        <v>-0.94000000000000028</v>
      </c>
      <c r="N52" s="22">
        <f t="shared" si="2"/>
        <v>4.0506099933550868</v>
      </c>
      <c r="O52" s="23">
        <f t="shared" si="3"/>
        <v>0.5212328804205606</v>
      </c>
    </row>
    <row r="53" spans="1:15" x14ac:dyDescent="0.25">
      <c r="A53" s="14" t="s">
        <v>5790</v>
      </c>
      <c r="B53" s="14" t="s">
        <v>143</v>
      </c>
      <c r="C53" s="15" t="s">
        <v>144</v>
      </c>
      <c r="D53" s="16">
        <v>1.1900000000000001E-4</v>
      </c>
      <c r="E53" s="17">
        <v>12.45</v>
      </c>
      <c r="F53" s="17">
        <v>13.26</v>
      </c>
      <c r="G53" s="18">
        <v>-0.8105</v>
      </c>
      <c r="H53" s="19">
        <v>9.2090000000000005E-2</v>
      </c>
      <c r="I53" s="18">
        <v>8.8010000000000002</v>
      </c>
      <c r="J53" s="20">
        <v>6</v>
      </c>
      <c r="K53" s="19">
        <v>4.692E-3</v>
      </c>
      <c r="L53" s="21">
        <f t="shared" si="0"/>
        <v>2.3286419965565082</v>
      </c>
      <c r="M53" s="21">
        <f t="shared" si="1"/>
        <v>-0.80999999999999928</v>
      </c>
      <c r="N53" s="22">
        <f t="shared" si="2"/>
        <v>3.924453038607469</v>
      </c>
      <c r="O53" s="23">
        <f t="shared" si="3"/>
        <v>0.57038185793421214</v>
      </c>
    </row>
    <row r="54" spans="1:15" x14ac:dyDescent="0.25">
      <c r="A54" s="14" t="s">
        <v>5791</v>
      </c>
      <c r="B54" s="14" t="s">
        <v>97</v>
      </c>
      <c r="C54" s="15" t="s">
        <v>98</v>
      </c>
      <c r="D54" s="16">
        <v>8.2999999999999998E-5</v>
      </c>
      <c r="E54" s="17">
        <v>10.130000000000001</v>
      </c>
      <c r="F54" s="17">
        <v>9.532</v>
      </c>
      <c r="G54" s="18">
        <v>0.60040000000000004</v>
      </c>
      <c r="H54" s="19">
        <v>6.3969999999999999E-2</v>
      </c>
      <c r="I54" s="18">
        <v>9.3859999999999992</v>
      </c>
      <c r="J54" s="20">
        <v>6</v>
      </c>
      <c r="K54" s="19">
        <v>4.692E-3</v>
      </c>
      <c r="L54" s="21">
        <f t="shared" si="0"/>
        <v>2.3286419965565082</v>
      </c>
      <c r="M54" s="21">
        <f t="shared" si="1"/>
        <v>0.59800000000000064</v>
      </c>
      <c r="N54" s="22">
        <f t="shared" si="2"/>
        <v>4.0809219076239254</v>
      </c>
      <c r="O54" s="23">
        <f t="shared" si="3"/>
        <v>1.5136167929695798</v>
      </c>
    </row>
    <row r="55" spans="1:15" x14ac:dyDescent="0.25">
      <c r="A55" s="14" t="s">
        <v>5792</v>
      </c>
      <c r="B55" s="14" t="s">
        <v>117</v>
      </c>
      <c r="C55" s="15" t="s">
        <v>118</v>
      </c>
      <c r="D55" s="16">
        <v>1E-4</v>
      </c>
      <c r="E55" s="17">
        <v>12.67</v>
      </c>
      <c r="F55" s="17">
        <v>13.77</v>
      </c>
      <c r="G55" s="18">
        <v>-1.0940000000000001</v>
      </c>
      <c r="H55" s="19">
        <v>0.12039999999999999</v>
      </c>
      <c r="I55" s="18">
        <v>9.0860000000000003</v>
      </c>
      <c r="J55" s="20">
        <v>6</v>
      </c>
      <c r="K55" s="19">
        <v>4.692E-3</v>
      </c>
      <c r="L55" s="21">
        <f t="shared" si="0"/>
        <v>2.3286419965565082</v>
      </c>
      <c r="M55" s="21">
        <f t="shared" si="1"/>
        <v>-1.099999999999999</v>
      </c>
      <c r="N55" s="22">
        <f t="shared" si="2"/>
        <v>3.9999999999999991</v>
      </c>
      <c r="O55" s="23">
        <f t="shared" si="3"/>
        <v>0.46651649576840409</v>
      </c>
    </row>
    <row r="56" spans="1:15" x14ac:dyDescent="0.25">
      <c r="A56" s="14" t="s">
        <v>5793</v>
      </c>
      <c r="B56" s="14" t="s">
        <v>89</v>
      </c>
      <c r="C56" s="15" t="s">
        <v>90</v>
      </c>
      <c r="D56" s="16">
        <v>7.7000000000000001E-5</v>
      </c>
      <c r="E56" s="17">
        <v>10.14</v>
      </c>
      <c r="F56" s="17">
        <v>10.71</v>
      </c>
      <c r="G56" s="18">
        <v>-0.56889999999999996</v>
      </c>
      <c r="H56" s="19">
        <v>5.9830000000000001E-2</v>
      </c>
      <c r="I56" s="18">
        <v>9.5079999999999991</v>
      </c>
      <c r="J56" s="20">
        <v>6</v>
      </c>
      <c r="K56" s="19">
        <v>4.692E-3</v>
      </c>
      <c r="L56" s="21">
        <f t="shared" si="0"/>
        <v>2.3286419965565082</v>
      </c>
      <c r="M56" s="21">
        <f t="shared" si="1"/>
        <v>-0.57000000000000028</v>
      </c>
      <c r="N56" s="22">
        <f t="shared" si="2"/>
        <v>4.1135092748275177</v>
      </c>
      <c r="O56" s="23">
        <f t="shared" si="3"/>
        <v>0.673616788432845</v>
      </c>
    </row>
    <row r="57" spans="1:15" x14ac:dyDescent="0.25">
      <c r="A57" s="14" t="s">
        <v>5794</v>
      </c>
      <c r="B57" s="14" t="s">
        <v>93</v>
      </c>
      <c r="C57" s="15" t="s">
        <v>94</v>
      </c>
      <c r="D57" s="16">
        <v>7.7999999999999999E-5</v>
      </c>
      <c r="E57" s="17">
        <v>9.07</v>
      </c>
      <c r="F57" s="17">
        <v>8.5579999999999998</v>
      </c>
      <c r="G57" s="18">
        <v>0.51259999999999994</v>
      </c>
      <c r="H57" s="19">
        <v>5.4019999999999999E-2</v>
      </c>
      <c r="I57" s="18">
        <v>9.4879999999999995</v>
      </c>
      <c r="J57" s="20">
        <v>6</v>
      </c>
      <c r="K57" s="19">
        <v>4.692E-3</v>
      </c>
      <c r="L57" s="21">
        <f t="shared" si="0"/>
        <v>2.3286419965565082</v>
      </c>
      <c r="M57" s="21">
        <f t="shared" si="1"/>
        <v>0.51200000000000023</v>
      </c>
      <c r="N57" s="22">
        <f t="shared" si="2"/>
        <v>4.1079053973095192</v>
      </c>
      <c r="O57" s="23">
        <f t="shared" si="3"/>
        <v>1.4260257173641411</v>
      </c>
    </row>
    <row r="58" spans="1:15" x14ac:dyDescent="0.25">
      <c r="A58" s="14" t="s">
        <v>5795</v>
      </c>
      <c r="B58" s="14" t="s">
        <v>91</v>
      </c>
      <c r="C58" s="15" t="s">
        <v>92</v>
      </c>
      <c r="D58" s="16">
        <v>7.7999999999999999E-5</v>
      </c>
      <c r="E58" s="17">
        <v>10.88</v>
      </c>
      <c r="F58" s="17">
        <v>10.29</v>
      </c>
      <c r="G58" s="18">
        <v>0.58950000000000002</v>
      </c>
      <c r="H58" s="19">
        <v>6.2109999999999999E-2</v>
      </c>
      <c r="I58" s="18">
        <v>9.4909999999999997</v>
      </c>
      <c r="J58" s="20">
        <v>6</v>
      </c>
      <c r="K58" s="19">
        <v>4.692E-3</v>
      </c>
      <c r="L58" s="21">
        <f t="shared" si="0"/>
        <v>2.3286419965565082</v>
      </c>
      <c r="M58" s="21">
        <f t="shared" si="1"/>
        <v>0.59000000000000241</v>
      </c>
      <c r="N58" s="22">
        <f t="shared" si="2"/>
        <v>4.1079053973095192</v>
      </c>
      <c r="O58" s="23">
        <f t="shared" si="3"/>
        <v>1.5052467474110698</v>
      </c>
    </row>
    <row r="59" spans="1:15" x14ac:dyDescent="0.25">
      <c r="A59" s="14" t="s">
        <v>5796</v>
      </c>
      <c r="B59" s="14" t="s">
        <v>81</v>
      </c>
      <c r="C59" s="15" t="s">
        <v>82</v>
      </c>
      <c r="D59" s="16">
        <v>6.9999999999999994E-5</v>
      </c>
      <c r="E59" s="17">
        <v>11.49</v>
      </c>
      <c r="F59" s="17">
        <v>10.89</v>
      </c>
      <c r="G59" s="18">
        <v>0.59670000000000001</v>
      </c>
      <c r="H59" s="19">
        <v>6.164E-2</v>
      </c>
      <c r="I59" s="18">
        <v>9.68</v>
      </c>
      <c r="J59" s="20">
        <v>6</v>
      </c>
      <c r="K59" s="19">
        <v>4.692E-3</v>
      </c>
      <c r="L59" s="21">
        <f t="shared" si="0"/>
        <v>2.3286419965565082</v>
      </c>
      <c r="M59" s="21">
        <f t="shared" si="1"/>
        <v>0.6000000000000002</v>
      </c>
      <c r="N59" s="22">
        <f t="shared" si="2"/>
        <v>4.1549019599857431</v>
      </c>
      <c r="O59" s="23">
        <f t="shared" si="3"/>
        <v>1.5157165665103982</v>
      </c>
    </row>
    <row r="60" spans="1:15" x14ac:dyDescent="0.25">
      <c r="A60" s="14" t="s">
        <v>5797</v>
      </c>
      <c r="B60" s="14" t="s">
        <v>127</v>
      </c>
      <c r="C60" s="15" t="s">
        <v>128</v>
      </c>
      <c r="D60" s="16">
        <v>1.0900000000000001E-4</v>
      </c>
      <c r="E60" s="17">
        <v>9.9339999999999993</v>
      </c>
      <c r="F60" s="17">
        <v>10.33</v>
      </c>
      <c r="G60" s="18">
        <v>-0.39500000000000002</v>
      </c>
      <c r="H60" s="19">
        <v>4.4170000000000001E-2</v>
      </c>
      <c r="I60" s="18">
        <v>8.9429999999999996</v>
      </c>
      <c r="J60" s="20">
        <v>6</v>
      </c>
      <c r="K60" s="19">
        <v>4.692E-3</v>
      </c>
      <c r="L60" s="21">
        <f t="shared" si="0"/>
        <v>2.3286419965565082</v>
      </c>
      <c r="M60" s="21">
        <f t="shared" si="1"/>
        <v>-0.39600000000000107</v>
      </c>
      <c r="N60" s="22">
        <f t="shared" si="2"/>
        <v>3.9625735020593758</v>
      </c>
      <c r="O60" s="23">
        <f t="shared" si="3"/>
        <v>0.75996242820075732</v>
      </c>
    </row>
    <row r="61" spans="1:15" x14ac:dyDescent="0.25">
      <c r="A61" s="14" t="s">
        <v>5798</v>
      </c>
      <c r="B61" s="14" t="s">
        <v>63</v>
      </c>
      <c r="C61" s="15" t="s">
        <v>64</v>
      </c>
      <c r="D61" s="16">
        <v>5.3000000000000001E-5</v>
      </c>
      <c r="E61" s="17">
        <v>10.28</v>
      </c>
      <c r="F61" s="17">
        <v>9.9589999999999996</v>
      </c>
      <c r="G61" s="18">
        <v>0.32190000000000002</v>
      </c>
      <c r="H61" s="19">
        <v>3.1699999999999999E-2</v>
      </c>
      <c r="I61" s="18">
        <v>10.15</v>
      </c>
      <c r="J61" s="20">
        <v>6</v>
      </c>
      <c r="K61" s="19">
        <v>4.692E-3</v>
      </c>
      <c r="L61" s="21">
        <f t="shared" si="0"/>
        <v>2.3286419965565082</v>
      </c>
      <c r="M61" s="21">
        <f t="shared" si="1"/>
        <v>0.32100000000000012</v>
      </c>
      <c r="N61" s="22">
        <f t="shared" si="2"/>
        <v>4.2757241303992108</v>
      </c>
      <c r="O61" s="23">
        <f t="shared" si="3"/>
        <v>1.2491961256533768</v>
      </c>
    </row>
    <row r="62" spans="1:15" x14ac:dyDescent="0.25">
      <c r="A62" s="14" t="s">
        <v>5799</v>
      </c>
      <c r="B62" s="14" t="s">
        <v>79</v>
      </c>
      <c r="C62" s="15" t="s">
        <v>80</v>
      </c>
      <c r="D62" s="16">
        <v>6.9999999999999994E-5</v>
      </c>
      <c r="E62" s="17">
        <v>10.01</v>
      </c>
      <c r="F62" s="17">
        <v>9.2420000000000009</v>
      </c>
      <c r="G62" s="18">
        <v>0.76829999999999998</v>
      </c>
      <c r="H62" s="19">
        <v>7.936E-2</v>
      </c>
      <c r="I62" s="18">
        <v>9.6820000000000004</v>
      </c>
      <c r="J62" s="20">
        <v>6</v>
      </c>
      <c r="K62" s="19">
        <v>4.692E-3</v>
      </c>
      <c r="L62" s="21">
        <f t="shared" si="0"/>
        <v>2.3286419965565082</v>
      </c>
      <c r="M62" s="21">
        <f t="shared" si="1"/>
        <v>0.76799999999999813</v>
      </c>
      <c r="N62" s="22">
        <f t="shared" si="2"/>
        <v>4.1549019599857431</v>
      </c>
      <c r="O62" s="23">
        <f t="shared" si="3"/>
        <v>1.7029074154978878</v>
      </c>
    </row>
    <row r="63" spans="1:15" x14ac:dyDescent="0.25">
      <c r="A63" s="14" t="s">
        <v>5800</v>
      </c>
      <c r="B63" s="14" t="s">
        <v>121</v>
      </c>
      <c r="C63" s="15" t="s">
        <v>122</v>
      </c>
      <c r="D63" s="16">
        <v>1.02E-4</v>
      </c>
      <c r="E63" s="17">
        <v>8.9160000000000004</v>
      </c>
      <c r="F63" s="17">
        <v>9.7639999999999993</v>
      </c>
      <c r="G63" s="18">
        <v>-0.84830000000000005</v>
      </c>
      <c r="H63" s="19">
        <v>9.3670000000000003E-2</v>
      </c>
      <c r="I63" s="18">
        <v>9.0559999999999992</v>
      </c>
      <c r="J63" s="20">
        <v>6</v>
      </c>
      <c r="K63" s="19">
        <v>4.692E-3</v>
      </c>
      <c r="L63" s="21">
        <f t="shared" si="0"/>
        <v>2.3286419965565082</v>
      </c>
      <c r="M63" s="21">
        <f t="shared" si="1"/>
        <v>-0.84799999999999853</v>
      </c>
      <c r="N63" s="22">
        <f t="shared" si="2"/>
        <v>3.9913998282380825</v>
      </c>
      <c r="O63" s="23">
        <f t="shared" si="3"/>
        <v>0.55555436432754735</v>
      </c>
    </row>
    <row r="64" spans="1:15" x14ac:dyDescent="0.25">
      <c r="A64" s="14" t="s">
        <v>5801</v>
      </c>
      <c r="B64" s="14" t="s">
        <v>145</v>
      </c>
      <c r="C64" s="15" t="s">
        <v>146</v>
      </c>
      <c r="D64" s="16">
        <v>1.21E-4</v>
      </c>
      <c r="E64" s="17">
        <v>9.8819999999999997</v>
      </c>
      <c r="F64" s="17">
        <v>10.64</v>
      </c>
      <c r="G64" s="18">
        <v>-0.75929999999999997</v>
      </c>
      <c r="H64" s="19">
        <v>8.6430000000000007E-2</v>
      </c>
      <c r="I64" s="18">
        <v>8.7850000000000001</v>
      </c>
      <c r="J64" s="20">
        <v>6</v>
      </c>
      <c r="K64" s="19">
        <v>4.692E-3</v>
      </c>
      <c r="L64" s="21">
        <f t="shared" si="0"/>
        <v>2.3286419965565082</v>
      </c>
      <c r="M64" s="21">
        <f t="shared" si="1"/>
        <v>-0.75800000000000145</v>
      </c>
      <c r="N64" s="22">
        <f t="shared" si="2"/>
        <v>3.9172146296835493</v>
      </c>
      <c r="O64" s="23">
        <f t="shared" si="3"/>
        <v>0.59131550012207079</v>
      </c>
    </row>
    <row r="65" spans="1:15" x14ac:dyDescent="0.25">
      <c r="A65" s="14" t="s">
        <v>5802</v>
      </c>
      <c r="B65" s="14" t="s">
        <v>75</v>
      </c>
      <c r="C65" s="15" t="s">
        <v>76</v>
      </c>
      <c r="D65" s="16">
        <v>6.8999999999999997E-5</v>
      </c>
      <c r="E65" s="17">
        <v>12.93</v>
      </c>
      <c r="F65" s="17">
        <v>13.81</v>
      </c>
      <c r="G65" s="18">
        <v>-0.87519999999999998</v>
      </c>
      <c r="H65" s="19">
        <v>9.0240000000000001E-2</v>
      </c>
      <c r="I65" s="18">
        <v>9.6989999999999998</v>
      </c>
      <c r="J65" s="20">
        <v>6</v>
      </c>
      <c r="K65" s="19">
        <v>4.692E-3</v>
      </c>
      <c r="L65" s="21">
        <f t="shared" si="0"/>
        <v>2.3286419965565082</v>
      </c>
      <c r="M65" s="21">
        <f t="shared" si="1"/>
        <v>-0.88000000000000078</v>
      </c>
      <c r="N65" s="22">
        <f t="shared" si="2"/>
        <v>4.1611509092627443</v>
      </c>
      <c r="O65" s="23">
        <f t="shared" si="3"/>
        <v>0.54336743126302878</v>
      </c>
    </row>
    <row r="66" spans="1:15" x14ac:dyDescent="0.25">
      <c r="A66" s="14" t="s">
        <v>5803</v>
      </c>
      <c r="B66" s="14" t="s">
        <v>65</v>
      </c>
      <c r="C66" s="15" t="s">
        <v>66</v>
      </c>
      <c r="D66" s="16">
        <v>5.8E-5</v>
      </c>
      <c r="E66" s="17">
        <v>13.78</v>
      </c>
      <c r="F66" s="17">
        <v>14.25</v>
      </c>
      <c r="G66" s="18">
        <v>-0.46960000000000002</v>
      </c>
      <c r="H66" s="19">
        <v>4.6969999999999998E-2</v>
      </c>
      <c r="I66" s="18">
        <v>9.9979999999999993</v>
      </c>
      <c r="J66" s="20">
        <v>6</v>
      </c>
      <c r="K66" s="19">
        <v>4.692E-3</v>
      </c>
      <c r="L66" s="21">
        <f t="shared" ref="L66:L129" si="4">-LOG(K66,10)</f>
        <v>2.3286419965565082</v>
      </c>
      <c r="M66" s="21">
        <f t="shared" ref="M66:M129" si="5">LOG(O66,2)</f>
        <v>-0.47000000000000147</v>
      </c>
      <c r="N66" s="22">
        <f t="shared" ref="N66:N129" si="6">-LOG(D66,10)</f>
        <v>4.2365720064370622</v>
      </c>
      <c r="O66" s="23">
        <f t="shared" ref="O66:O129" si="7">((2^E66)/(2^F66))</f>
        <v>0.72196459776124733</v>
      </c>
    </row>
    <row r="67" spans="1:15" x14ac:dyDescent="0.25">
      <c r="A67" s="14" t="s">
        <v>5804</v>
      </c>
      <c r="B67" s="14" t="s">
        <v>69</v>
      </c>
      <c r="C67" s="15" t="s">
        <v>70</v>
      </c>
      <c r="D67" s="16">
        <v>5.8999999999999998E-5</v>
      </c>
      <c r="E67" s="17">
        <v>10.75</v>
      </c>
      <c r="F67" s="17">
        <v>11.54</v>
      </c>
      <c r="G67" s="18">
        <v>-0.78939999999999999</v>
      </c>
      <c r="H67" s="19">
        <v>7.9280000000000003E-2</v>
      </c>
      <c r="I67" s="18">
        <v>9.9570000000000007</v>
      </c>
      <c r="J67" s="20">
        <v>6</v>
      </c>
      <c r="K67" s="19">
        <v>4.692E-3</v>
      </c>
      <c r="L67" s="21">
        <f t="shared" si="4"/>
        <v>2.3286419965565082</v>
      </c>
      <c r="M67" s="21">
        <f t="shared" si="5"/>
        <v>-0.7899999999999997</v>
      </c>
      <c r="N67" s="22">
        <f t="shared" si="6"/>
        <v>4.2291479883578553</v>
      </c>
      <c r="O67" s="23">
        <f t="shared" si="7"/>
        <v>0.5783440919526438</v>
      </c>
    </row>
    <row r="68" spans="1:15" x14ac:dyDescent="0.25">
      <c r="A68" s="14" t="s">
        <v>5805</v>
      </c>
      <c r="B68" s="14" t="s">
        <v>133</v>
      </c>
      <c r="C68" s="15" t="s">
        <v>134</v>
      </c>
      <c r="D68" s="16">
        <v>1.15E-4</v>
      </c>
      <c r="E68" s="17">
        <v>13.19</v>
      </c>
      <c r="F68" s="17">
        <v>13.78</v>
      </c>
      <c r="G68" s="18">
        <v>-0.58960000000000001</v>
      </c>
      <c r="H68" s="19">
        <v>6.6500000000000004E-2</v>
      </c>
      <c r="I68" s="18">
        <v>8.8659999999999997</v>
      </c>
      <c r="J68" s="20">
        <v>6</v>
      </c>
      <c r="K68" s="19">
        <v>4.692E-3</v>
      </c>
      <c r="L68" s="21">
        <f t="shared" si="4"/>
        <v>2.3286419965565082</v>
      </c>
      <c r="M68" s="21">
        <f t="shared" si="5"/>
        <v>-0.58999999999999853</v>
      </c>
      <c r="N68" s="22">
        <f t="shared" si="6"/>
        <v>3.9393021596463882</v>
      </c>
      <c r="O68" s="23">
        <f t="shared" si="7"/>
        <v>0.66434290704825649</v>
      </c>
    </row>
    <row r="69" spans="1:15" x14ac:dyDescent="0.25">
      <c r="A69" s="14" t="s">
        <v>5806</v>
      </c>
      <c r="B69" s="14" t="s">
        <v>109</v>
      </c>
      <c r="C69" s="15" t="s">
        <v>110</v>
      </c>
      <c r="D69" s="16">
        <v>9.5000000000000005E-5</v>
      </c>
      <c r="E69" s="17">
        <v>8.6270000000000007</v>
      </c>
      <c r="F69" s="17">
        <v>9.8339999999999996</v>
      </c>
      <c r="G69" s="18">
        <v>-1.2070000000000001</v>
      </c>
      <c r="H69" s="19">
        <v>0.13170000000000001</v>
      </c>
      <c r="I69" s="18">
        <v>9.1709999999999994</v>
      </c>
      <c r="J69" s="20">
        <v>6</v>
      </c>
      <c r="K69" s="19">
        <v>4.692E-3</v>
      </c>
      <c r="L69" s="21">
        <f t="shared" si="4"/>
        <v>2.3286419965565082</v>
      </c>
      <c r="M69" s="21">
        <f t="shared" si="5"/>
        <v>-1.2069999999999979</v>
      </c>
      <c r="N69" s="22">
        <f t="shared" si="6"/>
        <v>4.0222763947111524</v>
      </c>
      <c r="O69" s="23">
        <f t="shared" si="7"/>
        <v>0.43316842820004431</v>
      </c>
    </row>
    <row r="70" spans="1:15" x14ac:dyDescent="0.25">
      <c r="A70" s="14" t="s">
        <v>5807</v>
      </c>
      <c r="B70" s="14" t="s">
        <v>101</v>
      </c>
      <c r="C70" s="15" t="s">
        <v>102</v>
      </c>
      <c r="D70" s="16">
        <v>9.0000000000000006E-5</v>
      </c>
      <c r="E70" s="17">
        <v>14.31</v>
      </c>
      <c r="F70" s="17">
        <v>15.04</v>
      </c>
      <c r="G70" s="18">
        <v>-0.72409999999999997</v>
      </c>
      <c r="H70" s="19">
        <v>7.8200000000000006E-2</v>
      </c>
      <c r="I70" s="18">
        <v>9.2590000000000003</v>
      </c>
      <c r="J70" s="20">
        <v>6</v>
      </c>
      <c r="K70" s="19">
        <v>4.692E-3</v>
      </c>
      <c r="L70" s="21">
        <f t="shared" si="4"/>
        <v>2.3286419965565082</v>
      </c>
      <c r="M70" s="21">
        <f t="shared" si="5"/>
        <v>-0.72999999999999876</v>
      </c>
      <c r="N70" s="22">
        <f t="shared" si="6"/>
        <v>4.0457574905606748</v>
      </c>
      <c r="O70" s="23">
        <f t="shared" si="7"/>
        <v>0.60290391384538078</v>
      </c>
    </row>
    <row r="71" spans="1:15" x14ac:dyDescent="0.25">
      <c r="A71" s="14" t="s">
        <v>5808</v>
      </c>
      <c r="B71" s="14" t="s">
        <v>125</v>
      </c>
      <c r="C71" s="15" t="s">
        <v>126</v>
      </c>
      <c r="D71" s="16">
        <v>1.0900000000000001E-4</v>
      </c>
      <c r="E71" s="17">
        <v>9.5129999999999999</v>
      </c>
      <c r="F71" s="17">
        <v>10.33</v>
      </c>
      <c r="G71" s="18">
        <v>-0.81220000000000003</v>
      </c>
      <c r="H71" s="19">
        <v>9.0770000000000003E-2</v>
      </c>
      <c r="I71" s="18">
        <v>8.9480000000000004</v>
      </c>
      <c r="J71" s="20">
        <v>6</v>
      </c>
      <c r="K71" s="19">
        <v>4.692E-3</v>
      </c>
      <c r="L71" s="21">
        <f t="shared" si="4"/>
        <v>2.3286419965565082</v>
      </c>
      <c r="M71" s="21">
        <f t="shared" si="5"/>
        <v>-0.81700000000000106</v>
      </c>
      <c r="N71" s="22">
        <f t="shared" si="6"/>
        <v>3.9625735020593758</v>
      </c>
      <c r="O71" s="23">
        <f t="shared" si="7"/>
        <v>0.56762105107303185</v>
      </c>
    </row>
    <row r="72" spans="1:15" x14ac:dyDescent="0.25">
      <c r="A72" s="14" t="s">
        <v>5809</v>
      </c>
      <c r="B72" s="14" t="s">
        <v>139</v>
      </c>
      <c r="C72" s="15" t="s">
        <v>140</v>
      </c>
      <c r="D72" s="16">
        <v>1.18E-4</v>
      </c>
      <c r="E72" s="17">
        <v>10.31</v>
      </c>
      <c r="F72" s="17">
        <v>9.8079999999999998</v>
      </c>
      <c r="G72" s="18">
        <v>0.50690000000000002</v>
      </c>
      <c r="H72" s="19">
        <v>5.7439999999999998E-2</v>
      </c>
      <c r="I72" s="18">
        <v>8.8239999999999998</v>
      </c>
      <c r="J72" s="20">
        <v>6</v>
      </c>
      <c r="K72" s="19">
        <v>4.692E-3</v>
      </c>
      <c r="L72" s="21">
        <f t="shared" si="4"/>
        <v>2.3286419965565082</v>
      </c>
      <c r="M72" s="21">
        <f t="shared" si="5"/>
        <v>0.50200000000000078</v>
      </c>
      <c r="N72" s="22">
        <f t="shared" si="6"/>
        <v>3.9281179926938741</v>
      </c>
      <c r="O72" s="23">
        <f t="shared" si="7"/>
        <v>1.4161754382145446</v>
      </c>
    </row>
    <row r="73" spans="1:15" x14ac:dyDescent="0.25">
      <c r="A73" s="14" t="s">
        <v>5810</v>
      </c>
      <c r="B73" s="14" t="s">
        <v>153</v>
      </c>
      <c r="C73" s="15" t="s">
        <v>154</v>
      </c>
      <c r="D73" s="16">
        <v>1.36E-4</v>
      </c>
      <c r="E73" s="17">
        <v>10.15</v>
      </c>
      <c r="F73" s="17">
        <v>10.61</v>
      </c>
      <c r="G73" s="18">
        <v>-0.45960000000000001</v>
      </c>
      <c r="H73" s="19">
        <v>5.3440000000000001E-2</v>
      </c>
      <c r="I73" s="18">
        <v>8.6</v>
      </c>
      <c r="J73" s="20">
        <v>6</v>
      </c>
      <c r="K73" s="19">
        <v>4.9649999999999998E-3</v>
      </c>
      <c r="L73" s="21">
        <f t="shared" si="4"/>
        <v>2.3040807471685998</v>
      </c>
      <c r="M73" s="21">
        <f t="shared" si="5"/>
        <v>-0.45999999999999863</v>
      </c>
      <c r="N73" s="22">
        <f t="shared" si="6"/>
        <v>3.8664610916297821</v>
      </c>
      <c r="O73" s="23">
        <f t="shared" si="7"/>
        <v>0.72698625866015598</v>
      </c>
    </row>
    <row r="74" spans="1:15" x14ac:dyDescent="0.25">
      <c r="A74" s="14" t="s">
        <v>5811</v>
      </c>
      <c r="B74" s="14" t="s">
        <v>155</v>
      </c>
      <c r="C74" s="15" t="s">
        <v>156</v>
      </c>
      <c r="D74" s="16">
        <v>1.37E-4</v>
      </c>
      <c r="E74" s="17">
        <v>11.93</v>
      </c>
      <c r="F74" s="17">
        <v>11.24</v>
      </c>
      <c r="G74" s="18">
        <v>0.69</v>
      </c>
      <c r="H74" s="19">
        <v>8.0379999999999993E-2</v>
      </c>
      <c r="I74" s="18">
        <v>8.5839999999999996</v>
      </c>
      <c r="J74" s="20">
        <v>6</v>
      </c>
      <c r="K74" s="19">
        <v>4.9649999999999998E-3</v>
      </c>
      <c r="L74" s="21">
        <f t="shared" si="4"/>
        <v>2.3040807471685998</v>
      </c>
      <c r="M74" s="21">
        <f t="shared" si="5"/>
        <v>0.68999999999999961</v>
      </c>
      <c r="N74" s="22">
        <f t="shared" si="6"/>
        <v>3.8632794328435929</v>
      </c>
      <c r="O74" s="23">
        <f t="shared" si="7"/>
        <v>1.6132835184442522</v>
      </c>
    </row>
    <row r="75" spans="1:15" x14ac:dyDescent="0.25">
      <c r="A75" s="14" t="s">
        <v>5812</v>
      </c>
      <c r="B75" s="14" t="s">
        <v>147</v>
      </c>
      <c r="C75" s="15" t="s">
        <v>148</v>
      </c>
      <c r="D75" s="16">
        <v>1.3100000000000001E-4</v>
      </c>
      <c r="E75" s="17">
        <v>10.42</v>
      </c>
      <c r="F75" s="17">
        <v>10.09</v>
      </c>
      <c r="G75" s="18">
        <v>0.33600000000000002</v>
      </c>
      <c r="H75" s="19">
        <v>3.8830000000000003E-2</v>
      </c>
      <c r="I75" s="18">
        <v>8.6530000000000005</v>
      </c>
      <c r="J75" s="20">
        <v>6</v>
      </c>
      <c r="K75" s="19">
        <v>4.9649999999999998E-3</v>
      </c>
      <c r="L75" s="21">
        <f t="shared" si="4"/>
        <v>2.3040807471685998</v>
      </c>
      <c r="M75" s="21">
        <f t="shared" si="5"/>
        <v>0.33000000000000007</v>
      </c>
      <c r="N75" s="22">
        <f t="shared" si="6"/>
        <v>3.8827287043442351</v>
      </c>
      <c r="O75" s="23">
        <f t="shared" si="7"/>
        <v>1.2570133745218284</v>
      </c>
    </row>
    <row r="76" spans="1:15" x14ac:dyDescent="0.25">
      <c r="A76" s="14" t="s">
        <v>5813</v>
      </c>
      <c r="B76" s="14" t="s">
        <v>151</v>
      </c>
      <c r="C76" s="15" t="s">
        <v>152</v>
      </c>
      <c r="D76" s="16">
        <v>1.34E-4</v>
      </c>
      <c r="E76" s="17">
        <v>12.46</v>
      </c>
      <c r="F76" s="17">
        <v>13.05</v>
      </c>
      <c r="G76" s="18">
        <v>-0.58779999999999999</v>
      </c>
      <c r="H76" s="19">
        <v>6.8180000000000004E-2</v>
      </c>
      <c r="I76" s="18">
        <v>8.6210000000000004</v>
      </c>
      <c r="J76" s="20">
        <v>6</v>
      </c>
      <c r="K76" s="19">
        <v>4.9649999999999998E-3</v>
      </c>
      <c r="L76" s="21">
        <f t="shared" si="4"/>
        <v>2.3040807471685998</v>
      </c>
      <c r="M76" s="21">
        <f t="shared" si="5"/>
        <v>-0.58999999999999853</v>
      </c>
      <c r="N76" s="22">
        <f t="shared" si="6"/>
        <v>3.8728952016351923</v>
      </c>
      <c r="O76" s="23">
        <f t="shared" si="7"/>
        <v>0.66434290704825649</v>
      </c>
    </row>
    <row r="77" spans="1:15" x14ac:dyDescent="0.25">
      <c r="A77" s="14" t="s">
        <v>5814</v>
      </c>
      <c r="B77" s="14" t="s">
        <v>157</v>
      </c>
      <c r="C77" s="15" t="s">
        <v>158</v>
      </c>
      <c r="D77" s="16">
        <v>1.3799999999999999E-4</v>
      </c>
      <c r="E77" s="17">
        <v>8.9589999999999996</v>
      </c>
      <c r="F77" s="17">
        <v>8.1709999999999994</v>
      </c>
      <c r="G77" s="18">
        <v>0.78820000000000001</v>
      </c>
      <c r="H77" s="19">
        <v>9.1950000000000004E-2</v>
      </c>
      <c r="I77" s="18">
        <v>8.5730000000000004</v>
      </c>
      <c r="J77" s="20">
        <v>6</v>
      </c>
      <c r="K77" s="19">
        <v>4.9649999999999998E-3</v>
      </c>
      <c r="L77" s="21">
        <f t="shared" si="4"/>
        <v>2.3040807471685998</v>
      </c>
      <c r="M77" s="21">
        <f t="shared" si="5"/>
        <v>0.78800000000000003</v>
      </c>
      <c r="N77" s="22">
        <f t="shared" si="6"/>
        <v>3.8601209135987631</v>
      </c>
      <c r="O77" s="23">
        <f t="shared" si="7"/>
        <v>1.7266791171488236</v>
      </c>
    </row>
    <row r="78" spans="1:15" x14ac:dyDescent="0.25">
      <c r="A78" s="14" t="s">
        <v>5815</v>
      </c>
      <c r="B78" s="14" t="s">
        <v>149</v>
      </c>
      <c r="C78" s="15" t="s">
        <v>150</v>
      </c>
      <c r="D78" s="16">
        <v>1.3200000000000001E-4</v>
      </c>
      <c r="E78" s="17">
        <v>13.63</v>
      </c>
      <c r="F78" s="17">
        <v>14.31</v>
      </c>
      <c r="G78" s="18">
        <v>-0.67390000000000005</v>
      </c>
      <c r="H78" s="19">
        <v>7.7960000000000002E-2</v>
      </c>
      <c r="I78" s="18">
        <v>8.6440000000000001</v>
      </c>
      <c r="J78" s="20">
        <v>6</v>
      </c>
      <c r="K78" s="19">
        <v>4.9649999999999998E-3</v>
      </c>
      <c r="L78" s="21">
        <f t="shared" si="4"/>
        <v>2.3040807471685998</v>
      </c>
      <c r="M78" s="21">
        <f t="shared" si="5"/>
        <v>-0.67999999999999805</v>
      </c>
      <c r="N78" s="22">
        <f t="shared" si="6"/>
        <v>3.8794260687941495</v>
      </c>
      <c r="O78" s="23">
        <f t="shared" si="7"/>
        <v>0.62416527445080683</v>
      </c>
    </row>
    <row r="79" spans="1:15" x14ac:dyDescent="0.25">
      <c r="A79" s="14" t="s">
        <v>5816</v>
      </c>
      <c r="B79" s="14" t="s">
        <v>163</v>
      </c>
      <c r="C79" s="15" t="s">
        <v>164</v>
      </c>
      <c r="D79" s="16">
        <v>1.4799999999999999E-4</v>
      </c>
      <c r="E79" s="17">
        <v>12.59</v>
      </c>
      <c r="F79" s="17">
        <v>13.2</v>
      </c>
      <c r="G79" s="18">
        <v>-0.60399999999999998</v>
      </c>
      <c r="H79" s="19">
        <v>7.1279999999999996E-2</v>
      </c>
      <c r="I79" s="18">
        <v>8.4730000000000008</v>
      </c>
      <c r="J79" s="20">
        <v>6</v>
      </c>
      <c r="K79" s="19">
        <v>5.1019999999999998E-3</v>
      </c>
      <c r="L79" s="21">
        <f t="shared" si="4"/>
        <v>2.2922595457262287</v>
      </c>
      <c r="M79" s="21">
        <f t="shared" si="5"/>
        <v>-0.60999999999999921</v>
      </c>
      <c r="N79" s="22">
        <f t="shared" si="6"/>
        <v>3.8297382846050421</v>
      </c>
      <c r="O79" s="23">
        <f t="shared" si="7"/>
        <v>0.655196701929182</v>
      </c>
    </row>
    <row r="80" spans="1:15" x14ac:dyDescent="0.25">
      <c r="A80" s="14" t="s">
        <v>5817</v>
      </c>
      <c r="B80" s="14" t="s">
        <v>159</v>
      </c>
      <c r="C80" s="15" t="s">
        <v>160</v>
      </c>
      <c r="D80" s="16">
        <v>1.46E-4</v>
      </c>
      <c r="E80" s="17">
        <v>10.75</v>
      </c>
      <c r="F80" s="17">
        <v>10.220000000000001</v>
      </c>
      <c r="G80" s="18">
        <v>0.53259999999999996</v>
      </c>
      <c r="H80" s="19">
        <v>6.2759999999999996E-2</v>
      </c>
      <c r="I80" s="18">
        <v>8.4860000000000007</v>
      </c>
      <c r="J80" s="20">
        <v>6</v>
      </c>
      <c r="K80" s="19">
        <v>5.1019999999999998E-3</v>
      </c>
      <c r="L80" s="21">
        <f t="shared" si="4"/>
        <v>2.2922595457262287</v>
      </c>
      <c r="M80" s="21">
        <f t="shared" si="5"/>
        <v>0.52999999999999858</v>
      </c>
      <c r="N80" s="22">
        <f t="shared" si="6"/>
        <v>3.8356471442155624</v>
      </c>
      <c r="O80" s="23">
        <f t="shared" si="7"/>
        <v>1.4439291955224947</v>
      </c>
    </row>
    <row r="81" spans="1:15" x14ac:dyDescent="0.25">
      <c r="A81" s="14" t="s">
        <v>5818</v>
      </c>
      <c r="B81" s="14" t="s">
        <v>161</v>
      </c>
      <c r="C81" s="15" t="s">
        <v>162</v>
      </c>
      <c r="D81" s="16">
        <v>1.47E-4</v>
      </c>
      <c r="E81" s="17">
        <v>10.32</v>
      </c>
      <c r="F81" s="17">
        <v>9.8629999999999995</v>
      </c>
      <c r="G81" s="18">
        <v>0.45900000000000002</v>
      </c>
      <c r="H81" s="19">
        <v>5.4109999999999998E-2</v>
      </c>
      <c r="I81" s="18">
        <v>8.4819999999999993</v>
      </c>
      <c r="J81" s="20">
        <v>6</v>
      </c>
      <c r="K81" s="19">
        <v>5.1019999999999998E-3</v>
      </c>
      <c r="L81" s="21">
        <f t="shared" si="4"/>
        <v>2.2922595457262287</v>
      </c>
      <c r="M81" s="21">
        <f t="shared" si="5"/>
        <v>0.45699999999999985</v>
      </c>
      <c r="N81" s="22">
        <f t="shared" si="6"/>
        <v>3.8326826652518236</v>
      </c>
      <c r="O81" s="23">
        <f t="shared" si="7"/>
        <v>1.3726844312549105</v>
      </c>
    </row>
    <row r="82" spans="1:15" x14ac:dyDescent="0.25">
      <c r="A82" s="14" t="s">
        <v>5819</v>
      </c>
      <c r="B82" s="14" t="s">
        <v>165</v>
      </c>
      <c r="C82" s="15" t="s">
        <v>166</v>
      </c>
      <c r="D82" s="16">
        <v>1.54E-4</v>
      </c>
      <c r="E82" s="17">
        <v>14.97</v>
      </c>
      <c r="F82" s="17">
        <v>15.36</v>
      </c>
      <c r="G82" s="18">
        <v>-0.38619999999999999</v>
      </c>
      <c r="H82" s="19">
        <v>4.5900000000000003E-2</v>
      </c>
      <c r="I82" s="18">
        <v>8.4139999999999997</v>
      </c>
      <c r="J82" s="20">
        <v>6</v>
      </c>
      <c r="K82" s="19">
        <v>5.2389999999999997E-3</v>
      </c>
      <c r="L82" s="21">
        <f t="shared" si="4"/>
        <v>2.2807516015520539</v>
      </c>
      <c r="M82" s="21">
        <f t="shared" si="5"/>
        <v>-0.38999999999999829</v>
      </c>
      <c r="N82" s="22">
        <f t="shared" si="6"/>
        <v>3.812479279163536</v>
      </c>
      <c r="O82" s="23">
        <f t="shared" si="7"/>
        <v>0.76312960448028044</v>
      </c>
    </row>
    <row r="83" spans="1:15" x14ac:dyDescent="0.25">
      <c r="A83" s="14" t="s">
        <v>5820</v>
      </c>
      <c r="B83" s="14" t="s">
        <v>167</v>
      </c>
      <c r="C83" s="15" t="s">
        <v>168</v>
      </c>
      <c r="D83" s="16">
        <v>1.6799999999999999E-4</v>
      </c>
      <c r="E83" s="17">
        <v>8.9909999999999997</v>
      </c>
      <c r="F83" s="17">
        <v>9.7530000000000001</v>
      </c>
      <c r="G83" s="18">
        <v>-0.76229999999999998</v>
      </c>
      <c r="H83" s="19">
        <v>9.2039999999999997E-2</v>
      </c>
      <c r="I83" s="18">
        <v>8.2829999999999995</v>
      </c>
      <c r="J83" s="20">
        <v>6</v>
      </c>
      <c r="K83" s="19">
        <v>5.6499999999999996E-3</v>
      </c>
      <c r="L83" s="21">
        <f t="shared" si="4"/>
        <v>2.2479515521805613</v>
      </c>
      <c r="M83" s="21">
        <f t="shared" si="5"/>
        <v>-0.76199999999999923</v>
      </c>
      <c r="N83" s="22">
        <f t="shared" si="6"/>
        <v>3.7746907182741367</v>
      </c>
      <c r="O83" s="23">
        <f t="shared" si="7"/>
        <v>0.58967829613060829</v>
      </c>
    </row>
    <row r="84" spans="1:15" x14ac:dyDescent="0.25">
      <c r="A84" s="14" t="s">
        <v>5821</v>
      </c>
      <c r="B84" s="14" t="s">
        <v>171</v>
      </c>
      <c r="C84" s="15" t="s">
        <v>172</v>
      </c>
      <c r="D84" s="16">
        <v>1.75E-4</v>
      </c>
      <c r="E84" s="17">
        <v>6.79</v>
      </c>
      <c r="F84" s="17">
        <v>8.2539999999999996</v>
      </c>
      <c r="G84" s="18">
        <v>-1.4630000000000001</v>
      </c>
      <c r="H84" s="19">
        <v>0.17799999999999999</v>
      </c>
      <c r="I84" s="18">
        <v>8.2219999999999995</v>
      </c>
      <c r="J84" s="20">
        <v>6</v>
      </c>
      <c r="K84" s="19">
        <v>5.7470000000000004E-3</v>
      </c>
      <c r="L84" s="21">
        <f t="shared" si="4"/>
        <v>2.2405588028663019</v>
      </c>
      <c r="M84" s="21">
        <f t="shared" si="5"/>
        <v>-1.4640000000000004</v>
      </c>
      <c r="N84" s="22">
        <f t="shared" si="6"/>
        <v>3.7569619513137056</v>
      </c>
      <c r="O84" s="23">
        <f t="shared" si="7"/>
        <v>0.36248670821971291</v>
      </c>
    </row>
    <row r="85" spans="1:15" x14ac:dyDescent="0.25">
      <c r="A85" s="14" t="s">
        <v>5822</v>
      </c>
      <c r="B85" s="14" t="s">
        <v>169</v>
      </c>
      <c r="C85" s="15" t="s">
        <v>170</v>
      </c>
      <c r="D85" s="16">
        <v>1.74E-4</v>
      </c>
      <c r="E85" s="17">
        <v>15.35</v>
      </c>
      <c r="F85" s="17">
        <v>15.72</v>
      </c>
      <c r="G85" s="18">
        <v>-0.36630000000000001</v>
      </c>
      <c r="H85" s="19">
        <v>4.453E-2</v>
      </c>
      <c r="I85" s="18">
        <v>8.2260000000000009</v>
      </c>
      <c r="J85" s="20">
        <v>6</v>
      </c>
      <c r="K85" s="19">
        <v>5.7470000000000004E-3</v>
      </c>
      <c r="L85" s="21">
        <f t="shared" si="4"/>
        <v>2.2405588028663019</v>
      </c>
      <c r="M85" s="21">
        <f t="shared" si="5"/>
        <v>-0.37000000000000027</v>
      </c>
      <c r="N85" s="22">
        <f t="shared" si="6"/>
        <v>3.7594507517173996</v>
      </c>
      <c r="O85" s="23">
        <f t="shared" si="7"/>
        <v>0.77378249677119482</v>
      </c>
    </row>
    <row r="86" spans="1:15" x14ac:dyDescent="0.25">
      <c r="A86" s="14" t="s">
        <v>5823</v>
      </c>
      <c r="B86" s="14" t="s">
        <v>173</v>
      </c>
      <c r="C86" s="15" t="s">
        <v>174</v>
      </c>
      <c r="D86" s="16">
        <v>1.83E-4</v>
      </c>
      <c r="E86" s="17">
        <v>10.09</v>
      </c>
      <c r="F86" s="17">
        <v>11.42</v>
      </c>
      <c r="G86" s="18">
        <v>-1.3280000000000001</v>
      </c>
      <c r="H86" s="19">
        <v>0.16289999999999999</v>
      </c>
      <c r="I86" s="18">
        <v>8.1519999999999992</v>
      </c>
      <c r="J86" s="20">
        <v>6</v>
      </c>
      <c r="K86" s="19">
        <v>5.9540000000000001E-3</v>
      </c>
      <c r="L86" s="21">
        <f t="shared" si="4"/>
        <v>2.2251911696892934</v>
      </c>
      <c r="M86" s="21">
        <f t="shared" si="5"/>
        <v>-1.3300000000000003</v>
      </c>
      <c r="N86" s="22">
        <f t="shared" si="6"/>
        <v>3.7375489102695698</v>
      </c>
      <c r="O86" s="23">
        <f t="shared" si="7"/>
        <v>0.39776824187745929</v>
      </c>
    </row>
    <row r="87" spans="1:15" x14ac:dyDescent="0.25">
      <c r="A87" s="14" t="s">
        <v>5824</v>
      </c>
      <c r="B87" s="14" t="s">
        <v>175</v>
      </c>
      <c r="C87" s="15" t="s">
        <v>176</v>
      </c>
      <c r="D87" s="16">
        <v>1.8799999999999999E-4</v>
      </c>
      <c r="E87" s="17">
        <v>11.96</v>
      </c>
      <c r="F87" s="17">
        <v>11.19</v>
      </c>
      <c r="G87" s="18">
        <v>0.77149999999999996</v>
      </c>
      <c r="H87" s="19">
        <v>9.511E-2</v>
      </c>
      <c r="I87" s="18">
        <v>8.1120000000000001</v>
      </c>
      <c r="J87" s="20">
        <v>6</v>
      </c>
      <c r="K87" s="19">
        <v>6.0520000000000001E-3</v>
      </c>
      <c r="L87" s="21">
        <f t="shared" si="4"/>
        <v>2.218101080648851</v>
      </c>
      <c r="M87" s="21">
        <f t="shared" si="5"/>
        <v>0.77000000000000046</v>
      </c>
      <c r="N87" s="22">
        <f t="shared" si="6"/>
        <v>3.72584215073632</v>
      </c>
      <c r="O87" s="23">
        <f t="shared" si="7"/>
        <v>1.7052697835359139</v>
      </c>
    </row>
    <row r="88" spans="1:15" x14ac:dyDescent="0.25">
      <c r="A88" s="14" t="s">
        <v>5825</v>
      </c>
      <c r="B88" s="14" t="s">
        <v>181</v>
      </c>
      <c r="C88" s="15" t="s">
        <v>182</v>
      </c>
      <c r="D88" s="16">
        <v>1.9900000000000001E-4</v>
      </c>
      <c r="E88" s="17">
        <v>12.28</v>
      </c>
      <c r="F88" s="17">
        <v>11.93</v>
      </c>
      <c r="G88" s="18">
        <v>0.34570000000000001</v>
      </c>
      <c r="H88" s="19">
        <v>4.3020000000000003E-2</v>
      </c>
      <c r="I88" s="18">
        <v>8.0350000000000001</v>
      </c>
      <c r="J88" s="20">
        <v>6</v>
      </c>
      <c r="K88" s="19">
        <v>6.097E-3</v>
      </c>
      <c r="L88" s="21">
        <f t="shared" si="4"/>
        <v>2.2148838049780797</v>
      </c>
      <c r="M88" s="21">
        <f t="shared" si="5"/>
        <v>0.34999999999999959</v>
      </c>
      <c r="N88" s="22">
        <f t="shared" si="6"/>
        <v>3.7011469235902927</v>
      </c>
      <c r="O88" s="23">
        <f t="shared" si="7"/>
        <v>1.2745606273192618</v>
      </c>
    </row>
    <row r="89" spans="1:15" x14ac:dyDescent="0.25">
      <c r="A89" s="14" t="s">
        <v>5826</v>
      </c>
      <c r="B89" s="14" t="s">
        <v>179</v>
      </c>
      <c r="C89" s="15" t="s">
        <v>180</v>
      </c>
      <c r="D89" s="16">
        <v>1.95E-4</v>
      </c>
      <c r="E89" s="17">
        <v>11.06</v>
      </c>
      <c r="F89" s="17">
        <v>11.54</v>
      </c>
      <c r="G89" s="18">
        <v>-0.47620000000000001</v>
      </c>
      <c r="H89" s="19">
        <v>5.9040000000000002E-2</v>
      </c>
      <c r="I89" s="18">
        <v>8.0649999999999995</v>
      </c>
      <c r="J89" s="20">
        <v>6</v>
      </c>
      <c r="K89" s="19">
        <v>6.097E-3</v>
      </c>
      <c r="L89" s="21">
        <f t="shared" si="4"/>
        <v>2.2148838049780797</v>
      </c>
      <c r="M89" s="21">
        <f t="shared" si="5"/>
        <v>-0.47999999999999948</v>
      </c>
      <c r="N89" s="22">
        <f t="shared" si="6"/>
        <v>3.7099653886374813</v>
      </c>
      <c r="O89" s="23">
        <f t="shared" si="7"/>
        <v>0.71697762400791398</v>
      </c>
    </row>
    <row r="90" spans="1:15" x14ac:dyDescent="0.25">
      <c r="A90" s="14" t="s">
        <v>5827</v>
      </c>
      <c r="B90" s="14" t="s">
        <v>183</v>
      </c>
      <c r="C90" s="15" t="s">
        <v>184</v>
      </c>
      <c r="D90" s="16">
        <v>1.9900000000000001E-4</v>
      </c>
      <c r="E90" s="17">
        <v>12.18</v>
      </c>
      <c r="F90" s="17">
        <v>12.76</v>
      </c>
      <c r="G90" s="18">
        <v>-0.58089999999999997</v>
      </c>
      <c r="H90" s="19">
        <v>7.2300000000000003E-2</v>
      </c>
      <c r="I90" s="18">
        <v>8.0350000000000001</v>
      </c>
      <c r="J90" s="20">
        <v>6</v>
      </c>
      <c r="K90" s="19">
        <v>6.097E-3</v>
      </c>
      <c r="L90" s="21">
        <f t="shared" si="4"/>
        <v>2.2148838049780797</v>
      </c>
      <c r="M90" s="21">
        <f t="shared" si="5"/>
        <v>-0.58000000000000196</v>
      </c>
      <c r="N90" s="22">
        <f t="shared" si="6"/>
        <v>3.7011469235902927</v>
      </c>
      <c r="O90" s="23">
        <f t="shared" si="7"/>
        <v>0.66896377739305513</v>
      </c>
    </row>
    <row r="91" spans="1:15" x14ac:dyDescent="0.25">
      <c r="A91" s="14" t="s">
        <v>5828</v>
      </c>
      <c r="B91" s="14" t="s">
        <v>177</v>
      </c>
      <c r="C91" s="15" t="s">
        <v>178</v>
      </c>
      <c r="D91" s="16">
        <v>1.92E-4</v>
      </c>
      <c r="E91" s="17">
        <v>11.82</v>
      </c>
      <c r="F91" s="17">
        <v>12.11</v>
      </c>
      <c r="G91" s="18">
        <v>-0.28239999999999998</v>
      </c>
      <c r="H91" s="19">
        <v>3.4950000000000002E-2</v>
      </c>
      <c r="I91" s="18">
        <v>8.0820000000000007</v>
      </c>
      <c r="J91" s="20">
        <v>6</v>
      </c>
      <c r="K91" s="19">
        <v>6.097E-3</v>
      </c>
      <c r="L91" s="21">
        <f t="shared" si="4"/>
        <v>2.2148838049780797</v>
      </c>
      <c r="M91" s="21">
        <f t="shared" si="5"/>
        <v>-0.2899999999999997</v>
      </c>
      <c r="N91" s="22">
        <f t="shared" si="6"/>
        <v>3.7166987712964499</v>
      </c>
      <c r="O91" s="23">
        <f t="shared" si="7"/>
        <v>0.81790205855778131</v>
      </c>
    </row>
    <row r="92" spans="1:15" x14ac:dyDescent="0.25">
      <c r="A92" s="14" t="s">
        <v>5829</v>
      </c>
      <c r="B92" s="14" t="s">
        <v>185</v>
      </c>
      <c r="C92" s="15" t="s">
        <v>186</v>
      </c>
      <c r="D92" s="16">
        <v>2.05E-4</v>
      </c>
      <c r="E92" s="17">
        <v>10.01</v>
      </c>
      <c r="F92" s="17">
        <v>9.6780000000000008</v>
      </c>
      <c r="G92" s="18">
        <v>0.33040000000000003</v>
      </c>
      <c r="H92" s="19">
        <v>4.1369999999999997E-2</v>
      </c>
      <c r="I92" s="18">
        <v>7.9870000000000001</v>
      </c>
      <c r="J92" s="20">
        <v>6</v>
      </c>
      <c r="K92" s="19">
        <v>6.2310000000000004E-3</v>
      </c>
      <c r="L92" s="21">
        <f t="shared" si="4"/>
        <v>2.2054422487452379</v>
      </c>
      <c r="M92" s="21">
        <f t="shared" si="5"/>
        <v>0.33199999999999835</v>
      </c>
      <c r="N92" s="22">
        <f t="shared" si="6"/>
        <v>3.6882461389442449</v>
      </c>
      <c r="O92" s="23">
        <f t="shared" si="7"/>
        <v>1.2587571735048562</v>
      </c>
    </row>
    <row r="93" spans="1:15" x14ac:dyDescent="0.25">
      <c r="A93" s="14" t="s">
        <v>5830</v>
      </c>
      <c r="B93" s="14" t="s">
        <v>187</v>
      </c>
      <c r="C93" s="15" t="s">
        <v>188</v>
      </c>
      <c r="D93" s="16">
        <v>2.12E-4</v>
      </c>
      <c r="E93" s="17">
        <v>8.8409999999999993</v>
      </c>
      <c r="F93" s="17">
        <v>7.7450000000000001</v>
      </c>
      <c r="G93" s="18">
        <v>1.0960000000000001</v>
      </c>
      <c r="H93" s="19">
        <v>0.13800000000000001</v>
      </c>
      <c r="I93" s="18">
        <v>7.944</v>
      </c>
      <c r="J93" s="20">
        <v>6</v>
      </c>
      <c r="K93" s="19">
        <v>6.352E-3</v>
      </c>
      <c r="L93" s="21">
        <f t="shared" si="4"/>
        <v>2.1970895105809598</v>
      </c>
      <c r="M93" s="21">
        <f t="shared" si="5"/>
        <v>1.0959999999999996</v>
      </c>
      <c r="N93" s="22">
        <f t="shared" si="6"/>
        <v>3.6736641390712483</v>
      </c>
      <c r="O93" s="23">
        <f t="shared" si="7"/>
        <v>2.1376119824220154</v>
      </c>
    </row>
    <row r="94" spans="1:15" x14ac:dyDescent="0.25">
      <c r="A94" s="14" t="s">
        <v>5831</v>
      </c>
      <c r="B94" s="14" t="s">
        <v>189</v>
      </c>
      <c r="C94" s="15" t="s">
        <v>190</v>
      </c>
      <c r="D94" s="16">
        <v>2.1800000000000001E-4</v>
      </c>
      <c r="E94" s="17">
        <v>9.48</v>
      </c>
      <c r="F94" s="17">
        <v>7.8659999999999997</v>
      </c>
      <c r="G94" s="18">
        <v>1.615</v>
      </c>
      <c r="H94" s="19">
        <v>0.2044</v>
      </c>
      <c r="I94" s="18">
        <v>7.9009999999999998</v>
      </c>
      <c r="J94" s="20">
        <v>6</v>
      </c>
      <c r="K94" s="19">
        <v>6.4159999999999998E-3</v>
      </c>
      <c r="L94" s="21">
        <f t="shared" si="4"/>
        <v>2.1927356447238928</v>
      </c>
      <c r="M94" s="21">
        <f t="shared" si="5"/>
        <v>1.614000000000001</v>
      </c>
      <c r="N94" s="22">
        <f t="shared" si="6"/>
        <v>3.6615435063953945</v>
      </c>
      <c r="O94" s="23">
        <f t="shared" si="7"/>
        <v>3.0609935396453376</v>
      </c>
    </row>
    <row r="95" spans="1:15" x14ac:dyDescent="0.25">
      <c r="A95" s="14" t="s">
        <v>5832</v>
      </c>
      <c r="B95" s="14" t="s">
        <v>191</v>
      </c>
      <c r="C95" s="15" t="s">
        <v>192</v>
      </c>
      <c r="D95" s="16">
        <v>2.1800000000000001E-4</v>
      </c>
      <c r="E95" s="17">
        <v>8.7469999999999999</v>
      </c>
      <c r="F95" s="17">
        <v>9.0609999999999999</v>
      </c>
      <c r="G95" s="18">
        <v>-0.31430000000000002</v>
      </c>
      <c r="H95" s="19">
        <v>3.9789999999999999E-2</v>
      </c>
      <c r="I95" s="18">
        <v>7.899</v>
      </c>
      <c r="J95" s="20">
        <v>6</v>
      </c>
      <c r="K95" s="19">
        <v>6.4159999999999998E-3</v>
      </c>
      <c r="L95" s="21">
        <f t="shared" si="4"/>
        <v>2.1927356447238928</v>
      </c>
      <c r="M95" s="21">
        <f t="shared" si="5"/>
        <v>-0.31400000000000061</v>
      </c>
      <c r="N95" s="22">
        <f t="shared" si="6"/>
        <v>3.6615435063953945</v>
      </c>
      <c r="O95" s="23">
        <f t="shared" si="7"/>
        <v>0.80440837094191542</v>
      </c>
    </row>
    <row r="96" spans="1:15" x14ac:dyDescent="0.25">
      <c r="A96" s="14" t="s">
        <v>5833</v>
      </c>
      <c r="B96" s="14" t="s">
        <v>193</v>
      </c>
      <c r="C96" s="15" t="s">
        <v>194</v>
      </c>
      <c r="D96" s="16">
        <v>2.24E-4</v>
      </c>
      <c r="E96" s="17">
        <v>10.94</v>
      </c>
      <c r="F96" s="17">
        <v>10.33</v>
      </c>
      <c r="G96" s="18">
        <v>0.61550000000000005</v>
      </c>
      <c r="H96" s="19">
        <v>7.8289999999999998E-2</v>
      </c>
      <c r="I96" s="18">
        <v>7.8620000000000001</v>
      </c>
      <c r="J96" s="20">
        <v>6</v>
      </c>
      <c r="K96" s="19">
        <v>6.5160000000000001E-3</v>
      </c>
      <c r="L96" s="21">
        <f t="shared" si="4"/>
        <v>2.1860189243635282</v>
      </c>
      <c r="M96" s="21">
        <f t="shared" si="5"/>
        <v>0.60999999999999921</v>
      </c>
      <c r="N96" s="22">
        <f t="shared" si="6"/>
        <v>3.6497519816658373</v>
      </c>
      <c r="O96" s="23">
        <f t="shared" si="7"/>
        <v>1.5262592089605582</v>
      </c>
    </row>
    <row r="97" spans="1:15" x14ac:dyDescent="0.25">
      <c r="A97" s="14" t="s">
        <v>5834</v>
      </c>
      <c r="B97" s="14" t="s">
        <v>195</v>
      </c>
      <c r="C97" s="15" t="s">
        <v>196</v>
      </c>
      <c r="D97" s="16">
        <v>2.2699999999999999E-4</v>
      </c>
      <c r="E97" s="17">
        <v>9.7249999999999996</v>
      </c>
      <c r="F97" s="17">
        <v>10.130000000000001</v>
      </c>
      <c r="G97" s="18">
        <v>-0.40649999999999997</v>
      </c>
      <c r="H97" s="19">
        <v>5.185E-2</v>
      </c>
      <c r="I97" s="18">
        <v>7.8410000000000002</v>
      </c>
      <c r="J97" s="20">
        <v>6</v>
      </c>
      <c r="K97" s="19">
        <v>6.5449999999999996E-3</v>
      </c>
      <c r="L97" s="21">
        <f t="shared" si="4"/>
        <v>2.1840903491132253</v>
      </c>
      <c r="M97" s="21">
        <f t="shared" si="5"/>
        <v>-0.40500000000000097</v>
      </c>
      <c r="N97" s="22">
        <f t="shared" si="6"/>
        <v>3.643974142806877</v>
      </c>
      <c r="O97" s="23">
        <f t="shared" si="7"/>
        <v>0.75523629278141224</v>
      </c>
    </row>
    <row r="98" spans="1:15" x14ac:dyDescent="0.25">
      <c r="A98" s="14" t="s">
        <v>5835</v>
      </c>
      <c r="B98" s="14" t="s">
        <v>199</v>
      </c>
      <c r="C98" s="15" t="s">
        <v>200</v>
      </c>
      <c r="D98" s="16">
        <v>2.3599999999999999E-4</v>
      </c>
      <c r="E98" s="17">
        <v>12.61</v>
      </c>
      <c r="F98" s="17">
        <v>13.26</v>
      </c>
      <c r="G98" s="18">
        <v>-0.65629999999999999</v>
      </c>
      <c r="H98" s="19">
        <v>8.4239999999999995E-2</v>
      </c>
      <c r="I98" s="18">
        <v>7.79</v>
      </c>
      <c r="J98" s="20">
        <v>6</v>
      </c>
      <c r="K98" s="19">
        <v>6.5649999999999997E-3</v>
      </c>
      <c r="L98" s="21">
        <f t="shared" si="4"/>
        <v>2.1827652695745017</v>
      </c>
      <c r="M98" s="21">
        <f t="shared" si="5"/>
        <v>-0.65000000000000069</v>
      </c>
      <c r="N98" s="22">
        <f t="shared" si="6"/>
        <v>3.6270879970298933</v>
      </c>
      <c r="O98" s="23">
        <f t="shared" si="7"/>
        <v>0.63728031365963078</v>
      </c>
    </row>
    <row r="99" spans="1:15" x14ac:dyDescent="0.25">
      <c r="A99" s="14" t="s">
        <v>5836</v>
      </c>
      <c r="B99" s="14" t="s">
        <v>197</v>
      </c>
      <c r="C99" s="15" t="s">
        <v>198</v>
      </c>
      <c r="D99" s="16">
        <v>2.34E-4</v>
      </c>
      <c r="E99" s="17">
        <v>12.5</v>
      </c>
      <c r="F99" s="17">
        <v>13.36</v>
      </c>
      <c r="G99" s="18">
        <v>-0.86199999999999999</v>
      </c>
      <c r="H99" s="19">
        <v>0.1105</v>
      </c>
      <c r="I99" s="18">
        <v>7.798</v>
      </c>
      <c r="J99" s="20">
        <v>6</v>
      </c>
      <c r="K99" s="19">
        <v>6.5649999999999997E-3</v>
      </c>
      <c r="L99" s="21">
        <f t="shared" si="4"/>
        <v>2.1827652695745017</v>
      </c>
      <c r="M99" s="21">
        <f t="shared" si="5"/>
        <v>-0.85999999999999976</v>
      </c>
      <c r="N99" s="22">
        <f t="shared" si="6"/>
        <v>3.6307841425898566</v>
      </c>
      <c r="O99" s="23">
        <f t="shared" si="7"/>
        <v>0.55095255793830544</v>
      </c>
    </row>
    <row r="100" spans="1:15" x14ac:dyDescent="0.25">
      <c r="A100" s="14" t="s">
        <v>5837</v>
      </c>
      <c r="B100" s="14" t="s">
        <v>203</v>
      </c>
      <c r="C100" s="15" t="s">
        <v>204</v>
      </c>
      <c r="D100" s="16">
        <v>2.3800000000000001E-4</v>
      </c>
      <c r="E100" s="17">
        <v>10.5</v>
      </c>
      <c r="F100" s="17">
        <v>10.84</v>
      </c>
      <c r="G100" s="18">
        <v>-0.34200000000000003</v>
      </c>
      <c r="H100" s="19">
        <v>4.3970000000000002E-2</v>
      </c>
      <c r="I100" s="18">
        <v>7.7789999999999999</v>
      </c>
      <c r="J100" s="20">
        <v>6</v>
      </c>
      <c r="K100" s="19">
        <v>6.5649999999999997E-3</v>
      </c>
      <c r="L100" s="21">
        <f t="shared" si="4"/>
        <v>2.1827652695745017</v>
      </c>
      <c r="M100" s="21">
        <f t="shared" si="5"/>
        <v>-0.33999999999999908</v>
      </c>
      <c r="N100" s="22">
        <f t="shared" si="6"/>
        <v>3.6234230429434877</v>
      </c>
      <c r="O100" s="23">
        <f t="shared" si="7"/>
        <v>0.79004131186337767</v>
      </c>
    </row>
    <row r="101" spans="1:15" x14ac:dyDescent="0.25">
      <c r="A101" s="14" t="s">
        <v>5838</v>
      </c>
      <c r="B101" s="14" t="s">
        <v>201</v>
      </c>
      <c r="C101" s="15" t="s">
        <v>202</v>
      </c>
      <c r="D101" s="16">
        <v>2.3599999999999999E-4</v>
      </c>
      <c r="E101" s="17">
        <v>10.59</v>
      </c>
      <c r="F101" s="17">
        <v>11.26</v>
      </c>
      <c r="G101" s="18">
        <v>-0.67110000000000003</v>
      </c>
      <c r="H101" s="19">
        <v>8.6169999999999997E-2</v>
      </c>
      <c r="I101" s="18">
        <v>7.7880000000000003</v>
      </c>
      <c r="J101" s="20">
        <v>6</v>
      </c>
      <c r="K101" s="19">
        <v>6.5649999999999997E-3</v>
      </c>
      <c r="L101" s="21">
        <f t="shared" si="4"/>
        <v>2.1827652695745017</v>
      </c>
      <c r="M101" s="21">
        <f t="shared" si="5"/>
        <v>-0.67000000000000026</v>
      </c>
      <c r="N101" s="22">
        <f t="shared" si="6"/>
        <v>3.6270879970298933</v>
      </c>
      <c r="O101" s="23">
        <f t="shared" si="7"/>
        <v>0.62850668726091408</v>
      </c>
    </row>
    <row r="102" spans="1:15" x14ac:dyDescent="0.25">
      <c r="A102" s="14" t="s">
        <v>5839</v>
      </c>
      <c r="B102" s="14" t="s">
        <v>205</v>
      </c>
      <c r="C102" s="15" t="s">
        <v>206</v>
      </c>
      <c r="D102" s="16">
        <v>2.41E-4</v>
      </c>
      <c r="E102" s="17">
        <v>13.52</v>
      </c>
      <c r="F102" s="17">
        <v>12.99</v>
      </c>
      <c r="G102" s="18">
        <v>0.53659999999999997</v>
      </c>
      <c r="H102" s="19">
        <v>6.9139999999999993E-2</v>
      </c>
      <c r="I102" s="18">
        <v>7.76</v>
      </c>
      <c r="J102" s="20">
        <v>6</v>
      </c>
      <c r="K102" s="19">
        <v>6.5859999999999998E-3</v>
      </c>
      <c r="L102" s="21">
        <f t="shared" si="4"/>
        <v>2.181378273624111</v>
      </c>
      <c r="M102" s="21">
        <f t="shared" si="5"/>
        <v>0.52999999999999858</v>
      </c>
      <c r="N102" s="22">
        <f t="shared" si="6"/>
        <v>3.6179829574251312</v>
      </c>
      <c r="O102" s="23">
        <f t="shared" si="7"/>
        <v>1.4439291955224947</v>
      </c>
    </row>
    <row r="103" spans="1:15" x14ac:dyDescent="0.25">
      <c r="A103" s="14" t="s">
        <v>5840</v>
      </c>
      <c r="B103" s="14" t="s">
        <v>209</v>
      </c>
      <c r="C103" s="15" t="s">
        <v>210</v>
      </c>
      <c r="D103" s="16">
        <v>2.5300000000000002E-4</v>
      </c>
      <c r="E103" s="17">
        <v>10.98</v>
      </c>
      <c r="F103" s="17">
        <v>10.64</v>
      </c>
      <c r="G103" s="18">
        <v>0.33800000000000002</v>
      </c>
      <c r="H103" s="19">
        <v>4.3950000000000003E-2</v>
      </c>
      <c r="I103" s="18">
        <v>7.69</v>
      </c>
      <c r="J103" s="20">
        <v>6</v>
      </c>
      <c r="K103" s="19">
        <v>6.7889999999999999E-3</v>
      </c>
      <c r="L103" s="21">
        <f t="shared" si="4"/>
        <v>2.1681941913256089</v>
      </c>
      <c r="M103" s="21">
        <f t="shared" si="5"/>
        <v>0.34000000000000052</v>
      </c>
      <c r="N103" s="22">
        <f t="shared" si="6"/>
        <v>3.5968794788241816</v>
      </c>
      <c r="O103" s="23">
        <f t="shared" si="7"/>
        <v>1.2657565939702804</v>
      </c>
    </row>
    <row r="104" spans="1:15" x14ac:dyDescent="0.25">
      <c r="A104" s="14" t="s">
        <v>5841</v>
      </c>
      <c r="B104" s="14" t="s">
        <v>207</v>
      </c>
      <c r="C104" s="15" t="s">
        <v>208</v>
      </c>
      <c r="D104" s="16">
        <v>2.52E-4</v>
      </c>
      <c r="E104" s="17">
        <v>9.8770000000000007</v>
      </c>
      <c r="F104" s="17">
        <v>9.18</v>
      </c>
      <c r="G104" s="18">
        <v>0.69679999999999997</v>
      </c>
      <c r="H104" s="19">
        <v>9.0539999999999995E-2</v>
      </c>
      <c r="I104" s="18">
        <v>7.6959999999999997</v>
      </c>
      <c r="J104" s="20">
        <v>6</v>
      </c>
      <c r="K104" s="19">
        <v>6.7889999999999999E-3</v>
      </c>
      <c r="L104" s="21">
        <f t="shared" si="4"/>
        <v>2.1681941913256089</v>
      </c>
      <c r="M104" s="21">
        <f t="shared" si="5"/>
        <v>0.69700000000000162</v>
      </c>
      <c r="N104" s="22">
        <f t="shared" si="6"/>
        <v>3.5985994592184558</v>
      </c>
      <c r="O104" s="23">
        <f t="shared" si="7"/>
        <v>1.62113023977062</v>
      </c>
    </row>
    <row r="105" spans="1:15" x14ac:dyDescent="0.25">
      <c r="A105" s="14" t="s">
        <v>5842</v>
      </c>
      <c r="B105" s="14" t="s">
        <v>211</v>
      </c>
      <c r="C105" s="15" t="s">
        <v>212</v>
      </c>
      <c r="D105" s="16">
        <v>2.61E-4</v>
      </c>
      <c r="E105" s="17">
        <v>11.39</v>
      </c>
      <c r="F105" s="17">
        <v>10.74</v>
      </c>
      <c r="G105" s="18">
        <v>0.65380000000000005</v>
      </c>
      <c r="H105" s="19">
        <v>8.5489999999999997E-2</v>
      </c>
      <c r="I105" s="18">
        <v>7.6479999999999997</v>
      </c>
      <c r="J105" s="20">
        <v>6</v>
      </c>
      <c r="K105" s="19">
        <v>6.9179999999999997E-3</v>
      </c>
      <c r="L105" s="21">
        <f t="shared" si="4"/>
        <v>2.1600194423216572</v>
      </c>
      <c r="M105" s="21">
        <f t="shared" si="5"/>
        <v>0.64999999999999947</v>
      </c>
      <c r="N105" s="22">
        <f t="shared" si="6"/>
        <v>3.5833594926617187</v>
      </c>
      <c r="O105" s="23">
        <f t="shared" si="7"/>
        <v>1.5691681957935009</v>
      </c>
    </row>
    <row r="106" spans="1:15" x14ac:dyDescent="0.25">
      <c r="A106" s="14" t="s">
        <v>5843</v>
      </c>
      <c r="B106" s="14" t="s">
        <v>215</v>
      </c>
      <c r="C106" s="15" t="s">
        <v>216</v>
      </c>
      <c r="D106" s="16">
        <v>2.6600000000000001E-4</v>
      </c>
      <c r="E106" s="17">
        <v>7.9610000000000003</v>
      </c>
      <c r="F106" s="17">
        <v>8.8919999999999995</v>
      </c>
      <c r="G106" s="18">
        <v>-0.93140000000000001</v>
      </c>
      <c r="H106" s="19">
        <v>0.1222</v>
      </c>
      <c r="I106" s="18">
        <v>7.62</v>
      </c>
      <c r="J106" s="20">
        <v>6</v>
      </c>
      <c r="K106" s="19">
        <v>6.9179999999999997E-3</v>
      </c>
      <c r="L106" s="21">
        <f t="shared" si="4"/>
        <v>2.1600194423216572</v>
      </c>
      <c r="M106" s="21">
        <f t="shared" si="5"/>
        <v>-0.93099999999999905</v>
      </c>
      <c r="N106" s="22">
        <f t="shared" si="6"/>
        <v>3.5751183633689325</v>
      </c>
      <c r="O106" s="23">
        <f t="shared" si="7"/>
        <v>0.52449466378747334</v>
      </c>
    </row>
    <row r="107" spans="1:15" x14ac:dyDescent="0.25">
      <c r="A107" s="14" t="s">
        <v>5844</v>
      </c>
      <c r="B107" s="14" t="s">
        <v>213</v>
      </c>
      <c r="C107" s="15" t="s">
        <v>214</v>
      </c>
      <c r="D107" s="16">
        <v>2.6499999999999999E-4</v>
      </c>
      <c r="E107" s="17">
        <v>10.19</v>
      </c>
      <c r="F107" s="17">
        <v>10.52</v>
      </c>
      <c r="G107" s="18">
        <v>-0.32640000000000002</v>
      </c>
      <c r="H107" s="19">
        <v>4.2810000000000001E-2</v>
      </c>
      <c r="I107" s="18">
        <v>7.6260000000000003</v>
      </c>
      <c r="J107" s="20">
        <v>6</v>
      </c>
      <c r="K107" s="19">
        <v>6.9179999999999997E-3</v>
      </c>
      <c r="L107" s="21">
        <f t="shared" si="4"/>
        <v>2.1600194423216572</v>
      </c>
      <c r="M107" s="21">
        <f t="shared" si="5"/>
        <v>-0.32999999999999974</v>
      </c>
      <c r="N107" s="22">
        <f t="shared" si="6"/>
        <v>3.5767541260631917</v>
      </c>
      <c r="O107" s="23">
        <f t="shared" si="7"/>
        <v>0.79553648375491881</v>
      </c>
    </row>
    <row r="108" spans="1:15" x14ac:dyDescent="0.25">
      <c r="A108" s="14" t="s">
        <v>5845</v>
      </c>
      <c r="B108" s="14" t="s">
        <v>217</v>
      </c>
      <c r="C108" s="15" t="s">
        <v>218</v>
      </c>
      <c r="D108" s="16">
        <v>2.6800000000000001E-4</v>
      </c>
      <c r="E108" s="17">
        <v>10.24</v>
      </c>
      <c r="F108" s="17">
        <v>9.1460000000000008</v>
      </c>
      <c r="G108" s="18">
        <v>1.097</v>
      </c>
      <c r="H108" s="19">
        <v>0.14410000000000001</v>
      </c>
      <c r="I108" s="18">
        <v>7.6109999999999998</v>
      </c>
      <c r="J108" s="20">
        <v>6</v>
      </c>
      <c r="K108" s="19">
        <v>6.9179999999999997E-3</v>
      </c>
      <c r="L108" s="21">
        <f t="shared" si="4"/>
        <v>2.1600194423216572</v>
      </c>
      <c r="M108" s="21">
        <f t="shared" si="5"/>
        <v>1.0939999999999999</v>
      </c>
      <c r="N108" s="22">
        <f t="shared" si="6"/>
        <v>3.571865205971211</v>
      </c>
      <c r="O108" s="23">
        <f t="shared" si="7"/>
        <v>2.1346506760799198</v>
      </c>
    </row>
    <row r="109" spans="1:15" x14ac:dyDescent="0.25">
      <c r="A109" s="14" t="s">
        <v>5846</v>
      </c>
      <c r="B109" s="14" t="s">
        <v>219</v>
      </c>
      <c r="C109" s="15" t="s">
        <v>220</v>
      </c>
      <c r="D109" s="16">
        <v>2.72E-4</v>
      </c>
      <c r="E109" s="17">
        <v>9.3420000000000005</v>
      </c>
      <c r="F109" s="17">
        <v>10.119999999999999</v>
      </c>
      <c r="G109" s="18">
        <v>-0.77649999999999997</v>
      </c>
      <c r="H109" s="19">
        <v>0.1023</v>
      </c>
      <c r="I109" s="18">
        <v>7.5910000000000002</v>
      </c>
      <c r="J109" s="20">
        <v>6</v>
      </c>
      <c r="K109" s="19">
        <v>6.9540000000000001E-3</v>
      </c>
      <c r="L109" s="21">
        <f t="shared" si="4"/>
        <v>2.1577653136527601</v>
      </c>
      <c r="M109" s="21">
        <f t="shared" si="5"/>
        <v>-0.7779999999999998</v>
      </c>
      <c r="N109" s="22">
        <f t="shared" si="6"/>
        <v>3.5654310959658009</v>
      </c>
      <c r="O109" s="23">
        <f t="shared" si="7"/>
        <v>0.58317468489423374</v>
      </c>
    </row>
    <row r="110" spans="1:15" x14ac:dyDescent="0.25">
      <c r="A110" s="14" t="s">
        <v>5847</v>
      </c>
      <c r="B110" s="14" t="s">
        <v>221</v>
      </c>
      <c r="C110" s="15" t="s">
        <v>222</v>
      </c>
      <c r="D110" s="16">
        <v>2.7700000000000001E-4</v>
      </c>
      <c r="E110" s="17">
        <v>9.7509999999999994</v>
      </c>
      <c r="F110" s="17">
        <v>9.0250000000000004</v>
      </c>
      <c r="G110" s="18">
        <v>0.72650000000000003</v>
      </c>
      <c r="H110" s="19">
        <v>9.6049999999999996E-2</v>
      </c>
      <c r="I110" s="18">
        <v>7.5629999999999997</v>
      </c>
      <c r="J110" s="20">
        <v>6</v>
      </c>
      <c r="K110" s="19">
        <v>7.0320000000000001E-3</v>
      </c>
      <c r="L110" s="21">
        <f t="shared" si="4"/>
        <v>2.1529211379342845</v>
      </c>
      <c r="M110" s="21">
        <f t="shared" si="5"/>
        <v>0.72599999999999942</v>
      </c>
      <c r="N110" s="22">
        <f t="shared" si="6"/>
        <v>3.5575202309355514</v>
      </c>
      <c r="O110" s="23">
        <f t="shared" si="7"/>
        <v>1.6540467368865306</v>
      </c>
    </row>
    <row r="111" spans="1:15" x14ac:dyDescent="0.25">
      <c r="A111" s="14" t="s">
        <v>5848</v>
      </c>
      <c r="B111" s="14" t="s">
        <v>223</v>
      </c>
      <c r="C111" s="15" t="s">
        <v>224</v>
      </c>
      <c r="D111" s="16">
        <v>2.8400000000000002E-4</v>
      </c>
      <c r="E111" s="17">
        <v>13.71</v>
      </c>
      <c r="F111" s="17">
        <v>13</v>
      </c>
      <c r="G111" s="18">
        <v>0.70860000000000001</v>
      </c>
      <c r="H111" s="19">
        <v>9.4100000000000003E-2</v>
      </c>
      <c r="I111" s="18">
        <v>7.5309999999999997</v>
      </c>
      <c r="J111" s="20">
        <v>6</v>
      </c>
      <c r="K111" s="19">
        <v>7.1329999999999996E-3</v>
      </c>
      <c r="L111" s="21">
        <f t="shared" si="4"/>
        <v>2.1467277759793166</v>
      </c>
      <c r="M111" s="21">
        <f t="shared" si="5"/>
        <v>0.70999999999999952</v>
      </c>
      <c r="N111" s="22">
        <f t="shared" si="6"/>
        <v>3.546681659952962</v>
      </c>
      <c r="O111" s="23">
        <f t="shared" si="7"/>
        <v>1.6358041171155617</v>
      </c>
    </row>
    <row r="112" spans="1:15" x14ac:dyDescent="0.25">
      <c r="A112" s="14" t="s">
        <v>5849</v>
      </c>
      <c r="B112" s="14" t="s">
        <v>225</v>
      </c>
      <c r="C112" s="15" t="s">
        <v>226</v>
      </c>
      <c r="D112" s="16">
        <v>2.9100000000000003E-4</v>
      </c>
      <c r="E112" s="17">
        <v>13.24</v>
      </c>
      <c r="F112" s="17">
        <v>12.69</v>
      </c>
      <c r="G112" s="18">
        <v>0.54690000000000005</v>
      </c>
      <c r="H112" s="19">
        <v>7.2940000000000005E-2</v>
      </c>
      <c r="I112" s="18">
        <v>7.4980000000000002</v>
      </c>
      <c r="J112" s="20">
        <v>6</v>
      </c>
      <c r="K112" s="19">
        <v>7.2439999999999996E-3</v>
      </c>
      <c r="L112" s="21">
        <f t="shared" si="4"/>
        <v>2.1400215583579789</v>
      </c>
      <c r="M112" s="21">
        <f t="shared" si="5"/>
        <v>0.55000000000000204</v>
      </c>
      <c r="N112" s="22">
        <f t="shared" si="6"/>
        <v>3.5361070110140926</v>
      </c>
      <c r="O112" s="23">
        <f t="shared" si="7"/>
        <v>1.4640856959456274</v>
      </c>
    </row>
    <row r="113" spans="1:15" x14ac:dyDescent="0.25">
      <c r="A113" s="14" t="s">
        <v>5850</v>
      </c>
      <c r="B113" s="14" t="s">
        <v>239</v>
      </c>
      <c r="C113" s="15" t="s">
        <v>240</v>
      </c>
      <c r="D113" s="16">
        <v>3.2200000000000002E-4</v>
      </c>
      <c r="E113" s="17">
        <v>9.6839999999999993</v>
      </c>
      <c r="F113" s="17">
        <v>9.08</v>
      </c>
      <c r="G113" s="18">
        <v>0.60319999999999996</v>
      </c>
      <c r="H113" s="19">
        <v>8.1939999999999999E-2</v>
      </c>
      <c r="I113" s="18">
        <v>7.3609999999999998</v>
      </c>
      <c r="J113" s="20">
        <v>6</v>
      </c>
      <c r="K113" s="19">
        <v>7.3930000000000003E-3</v>
      </c>
      <c r="L113" s="21">
        <f t="shared" si="4"/>
        <v>2.1311792938024823</v>
      </c>
      <c r="M113" s="21">
        <f t="shared" si="5"/>
        <v>0.60399999999999909</v>
      </c>
      <c r="N113" s="22">
        <f t="shared" si="6"/>
        <v>3.4921441283041683</v>
      </c>
      <c r="O113" s="23">
        <f t="shared" si="7"/>
        <v>1.5199248564015149</v>
      </c>
    </row>
    <row r="114" spans="1:15" x14ac:dyDescent="0.25">
      <c r="A114" s="14" t="s">
        <v>5851</v>
      </c>
      <c r="B114" s="14" t="s">
        <v>247</v>
      </c>
      <c r="C114" s="15" t="s">
        <v>248</v>
      </c>
      <c r="D114" s="16">
        <v>3.3300000000000002E-4</v>
      </c>
      <c r="E114" s="17">
        <v>8.7880000000000003</v>
      </c>
      <c r="F114" s="17">
        <v>8.0850000000000009</v>
      </c>
      <c r="G114" s="18">
        <v>0.7036</v>
      </c>
      <c r="H114" s="19">
        <v>9.6189999999999998E-2</v>
      </c>
      <c r="I114" s="18">
        <v>7.3150000000000004</v>
      </c>
      <c r="J114" s="20">
        <v>6</v>
      </c>
      <c r="K114" s="19">
        <v>7.3930000000000003E-3</v>
      </c>
      <c r="L114" s="21">
        <f t="shared" si="4"/>
        <v>2.1311792938024823</v>
      </c>
      <c r="M114" s="21">
        <f t="shared" si="5"/>
        <v>0.70299999999999874</v>
      </c>
      <c r="N114" s="22">
        <f t="shared" si="6"/>
        <v>3.4775557664936794</v>
      </c>
      <c r="O114" s="23">
        <f t="shared" si="7"/>
        <v>1.6278863701408677</v>
      </c>
    </row>
    <row r="115" spans="1:15" x14ac:dyDescent="0.25">
      <c r="A115" s="14" t="s">
        <v>5852</v>
      </c>
      <c r="B115" s="14" t="s">
        <v>231</v>
      </c>
      <c r="C115" s="15" t="s">
        <v>232</v>
      </c>
      <c r="D115" s="16">
        <v>3.1E-4</v>
      </c>
      <c r="E115" s="17">
        <v>14.45</v>
      </c>
      <c r="F115" s="17">
        <v>15.14</v>
      </c>
      <c r="G115" s="18">
        <v>-0.69310000000000005</v>
      </c>
      <c r="H115" s="19">
        <v>9.3490000000000004E-2</v>
      </c>
      <c r="I115" s="18">
        <v>7.4130000000000003</v>
      </c>
      <c r="J115" s="20">
        <v>6</v>
      </c>
      <c r="K115" s="19">
        <v>7.3930000000000003E-3</v>
      </c>
      <c r="L115" s="21">
        <f t="shared" si="4"/>
        <v>2.1311792938024823</v>
      </c>
      <c r="M115" s="21">
        <f t="shared" si="5"/>
        <v>-0.68999999999999961</v>
      </c>
      <c r="N115" s="22">
        <f t="shared" si="6"/>
        <v>3.5086383061657265</v>
      </c>
      <c r="O115" s="23">
        <f t="shared" si="7"/>
        <v>0.61985384996949344</v>
      </c>
    </row>
    <row r="116" spans="1:15" x14ac:dyDescent="0.25">
      <c r="A116" s="14" t="s">
        <v>5853</v>
      </c>
      <c r="B116" s="14" t="s">
        <v>243</v>
      </c>
      <c r="C116" s="15" t="s">
        <v>244</v>
      </c>
      <c r="D116" s="16">
        <v>3.2600000000000001E-4</v>
      </c>
      <c r="E116" s="17">
        <v>10.039999999999999</v>
      </c>
      <c r="F116" s="17">
        <v>9.4740000000000002</v>
      </c>
      <c r="G116" s="18">
        <v>0.56740000000000002</v>
      </c>
      <c r="H116" s="19">
        <v>7.7249999999999999E-2</v>
      </c>
      <c r="I116" s="18">
        <v>7.3449999999999998</v>
      </c>
      <c r="J116" s="20">
        <v>6</v>
      </c>
      <c r="K116" s="19">
        <v>7.3930000000000003E-3</v>
      </c>
      <c r="L116" s="21">
        <f t="shared" si="4"/>
        <v>2.1311792938024823</v>
      </c>
      <c r="M116" s="21">
        <f t="shared" si="5"/>
        <v>0.56599999999999884</v>
      </c>
      <c r="N116" s="22">
        <f t="shared" si="6"/>
        <v>3.4867823999320606</v>
      </c>
      <c r="O116" s="23">
        <f t="shared" si="7"/>
        <v>1.4804132980000477</v>
      </c>
    </row>
    <row r="117" spans="1:15" x14ac:dyDescent="0.25">
      <c r="A117" s="14" t="s">
        <v>5854</v>
      </c>
      <c r="B117" s="14" t="s">
        <v>245</v>
      </c>
      <c r="C117" s="15" t="s">
        <v>246</v>
      </c>
      <c r="D117" s="16">
        <v>3.2899999999999997E-4</v>
      </c>
      <c r="E117" s="17">
        <v>13.43</v>
      </c>
      <c r="F117" s="17">
        <v>12.87</v>
      </c>
      <c r="G117" s="18">
        <v>0.56630000000000003</v>
      </c>
      <c r="H117" s="19">
        <v>7.7219999999999997E-2</v>
      </c>
      <c r="I117" s="18">
        <v>7.3330000000000002</v>
      </c>
      <c r="J117" s="20">
        <v>6</v>
      </c>
      <c r="K117" s="19">
        <v>7.3930000000000003E-3</v>
      </c>
      <c r="L117" s="21">
        <f t="shared" si="4"/>
        <v>2.1311792938024823</v>
      </c>
      <c r="M117" s="21">
        <f t="shared" si="5"/>
        <v>0.56000000000000105</v>
      </c>
      <c r="N117" s="22">
        <f t="shared" si="6"/>
        <v>3.4828041020500256</v>
      </c>
      <c r="O117" s="23">
        <f t="shared" si="7"/>
        <v>1.4742692172911023</v>
      </c>
    </row>
    <row r="118" spans="1:15" x14ac:dyDescent="0.25">
      <c r="A118" s="14" t="s">
        <v>5855</v>
      </c>
      <c r="B118" s="14" t="s">
        <v>249</v>
      </c>
      <c r="C118" s="15" t="s">
        <v>250</v>
      </c>
      <c r="D118" s="16">
        <v>3.3399999999999999E-4</v>
      </c>
      <c r="E118" s="17">
        <v>10.9</v>
      </c>
      <c r="F118" s="17">
        <v>10.09</v>
      </c>
      <c r="G118" s="18">
        <v>0.80889999999999995</v>
      </c>
      <c r="H118" s="19">
        <v>0.1106</v>
      </c>
      <c r="I118" s="18">
        <v>7.3129999999999997</v>
      </c>
      <c r="J118" s="20">
        <v>6</v>
      </c>
      <c r="K118" s="19">
        <v>7.3930000000000003E-3</v>
      </c>
      <c r="L118" s="21">
        <f t="shared" si="4"/>
        <v>2.1311792938024823</v>
      </c>
      <c r="M118" s="21">
        <f t="shared" si="5"/>
        <v>0.8100000000000005</v>
      </c>
      <c r="N118" s="22">
        <f t="shared" si="6"/>
        <v>3.476253533188435</v>
      </c>
      <c r="O118" s="23">
        <f t="shared" si="7"/>
        <v>1.7532114426320708</v>
      </c>
    </row>
    <row r="119" spans="1:15" x14ac:dyDescent="0.25">
      <c r="A119" s="14" t="s">
        <v>5856</v>
      </c>
      <c r="B119" s="14" t="s">
        <v>233</v>
      </c>
      <c r="C119" s="15" t="s">
        <v>234</v>
      </c>
      <c r="D119" s="16">
        <v>3.1100000000000002E-4</v>
      </c>
      <c r="E119" s="17">
        <v>11.53</v>
      </c>
      <c r="F119" s="17">
        <v>10.89</v>
      </c>
      <c r="G119" s="18">
        <v>0.63770000000000004</v>
      </c>
      <c r="H119" s="19">
        <v>8.6069999999999994E-2</v>
      </c>
      <c r="I119" s="18">
        <v>7.41</v>
      </c>
      <c r="J119" s="20">
        <v>6</v>
      </c>
      <c r="K119" s="19">
        <v>7.3930000000000003E-3</v>
      </c>
      <c r="L119" s="21">
        <f t="shared" si="4"/>
        <v>2.1311792938024823</v>
      </c>
      <c r="M119" s="21">
        <f t="shared" si="5"/>
        <v>0.63999999999999913</v>
      </c>
      <c r="N119" s="22">
        <f t="shared" si="6"/>
        <v>3.5072396109731625</v>
      </c>
      <c r="O119" s="23">
        <f t="shared" si="7"/>
        <v>1.5583291593209987</v>
      </c>
    </row>
    <row r="120" spans="1:15" x14ac:dyDescent="0.25">
      <c r="A120" s="14" t="s">
        <v>5857</v>
      </c>
      <c r="B120" s="14" t="s">
        <v>253</v>
      </c>
      <c r="C120" s="15" t="s">
        <v>254</v>
      </c>
      <c r="D120" s="16">
        <v>3.3500000000000001E-4</v>
      </c>
      <c r="E120" s="17">
        <v>10.38</v>
      </c>
      <c r="F120" s="17">
        <v>10.89</v>
      </c>
      <c r="G120" s="18">
        <v>-0.51160000000000005</v>
      </c>
      <c r="H120" s="19">
        <v>6.9989999999999997E-2</v>
      </c>
      <c r="I120" s="18">
        <v>7.31</v>
      </c>
      <c r="J120" s="20">
        <v>6</v>
      </c>
      <c r="K120" s="19">
        <v>7.3930000000000003E-3</v>
      </c>
      <c r="L120" s="21">
        <f t="shared" si="4"/>
        <v>2.1311792938024823</v>
      </c>
      <c r="M120" s="21">
        <f t="shared" si="5"/>
        <v>-0.50999999999999923</v>
      </c>
      <c r="N120" s="22">
        <f t="shared" si="6"/>
        <v>3.4749551929631544</v>
      </c>
      <c r="O120" s="23">
        <f t="shared" si="7"/>
        <v>0.70222243786899896</v>
      </c>
    </row>
    <row r="121" spans="1:15" x14ac:dyDescent="0.25">
      <c r="A121" s="14" t="s">
        <v>5858</v>
      </c>
      <c r="B121" s="14" t="s">
        <v>235</v>
      </c>
      <c r="C121" s="15" t="s">
        <v>236</v>
      </c>
      <c r="D121" s="16">
        <v>3.1799999999999998E-4</v>
      </c>
      <c r="E121" s="17">
        <v>10.72</v>
      </c>
      <c r="F121" s="17">
        <v>9.4239999999999995</v>
      </c>
      <c r="G121" s="18">
        <v>1.298</v>
      </c>
      <c r="H121" s="19">
        <v>0.17599999999999999</v>
      </c>
      <c r="I121" s="18">
        <v>7.3760000000000003</v>
      </c>
      <c r="J121" s="20">
        <v>6</v>
      </c>
      <c r="K121" s="19">
        <v>7.3930000000000003E-3</v>
      </c>
      <c r="L121" s="21">
        <f t="shared" si="4"/>
        <v>2.1311792938024823</v>
      </c>
      <c r="M121" s="21">
        <f t="shared" si="5"/>
        <v>1.2960000000000012</v>
      </c>
      <c r="N121" s="22">
        <f t="shared" si="6"/>
        <v>3.4975728800155665</v>
      </c>
      <c r="O121" s="23">
        <f t="shared" si="7"/>
        <v>2.4554713678301225</v>
      </c>
    </row>
    <row r="122" spans="1:15" x14ac:dyDescent="0.25">
      <c r="A122" s="14" t="s">
        <v>5859</v>
      </c>
      <c r="B122" s="14" t="s">
        <v>227</v>
      </c>
      <c r="C122" s="15" t="s">
        <v>228</v>
      </c>
      <c r="D122" s="16">
        <v>3.0600000000000001E-4</v>
      </c>
      <c r="E122" s="17">
        <v>12.74</v>
      </c>
      <c r="F122" s="17">
        <v>12.35</v>
      </c>
      <c r="G122" s="18">
        <v>0.38690000000000002</v>
      </c>
      <c r="H122" s="19">
        <v>5.2080000000000001E-2</v>
      </c>
      <c r="I122" s="18">
        <v>7.4290000000000003</v>
      </c>
      <c r="J122" s="20">
        <v>6</v>
      </c>
      <c r="K122" s="19">
        <v>7.3930000000000003E-3</v>
      </c>
      <c r="L122" s="21">
        <f t="shared" si="4"/>
        <v>2.1311792938024823</v>
      </c>
      <c r="M122" s="21">
        <f t="shared" si="5"/>
        <v>0.39000000000000079</v>
      </c>
      <c r="N122" s="22">
        <f t="shared" si="6"/>
        <v>3.5142785735184194</v>
      </c>
      <c r="O122" s="23">
        <f t="shared" si="7"/>
        <v>1.310393403858364</v>
      </c>
    </row>
    <row r="123" spans="1:15" x14ac:dyDescent="0.25">
      <c r="A123" s="14" t="s">
        <v>5860</v>
      </c>
      <c r="B123" s="14" t="s">
        <v>237</v>
      </c>
      <c r="C123" s="15" t="s">
        <v>238</v>
      </c>
      <c r="D123" s="16">
        <v>3.21E-4</v>
      </c>
      <c r="E123" s="17">
        <v>10.43</v>
      </c>
      <c r="F123" s="17">
        <v>11.04</v>
      </c>
      <c r="G123" s="18">
        <v>-0.60850000000000004</v>
      </c>
      <c r="H123" s="19">
        <v>8.2610000000000003E-2</v>
      </c>
      <c r="I123" s="18">
        <v>7.3659999999999997</v>
      </c>
      <c r="J123" s="20">
        <v>6</v>
      </c>
      <c r="K123" s="19">
        <v>7.3930000000000003E-3</v>
      </c>
      <c r="L123" s="21">
        <f t="shared" si="4"/>
        <v>2.1311792938024823</v>
      </c>
      <c r="M123" s="21">
        <f t="shared" si="5"/>
        <v>-0.60999999999999921</v>
      </c>
      <c r="N123" s="22">
        <f t="shared" si="6"/>
        <v>3.4934949675951272</v>
      </c>
      <c r="O123" s="23">
        <f t="shared" si="7"/>
        <v>0.655196701929182</v>
      </c>
    </row>
    <row r="124" spans="1:15" x14ac:dyDescent="0.25">
      <c r="A124" s="14" t="s">
        <v>5861</v>
      </c>
      <c r="B124" s="14" t="s">
        <v>241</v>
      </c>
      <c r="C124" s="15" t="s">
        <v>242</v>
      </c>
      <c r="D124" s="16">
        <v>3.2400000000000001E-4</v>
      </c>
      <c r="E124" s="17">
        <v>10.38</v>
      </c>
      <c r="F124" s="17">
        <v>11.01</v>
      </c>
      <c r="G124" s="18">
        <v>-0.63590000000000002</v>
      </c>
      <c r="H124" s="19">
        <v>8.6480000000000001E-2</v>
      </c>
      <c r="I124" s="18">
        <v>7.3540000000000001</v>
      </c>
      <c r="J124" s="20">
        <v>6</v>
      </c>
      <c r="K124" s="19">
        <v>7.3930000000000003E-3</v>
      </c>
      <c r="L124" s="21">
        <f t="shared" si="4"/>
        <v>2.1311792938024823</v>
      </c>
      <c r="M124" s="21">
        <f t="shared" si="5"/>
        <v>-0.62999999999999878</v>
      </c>
      <c r="N124" s="22">
        <f t="shared" si="6"/>
        <v>3.4894549897933875</v>
      </c>
      <c r="O124" s="23">
        <f t="shared" si="7"/>
        <v>0.6461764153187467</v>
      </c>
    </row>
    <row r="125" spans="1:15" x14ac:dyDescent="0.25">
      <c r="A125" s="14" t="s">
        <v>5862</v>
      </c>
      <c r="B125" s="14" t="s">
        <v>251</v>
      </c>
      <c r="C125" s="15" t="s">
        <v>252</v>
      </c>
      <c r="D125" s="16">
        <v>3.3399999999999999E-4</v>
      </c>
      <c r="E125" s="17">
        <v>9.5850000000000009</v>
      </c>
      <c r="F125" s="17">
        <v>10.050000000000001</v>
      </c>
      <c r="G125" s="18">
        <v>-0.46860000000000002</v>
      </c>
      <c r="H125" s="19">
        <v>6.4089999999999994E-2</v>
      </c>
      <c r="I125" s="18">
        <v>7.3120000000000003</v>
      </c>
      <c r="J125" s="20">
        <v>6</v>
      </c>
      <c r="K125" s="19">
        <v>7.3930000000000003E-3</v>
      </c>
      <c r="L125" s="21">
        <f t="shared" si="4"/>
        <v>2.1311792938024823</v>
      </c>
      <c r="M125" s="21">
        <f t="shared" si="5"/>
        <v>-0.46500000000000075</v>
      </c>
      <c r="N125" s="22">
        <f t="shared" si="6"/>
        <v>3.476253533188435</v>
      </c>
      <c r="O125" s="23">
        <f t="shared" si="7"/>
        <v>0.72447107727743909</v>
      </c>
    </row>
    <row r="126" spans="1:15" x14ac:dyDescent="0.25">
      <c r="A126" s="14" t="s">
        <v>5863</v>
      </c>
      <c r="B126" s="14" t="s">
        <v>229</v>
      </c>
      <c r="C126" s="15" t="s">
        <v>230</v>
      </c>
      <c r="D126" s="16">
        <v>3.1E-4</v>
      </c>
      <c r="E126" s="17">
        <v>9.3360000000000003</v>
      </c>
      <c r="F126" s="17">
        <v>9.827</v>
      </c>
      <c r="G126" s="18">
        <v>-0.49130000000000001</v>
      </c>
      <c r="H126" s="19">
        <v>6.6269999999999996E-2</v>
      </c>
      <c r="I126" s="18">
        <v>7.4139999999999997</v>
      </c>
      <c r="J126" s="20">
        <v>6</v>
      </c>
      <c r="K126" s="19">
        <v>7.3930000000000003E-3</v>
      </c>
      <c r="L126" s="21">
        <f t="shared" si="4"/>
        <v>2.1311792938024823</v>
      </c>
      <c r="M126" s="21">
        <f t="shared" si="5"/>
        <v>-0.49100000000000021</v>
      </c>
      <c r="N126" s="22">
        <f t="shared" si="6"/>
        <v>3.5086383061657265</v>
      </c>
      <c r="O126" s="23">
        <f t="shared" si="7"/>
        <v>0.71153173061729746</v>
      </c>
    </row>
    <row r="127" spans="1:15" x14ac:dyDescent="0.25">
      <c r="A127" s="14" t="s">
        <v>5864</v>
      </c>
      <c r="B127" s="14" t="s">
        <v>255</v>
      </c>
      <c r="C127" s="15" t="s">
        <v>256</v>
      </c>
      <c r="D127" s="16">
        <v>3.5100000000000002E-4</v>
      </c>
      <c r="E127" s="17">
        <v>10.26</v>
      </c>
      <c r="F127" s="17">
        <v>9.9550000000000001</v>
      </c>
      <c r="G127" s="18">
        <v>0.30940000000000001</v>
      </c>
      <c r="H127" s="19">
        <v>4.2689999999999999E-2</v>
      </c>
      <c r="I127" s="18">
        <v>7.2469999999999999</v>
      </c>
      <c r="J127" s="20">
        <v>6</v>
      </c>
      <c r="K127" s="19">
        <v>7.6860000000000001E-3</v>
      </c>
      <c r="L127" s="21">
        <f t="shared" si="4"/>
        <v>2.1142996198716699</v>
      </c>
      <c r="M127" s="21">
        <f t="shared" si="5"/>
        <v>0.30499999999999944</v>
      </c>
      <c r="N127" s="22">
        <f t="shared" si="6"/>
        <v>3.4546928835341757</v>
      </c>
      <c r="O127" s="23">
        <f t="shared" si="7"/>
        <v>1.2354186371269287</v>
      </c>
    </row>
    <row r="128" spans="1:15" x14ac:dyDescent="0.25">
      <c r="A128" s="14" t="s">
        <v>5865</v>
      </c>
      <c r="B128" s="14" t="s">
        <v>257</v>
      </c>
      <c r="C128" s="15" t="s">
        <v>258</v>
      </c>
      <c r="D128" s="16">
        <v>3.59E-4</v>
      </c>
      <c r="E128" s="17">
        <v>8.9550000000000001</v>
      </c>
      <c r="F128" s="17">
        <v>9.8049999999999997</v>
      </c>
      <c r="G128" s="18">
        <v>-0.85</v>
      </c>
      <c r="H128" s="19">
        <v>0.1178</v>
      </c>
      <c r="I128" s="18">
        <v>7.2169999999999996</v>
      </c>
      <c r="J128" s="20">
        <v>6</v>
      </c>
      <c r="K128" s="19">
        <v>7.803E-3</v>
      </c>
      <c r="L128" s="21">
        <f t="shared" si="4"/>
        <v>2.1077383930844649</v>
      </c>
      <c r="M128" s="21">
        <f t="shared" si="5"/>
        <v>-0.84999999999999931</v>
      </c>
      <c r="N128" s="22">
        <f t="shared" si="6"/>
        <v>3.4449055514216806</v>
      </c>
      <c r="O128" s="23">
        <f t="shared" si="7"/>
        <v>0.55478473603392275</v>
      </c>
    </row>
    <row r="129" spans="1:15" x14ac:dyDescent="0.25">
      <c r="A129" s="14" t="s">
        <v>5866</v>
      </c>
      <c r="B129" s="14" t="s">
        <v>259</v>
      </c>
      <c r="C129" s="15" t="s">
        <v>260</v>
      </c>
      <c r="D129" s="16">
        <v>3.7199999999999999E-4</v>
      </c>
      <c r="E129" s="17">
        <v>11.28</v>
      </c>
      <c r="F129" s="17">
        <v>10.79</v>
      </c>
      <c r="G129" s="18">
        <v>0.4904</v>
      </c>
      <c r="H129" s="19">
        <v>6.8390000000000006E-2</v>
      </c>
      <c r="I129" s="18">
        <v>7.17</v>
      </c>
      <c r="J129" s="20">
        <v>6</v>
      </c>
      <c r="K129" s="19">
        <v>8.0230000000000006E-3</v>
      </c>
      <c r="L129" s="21">
        <f t="shared" si="4"/>
        <v>2.095663207797505</v>
      </c>
      <c r="M129" s="21">
        <f t="shared" si="5"/>
        <v>0.49000000000000099</v>
      </c>
      <c r="N129" s="22">
        <f t="shared" si="6"/>
        <v>3.4294570601181023</v>
      </c>
      <c r="O129" s="23">
        <f t="shared" si="7"/>
        <v>1.4044448757379981</v>
      </c>
    </row>
    <row r="130" spans="1:15" x14ac:dyDescent="0.25">
      <c r="A130" s="14" t="s">
        <v>5867</v>
      </c>
      <c r="B130" s="14" t="s">
        <v>261</v>
      </c>
      <c r="C130" s="15" t="s">
        <v>262</v>
      </c>
      <c r="D130" s="16">
        <v>3.9800000000000002E-4</v>
      </c>
      <c r="E130" s="17">
        <v>9.2520000000000007</v>
      </c>
      <c r="F130" s="17">
        <v>8.2460000000000004</v>
      </c>
      <c r="G130" s="18">
        <v>1.006</v>
      </c>
      <c r="H130" s="19">
        <v>0.14199999999999999</v>
      </c>
      <c r="I130" s="18">
        <v>7.08</v>
      </c>
      <c r="J130" s="20">
        <v>6</v>
      </c>
      <c r="K130" s="19">
        <v>8.5240000000000003E-3</v>
      </c>
      <c r="L130" s="21">
        <f t="shared" ref="L130:L193" si="8">-LOG(K130,10)</f>
        <v>2.0693565589578355</v>
      </c>
      <c r="M130" s="21">
        <f t="shared" ref="M130:M193" si="9">LOG(O130,2)</f>
        <v>1.0060000000000002</v>
      </c>
      <c r="N130" s="22">
        <f t="shared" ref="N130:N193" si="10">-LOG(D130,10)</f>
        <v>3.4001169279263115</v>
      </c>
      <c r="O130" s="23">
        <f t="shared" ref="O130:O193" si="11">((2^E130)/(2^F130))</f>
        <v>2.0083350864779463</v>
      </c>
    </row>
    <row r="131" spans="1:15" x14ac:dyDescent="0.25">
      <c r="A131" s="14" t="s">
        <v>5868</v>
      </c>
      <c r="B131" s="14" t="s">
        <v>265</v>
      </c>
      <c r="C131" s="15" t="s">
        <v>266</v>
      </c>
      <c r="D131" s="16">
        <v>4.0499999999999998E-4</v>
      </c>
      <c r="E131" s="17">
        <v>11.12</v>
      </c>
      <c r="F131" s="17">
        <v>10.81</v>
      </c>
      <c r="G131" s="18">
        <v>0.31709999999999999</v>
      </c>
      <c r="H131" s="19">
        <v>4.4929999999999998E-2</v>
      </c>
      <c r="I131" s="18">
        <v>7.0590000000000002</v>
      </c>
      <c r="J131" s="20">
        <v>6</v>
      </c>
      <c r="K131" s="19">
        <v>8.5339999999999999E-3</v>
      </c>
      <c r="L131" s="21">
        <f t="shared" si="8"/>
        <v>2.0688473614767062</v>
      </c>
      <c r="M131" s="21">
        <f t="shared" si="9"/>
        <v>0.30999999999999778</v>
      </c>
      <c r="N131" s="22">
        <f t="shared" si="10"/>
        <v>3.3925449767853313</v>
      </c>
      <c r="O131" s="23">
        <f t="shared" si="11"/>
        <v>1.2397076999389847</v>
      </c>
    </row>
    <row r="132" spans="1:15" x14ac:dyDescent="0.25">
      <c r="A132" s="14" t="s">
        <v>5869</v>
      </c>
      <c r="B132" s="14" t="s">
        <v>263</v>
      </c>
      <c r="C132" s="15" t="s">
        <v>264</v>
      </c>
      <c r="D132" s="16">
        <v>4.0299999999999998E-4</v>
      </c>
      <c r="E132" s="17">
        <v>9.6</v>
      </c>
      <c r="F132" s="17">
        <v>10.27</v>
      </c>
      <c r="G132" s="18">
        <v>-0.66620000000000001</v>
      </c>
      <c r="H132" s="19">
        <v>9.4289999999999999E-2</v>
      </c>
      <c r="I132" s="18">
        <v>7.0650000000000004</v>
      </c>
      <c r="J132" s="20">
        <v>6</v>
      </c>
      <c r="K132" s="19">
        <v>8.5339999999999999E-3</v>
      </c>
      <c r="L132" s="21">
        <f t="shared" si="8"/>
        <v>2.0688473614767062</v>
      </c>
      <c r="M132" s="21">
        <f t="shared" si="9"/>
        <v>-0.66999999999999893</v>
      </c>
      <c r="N132" s="22">
        <f t="shared" si="10"/>
        <v>3.3946949538588904</v>
      </c>
      <c r="O132" s="23">
        <f t="shared" si="11"/>
        <v>0.62850668726091463</v>
      </c>
    </row>
    <row r="133" spans="1:15" x14ac:dyDescent="0.25">
      <c r="A133" s="14" t="s">
        <v>5870</v>
      </c>
      <c r="B133" s="14" t="s">
        <v>267</v>
      </c>
      <c r="C133" s="15" t="s">
        <v>268</v>
      </c>
      <c r="D133" s="16">
        <v>4.4200000000000001E-4</v>
      </c>
      <c r="E133" s="17">
        <v>13.24</v>
      </c>
      <c r="F133" s="17">
        <v>12.5</v>
      </c>
      <c r="G133" s="18">
        <v>0.73909999999999998</v>
      </c>
      <c r="H133" s="19">
        <v>0.10639999999999999</v>
      </c>
      <c r="I133" s="18">
        <v>6.944</v>
      </c>
      <c r="J133" s="20">
        <v>6</v>
      </c>
      <c r="K133" s="19">
        <v>9.2589999999999999E-3</v>
      </c>
      <c r="L133" s="21">
        <f t="shared" si="8"/>
        <v>2.0334359159026891</v>
      </c>
      <c r="M133" s="21">
        <f t="shared" si="9"/>
        <v>0.74000000000000032</v>
      </c>
      <c r="N133" s="22">
        <f t="shared" si="10"/>
        <v>3.3545777306509077</v>
      </c>
      <c r="O133" s="23">
        <f t="shared" si="11"/>
        <v>1.6701758388567391</v>
      </c>
    </row>
    <row r="134" spans="1:15" x14ac:dyDescent="0.25">
      <c r="A134" s="14" t="s">
        <v>5871</v>
      </c>
      <c r="B134" s="14" t="s">
        <v>269</v>
      </c>
      <c r="C134" s="15" t="s">
        <v>270</v>
      </c>
      <c r="D134" s="16">
        <v>4.5399999999999998E-4</v>
      </c>
      <c r="E134" s="17">
        <v>13.19</v>
      </c>
      <c r="F134" s="17">
        <v>13.63</v>
      </c>
      <c r="G134" s="18">
        <v>-0.44180000000000003</v>
      </c>
      <c r="H134" s="19">
        <v>6.3939999999999997E-2</v>
      </c>
      <c r="I134" s="18">
        <v>6.9089999999999998</v>
      </c>
      <c r="J134" s="20">
        <v>6</v>
      </c>
      <c r="K134" s="19">
        <v>9.4389999999999995E-3</v>
      </c>
      <c r="L134" s="21">
        <f t="shared" si="8"/>
        <v>2.0250740139102374</v>
      </c>
      <c r="M134" s="21">
        <f t="shared" si="9"/>
        <v>-0.44000000000000161</v>
      </c>
      <c r="N134" s="22">
        <f t="shared" si="10"/>
        <v>3.3429441471428958</v>
      </c>
      <c r="O134" s="23">
        <f t="shared" si="11"/>
        <v>0.7371346086455498</v>
      </c>
    </row>
    <row r="135" spans="1:15" x14ac:dyDescent="0.25">
      <c r="A135" s="14" t="s">
        <v>5872</v>
      </c>
      <c r="B135" s="14" t="s">
        <v>271</v>
      </c>
      <c r="C135" s="15" t="s">
        <v>272</v>
      </c>
      <c r="D135" s="16">
        <v>4.6900000000000002E-4</v>
      </c>
      <c r="E135" s="17">
        <v>13.17</v>
      </c>
      <c r="F135" s="17">
        <v>13.52</v>
      </c>
      <c r="G135" s="18">
        <v>-0.34839999999999999</v>
      </c>
      <c r="H135" s="19">
        <v>5.0720000000000001E-2</v>
      </c>
      <c r="I135" s="18">
        <v>6.87</v>
      </c>
      <c r="J135" s="20">
        <v>6</v>
      </c>
      <c r="K135" s="19">
        <v>9.6640000000000007E-3</v>
      </c>
      <c r="L135" s="21">
        <f t="shared" si="8"/>
        <v>2.0148430787229432</v>
      </c>
      <c r="M135" s="21">
        <f t="shared" si="9"/>
        <v>-0.34999999999999931</v>
      </c>
      <c r="N135" s="22">
        <f t="shared" si="10"/>
        <v>3.3288271572849162</v>
      </c>
      <c r="O135" s="23">
        <f t="shared" si="11"/>
        <v>0.7845840978967511</v>
      </c>
    </row>
    <row r="136" spans="1:15" x14ac:dyDescent="0.25">
      <c r="A136" s="14" t="s">
        <v>5873</v>
      </c>
      <c r="B136" s="14" t="s">
        <v>273</v>
      </c>
      <c r="C136" s="15" t="s">
        <v>274</v>
      </c>
      <c r="D136" s="16">
        <v>4.8200000000000001E-4</v>
      </c>
      <c r="E136" s="17">
        <v>9.9540000000000006</v>
      </c>
      <c r="F136" s="17">
        <v>9.3279999999999994</v>
      </c>
      <c r="G136" s="18">
        <v>0.62529999999999997</v>
      </c>
      <c r="H136" s="19">
        <v>9.1499999999999998E-2</v>
      </c>
      <c r="I136" s="18">
        <v>6.8339999999999996</v>
      </c>
      <c r="J136" s="20">
        <v>6</v>
      </c>
      <c r="K136" s="19">
        <v>9.8700000000000003E-3</v>
      </c>
      <c r="L136" s="21">
        <f t="shared" si="8"/>
        <v>2.005682847330363</v>
      </c>
      <c r="M136" s="21">
        <f t="shared" si="9"/>
        <v>0.62600000000000089</v>
      </c>
      <c r="N136" s="22">
        <f t="shared" si="10"/>
        <v>3.31695296176115</v>
      </c>
      <c r="O136" s="23">
        <f t="shared" si="11"/>
        <v>1.5432801750589358</v>
      </c>
    </row>
    <row r="137" spans="1:15" x14ac:dyDescent="0.25">
      <c r="A137" s="14" t="s">
        <v>5874</v>
      </c>
      <c r="B137" s="14" t="s">
        <v>287</v>
      </c>
      <c r="C137" s="15" t="s">
        <v>288</v>
      </c>
      <c r="D137" s="16">
        <v>5.1599999999999997E-4</v>
      </c>
      <c r="E137" s="17">
        <v>10.09</v>
      </c>
      <c r="F137" s="17">
        <v>9.7189999999999994</v>
      </c>
      <c r="G137" s="18">
        <v>0.36890000000000001</v>
      </c>
      <c r="H137" s="19">
        <v>5.466E-2</v>
      </c>
      <c r="I137" s="18">
        <v>6.7489999999999997</v>
      </c>
      <c r="J137" s="20">
        <v>6</v>
      </c>
      <c r="K137" s="19">
        <v>9.9600000000000001E-3</v>
      </c>
      <c r="L137" s="21">
        <f t="shared" si="8"/>
        <v>2.0017406615763012</v>
      </c>
      <c r="M137" s="21">
        <f t="shared" si="9"/>
        <v>0.37100000000000055</v>
      </c>
      <c r="N137" s="22">
        <f t="shared" si="10"/>
        <v>3.2873502983727887</v>
      </c>
      <c r="O137" s="23">
        <f t="shared" si="11"/>
        <v>1.2932489318874874</v>
      </c>
    </row>
    <row r="138" spans="1:15" x14ac:dyDescent="0.25">
      <c r="A138" s="14" t="s">
        <v>5875</v>
      </c>
      <c r="B138" s="14" t="s">
        <v>293</v>
      </c>
      <c r="C138" s="15" t="s">
        <v>294</v>
      </c>
      <c r="D138" s="16">
        <v>5.31E-4</v>
      </c>
      <c r="E138" s="17">
        <v>7.9889999999999999</v>
      </c>
      <c r="F138" s="17">
        <v>7.1749999999999998</v>
      </c>
      <c r="G138" s="18">
        <v>0.81469999999999998</v>
      </c>
      <c r="H138" s="19">
        <v>0.10349999999999999</v>
      </c>
      <c r="I138" s="18">
        <v>7.875</v>
      </c>
      <c r="J138" s="20">
        <v>5</v>
      </c>
      <c r="K138" s="19">
        <v>9.9600000000000001E-3</v>
      </c>
      <c r="L138" s="21">
        <f t="shared" si="8"/>
        <v>2.0017406615763012</v>
      </c>
      <c r="M138" s="21">
        <f t="shared" si="9"/>
        <v>0.81400000000000095</v>
      </c>
      <c r="N138" s="22">
        <f t="shared" si="10"/>
        <v>3.274905478918531</v>
      </c>
      <c r="O138" s="23">
        <f t="shared" si="11"/>
        <v>1.7580791218235752</v>
      </c>
    </row>
    <row r="139" spans="1:15" x14ac:dyDescent="0.25">
      <c r="A139" s="14" t="s">
        <v>5876</v>
      </c>
      <c r="B139" s="14" t="s">
        <v>275</v>
      </c>
      <c r="C139" s="15" t="s">
        <v>276</v>
      </c>
      <c r="D139" s="16">
        <v>4.9299999999999995E-4</v>
      </c>
      <c r="E139" s="17">
        <v>12.57</v>
      </c>
      <c r="F139" s="17">
        <v>11.61</v>
      </c>
      <c r="G139" s="18">
        <v>0.95799999999999996</v>
      </c>
      <c r="H139" s="19">
        <v>0.14069999999999999</v>
      </c>
      <c r="I139" s="18">
        <v>6.8070000000000004</v>
      </c>
      <c r="J139" s="20">
        <v>6</v>
      </c>
      <c r="K139" s="19">
        <v>9.9600000000000001E-3</v>
      </c>
      <c r="L139" s="21">
        <f t="shared" si="8"/>
        <v>2.0017406615763012</v>
      </c>
      <c r="M139" s="21">
        <f t="shared" si="9"/>
        <v>0.96000000000000096</v>
      </c>
      <c r="N139" s="22">
        <f t="shared" si="10"/>
        <v>3.3071530807227694</v>
      </c>
      <c r="O139" s="23">
        <f t="shared" si="11"/>
        <v>1.9453098948245724</v>
      </c>
    </row>
    <row r="140" spans="1:15" x14ac:dyDescent="0.25">
      <c r="A140" s="14" t="s">
        <v>5877</v>
      </c>
      <c r="B140" s="14" t="s">
        <v>289</v>
      </c>
      <c r="C140" s="15" t="s">
        <v>290</v>
      </c>
      <c r="D140" s="16">
        <v>5.1699999999999999E-4</v>
      </c>
      <c r="E140" s="17">
        <v>11.47</v>
      </c>
      <c r="F140" s="17">
        <v>11.67</v>
      </c>
      <c r="G140" s="18">
        <v>-0.1968</v>
      </c>
      <c r="H140" s="19">
        <v>2.9159999999999998E-2</v>
      </c>
      <c r="I140" s="18">
        <v>6.7469999999999999</v>
      </c>
      <c r="J140" s="20">
        <v>6</v>
      </c>
      <c r="K140" s="19">
        <v>9.9600000000000001E-3</v>
      </c>
      <c r="L140" s="21">
        <f t="shared" si="8"/>
        <v>2.0017406615763012</v>
      </c>
      <c r="M140" s="21">
        <f t="shared" si="9"/>
        <v>-0.19999999999999984</v>
      </c>
      <c r="N140" s="22">
        <f t="shared" si="10"/>
        <v>3.2865094569060576</v>
      </c>
      <c r="O140" s="23">
        <f t="shared" si="11"/>
        <v>0.87055056329612424</v>
      </c>
    </row>
    <row r="141" spans="1:15" x14ac:dyDescent="0.25">
      <c r="A141" s="14" t="s">
        <v>5878</v>
      </c>
      <c r="B141" s="14" t="s">
        <v>295</v>
      </c>
      <c r="C141" s="15" t="s">
        <v>296</v>
      </c>
      <c r="D141" s="16">
        <v>5.3300000000000005E-4</v>
      </c>
      <c r="E141" s="17">
        <v>8.6590000000000007</v>
      </c>
      <c r="F141" s="17">
        <v>8.2629999999999999</v>
      </c>
      <c r="G141" s="18">
        <v>0.39550000000000002</v>
      </c>
      <c r="H141" s="19">
        <v>5.8959999999999999E-2</v>
      </c>
      <c r="I141" s="18">
        <v>6.7080000000000002</v>
      </c>
      <c r="J141" s="20">
        <v>6</v>
      </c>
      <c r="K141" s="19">
        <v>9.9600000000000001E-3</v>
      </c>
      <c r="L141" s="21">
        <f t="shared" si="8"/>
        <v>2.0017406615763012</v>
      </c>
      <c r="M141" s="21">
        <f t="shared" si="9"/>
        <v>0.39600000000000118</v>
      </c>
      <c r="N141" s="22">
        <f t="shared" si="10"/>
        <v>3.2732727909734272</v>
      </c>
      <c r="O141" s="23">
        <f t="shared" si="11"/>
        <v>1.3158545250290092</v>
      </c>
    </row>
    <row r="142" spans="1:15" x14ac:dyDescent="0.25">
      <c r="A142" s="14" t="s">
        <v>5879</v>
      </c>
      <c r="B142" s="14" t="s">
        <v>285</v>
      </c>
      <c r="C142" s="15" t="s">
        <v>286</v>
      </c>
      <c r="D142" s="16">
        <v>5.1400000000000003E-4</v>
      </c>
      <c r="E142" s="17">
        <v>8.9290000000000003</v>
      </c>
      <c r="F142" s="17">
        <v>8.11</v>
      </c>
      <c r="G142" s="18">
        <v>0.81899999999999995</v>
      </c>
      <c r="H142" s="19">
        <v>0.12130000000000001</v>
      </c>
      <c r="I142" s="18">
        <v>6.7539999999999996</v>
      </c>
      <c r="J142" s="20">
        <v>6</v>
      </c>
      <c r="K142" s="19">
        <v>9.9600000000000001E-3</v>
      </c>
      <c r="L142" s="21">
        <f t="shared" si="8"/>
        <v>2.0017406615763012</v>
      </c>
      <c r="M142" s="21">
        <f t="shared" si="9"/>
        <v>0.81900000000000173</v>
      </c>
      <c r="N142" s="22">
        <f t="shared" si="10"/>
        <v>3.2890368810047241</v>
      </c>
      <c r="O142" s="23">
        <f t="shared" si="11"/>
        <v>1.7641827303943551</v>
      </c>
    </row>
    <row r="143" spans="1:15" x14ac:dyDescent="0.25">
      <c r="A143" s="14" t="s">
        <v>5880</v>
      </c>
      <c r="B143" s="14" t="s">
        <v>277</v>
      </c>
      <c r="C143" s="15" t="s">
        <v>278</v>
      </c>
      <c r="D143" s="16">
        <v>4.9700000000000005E-4</v>
      </c>
      <c r="E143" s="17">
        <v>10.45</v>
      </c>
      <c r="F143" s="17">
        <v>9.7949999999999999</v>
      </c>
      <c r="G143" s="18">
        <v>0.65380000000000005</v>
      </c>
      <c r="H143" s="19">
        <v>9.6229999999999996E-2</v>
      </c>
      <c r="I143" s="18">
        <v>6.7949999999999999</v>
      </c>
      <c r="J143" s="20">
        <v>6</v>
      </c>
      <c r="K143" s="19">
        <v>9.9600000000000001E-3</v>
      </c>
      <c r="L143" s="21">
        <f t="shared" si="8"/>
        <v>2.0017406615763012</v>
      </c>
      <c r="M143" s="21">
        <f t="shared" si="9"/>
        <v>0.65500000000000047</v>
      </c>
      <c r="N143" s="22">
        <f t="shared" si="10"/>
        <v>3.3036436112666676</v>
      </c>
      <c r="O143" s="23">
        <f t="shared" si="11"/>
        <v>1.5746159531384072</v>
      </c>
    </row>
    <row r="144" spans="1:15" x14ac:dyDescent="0.25">
      <c r="A144" s="14" t="s">
        <v>5881</v>
      </c>
      <c r="B144" s="14" t="s">
        <v>301</v>
      </c>
      <c r="C144" s="15" t="s">
        <v>302</v>
      </c>
      <c r="D144" s="16">
        <v>5.3700000000000004E-4</v>
      </c>
      <c r="E144" s="17">
        <v>9.0649999999999995</v>
      </c>
      <c r="F144" s="17">
        <v>9.6189999999999998</v>
      </c>
      <c r="G144" s="18">
        <v>-0.55369999999999997</v>
      </c>
      <c r="H144" s="19">
        <v>8.2669999999999993E-2</v>
      </c>
      <c r="I144" s="18">
        <v>6.6980000000000004</v>
      </c>
      <c r="J144" s="20">
        <v>6</v>
      </c>
      <c r="K144" s="19">
        <v>9.9600000000000001E-3</v>
      </c>
      <c r="L144" s="21">
        <f t="shared" si="8"/>
        <v>2.0017406615763012</v>
      </c>
      <c r="M144" s="21">
        <f t="shared" si="9"/>
        <v>-0.55399999999999971</v>
      </c>
      <c r="N144" s="22">
        <f t="shared" si="10"/>
        <v>3.2700257143004441</v>
      </c>
      <c r="O144" s="23">
        <f t="shared" si="11"/>
        <v>0.68112901732024422</v>
      </c>
    </row>
    <row r="145" spans="1:15" x14ac:dyDescent="0.25">
      <c r="A145" s="14" t="s">
        <v>5882</v>
      </c>
      <c r="B145" s="14" t="s">
        <v>281</v>
      </c>
      <c r="C145" s="15" t="s">
        <v>282</v>
      </c>
      <c r="D145" s="16">
        <v>5.0699999999999996E-4</v>
      </c>
      <c r="E145" s="17">
        <v>9.9619999999999997</v>
      </c>
      <c r="F145" s="17">
        <v>10.89</v>
      </c>
      <c r="G145" s="18">
        <v>-0.92400000000000004</v>
      </c>
      <c r="H145" s="19">
        <v>0.13650000000000001</v>
      </c>
      <c r="I145" s="18">
        <v>6.7709999999999999</v>
      </c>
      <c r="J145" s="20">
        <v>6</v>
      </c>
      <c r="K145" s="19">
        <v>9.9600000000000001E-3</v>
      </c>
      <c r="L145" s="21">
        <f t="shared" si="8"/>
        <v>2.0017406615763012</v>
      </c>
      <c r="M145" s="21">
        <f t="shared" si="9"/>
        <v>-0.92800000000000049</v>
      </c>
      <c r="N145" s="22">
        <f t="shared" si="10"/>
        <v>3.294992040666664</v>
      </c>
      <c r="O145" s="23">
        <f t="shared" si="11"/>
        <v>0.52558645454385311</v>
      </c>
    </row>
    <row r="146" spans="1:15" x14ac:dyDescent="0.25">
      <c r="A146" s="14" t="s">
        <v>5883</v>
      </c>
      <c r="B146" s="14" t="s">
        <v>297</v>
      </c>
      <c r="C146" s="15" t="s">
        <v>298</v>
      </c>
      <c r="D146" s="16">
        <v>5.3499999999999999E-4</v>
      </c>
      <c r="E146" s="17">
        <v>11.74</v>
      </c>
      <c r="F146" s="17">
        <v>12.32</v>
      </c>
      <c r="G146" s="18">
        <v>-0.5796</v>
      </c>
      <c r="H146" s="19">
        <v>8.6449999999999999E-2</v>
      </c>
      <c r="I146" s="18">
        <v>6.7050000000000001</v>
      </c>
      <c r="J146" s="20">
        <v>6</v>
      </c>
      <c r="K146" s="19">
        <v>9.9600000000000001E-3</v>
      </c>
      <c r="L146" s="21">
        <f t="shared" si="8"/>
        <v>2.0017406615763012</v>
      </c>
      <c r="M146" s="21">
        <f t="shared" si="9"/>
        <v>-0.58000000000000174</v>
      </c>
      <c r="N146" s="22">
        <f t="shared" si="10"/>
        <v>3.2716462179787711</v>
      </c>
      <c r="O146" s="23">
        <f t="shared" si="11"/>
        <v>0.66896377739305524</v>
      </c>
    </row>
    <row r="147" spans="1:15" x14ac:dyDescent="0.25">
      <c r="A147" s="14" t="s">
        <v>5884</v>
      </c>
      <c r="B147" s="14" t="s">
        <v>291</v>
      </c>
      <c r="C147" s="15" t="s">
        <v>292</v>
      </c>
      <c r="D147" s="16">
        <v>5.2099999999999998E-4</v>
      </c>
      <c r="E147" s="17">
        <v>8.8390000000000004</v>
      </c>
      <c r="F147" s="17">
        <v>9.6739999999999995</v>
      </c>
      <c r="G147" s="18">
        <v>-0.83489999999999998</v>
      </c>
      <c r="H147" s="19">
        <v>0.1239</v>
      </c>
      <c r="I147" s="18">
        <v>6.7380000000000004</v>
      </c>
      <c r="J147" s="20">
        <v>6</v>
      </c>
      <c r="K147" s="19">
        <v>9.9600000000000001E-3</v>
      </c>
      <c r="L147" s="21">
        <f t="shared" si="8"/>
        <v>2.0017406615763012</v>
      </c>
      <c r="M147" s="21">
        <f t="shared" si="9"/>
        <v>-0.83499999999999974</v>
      </c>
      <c r="N147" s="22">
        <f t="shared" si="10"/>
        <v>3.2831622767004753</v>
      </c>
      <c r="O147" s="23">
        <f t="shared" si="11"/>
        <v>0.56058303901425455</v>
      </c>
    </row>
    <row r="148" spans="1:15" x14ac:dyDescent="0.25">
      <c r="A148" s="14" t="s">
        <v>5885</v>
      </c>
      <c r="B148" s="14" t="s">
        <v>299</v>
      </c>
      <c r="C148" s="15" t="s">
        <v>300</v>
      </c>
      <c r="D148" s="16">
        <v>5.3600000000000002E-4</v>
      </c>
      <c r="E148" s="17">
        <v>11.48</v>
      </c>
      <c r="F148" s="17">
        <v>12.18</v>
      </c>
      <c r="G148" s="18">
        <v>-0.70230000000000004</v>
      </c>
      <c r="H148" s="19">
        <v>0.1048</v>
      </c>
      <c r="I148" s="18">
        <v>6.702</v>
      </c>
      <c r="J148" s="20">
        <v>6</v>
      </c>
      <c r="K148" s="19">
        <v>9.9600000000000001E-3</v>
      </c>
      <c r="L148" s="21">
        <f t="shared" si="8"/>
        <v>2.0017406615763012</v>
      </c>
      <c r="M148" s="21">
        <f t="shared" si="9"/>
        <v>-0.69999999999999862</v>
      </c>
      <c r="N148" s="22">
        <f t="shared" si="10"/>
        <v>3.2708352103072293</v>
      </c>
      <c r="O148" s="23">
        <f t="shared" si="11"/>
        <v>0.61557220667245871</v>
      </c>
    </row>
    <row r="149" spans="1:15" x14ac:dyDescent="0.25">
      <c r="A149" s="14" t="s">
        <v>5886</v>
      </c>
      <c r="B149" s="14" t="s">
        <v>279</v>
      </c>
      <c r="C149" s="15" t="s">
        <v>280</v>
      </c>
      <c r="D149" s="16">
        <v>5.0299999999999997E-4</v>
      </c>
      <c r="E149" s="17">
        <v>11.69</v>
      </c>
      <c r="F149" s="17">
        <v>12.21</v>
      </c>
      <c r="G149" s="18">
        <v>-0.5161</v>
      </c>
      <c r="H149" s="19">
        <v>7.6109999999999997E-2</v>
      </c>
      <c r="I149" s="18">
        <v>6.78</v>
      </c>
      <c r="J149" s="20">
        <v>6</v>
      </c>
      <c r="K149" s="19">
        <v>9.9600000000000001E-3</v>
      </c>
      <c r="L149" s="21">
        <f t="shared" si="8"/>
        <v>2.0017406615763012</v>
      </c>
      <c r="M149" s="21">
        <f t="shared" si="9"/>
        <v>-0.52000000000000235</v>
      </c>
      <c r="N149" s="22">
        <f t="shared" si="10"/>
        <v>3.2984320149440722</v>
      </c>
      <c r="O149" s="23">
        <f t="shared" si="11"/>
        <v>0.69737183317520157</v>
      </c>
    </row>
    <row r="150" spans="1:15" x14ac:dyDescent="0.25">
      <c r="A150" s="14" t="s">
        <v>5887</v>
      </c>
      <c r="B150" s="14" t="s">
        <v>283</v>
      </c>
      <c r="C150" s="15" t="s">
        <v>284</v>
      </c>
      <c r="D150" s="16">
        <v>5.0699999999999996E-4</v>
      </c>
      <c r="E150" s="17">
        <v>9.4670000000000005</v>
      </c>
      <c r="F150" s="17">
        <v>9.1189999999999998</v>
      </c>
      <c r="G150" s="18">
        <v>0.34839999999999999</v>
      </c>
      <c r="H150" s="19">
        <v>5.1459999999999999E-2</v>
      </c>
      <c r="I150" s="18">
        <v>6.77</v>
      </c>
      <c r="J150" s="20">
        <v>6</v>
      </c>
      <c r="K150" s="19">
        <v>9.9600000000000001E-3</v>
      </c>
      <c r="L150" s="21">
        <f t="shared" si="8"/>
        <v>2.0017406615763012</v>
      </c>
      <c r="M150" s="21">
        <f t="shared" si="9"/>
        <v>0.3480000000000012</v>
      </c>
      <c r="N150" s="22">
        <f t="shared" si="10"/>
        <v>3.294992040666664</v>
      </c>
      <c r="O150" s="23">
        <f t="shared" si="11"/>
        <v>1.272794935275944</v>
      </c>
    </row>
    <row r="151" spans="1:15" x14ac:dyDescent="0.25">
      <c r="A151" s="14" t="s">
        <v>5888</v>
      </c>
      <c r="B151" s="14" t="s">
        <v>303</v>
      </c>
      <c r="C151" s="15" t="s">
        <v>304</v>
      </c>
      <c r="D151" s="16">
        <v>5.44E-4</v>
      </c>
      <c r="E151" s="17">
        <v>8.2509999999999994</v>
      </c>
      <c r="F151" s="17">
        <v>7.1980000000000004</v>
      </c>
      <c r="G151" s="18">
        <v>1.0529999999999999</v>
      </c>
      <c r="H151" s="19">
        <v>0.15759999999999999</v>
      </c>
      <c r="I151" s="18">
        <v>6.6820000000000004</v>
      </c>
      <c r="J151" s="20">
        <v>6</v>
      </c>
      <c r="K151" s="19">
        <v>1.0026E-2</v>
      </c>
      <c r="L151" s="21">
        <f t="shared" si="8"/>
        <v>1.9988722997229651</v>
      </c>
      <c r="M151" s="21">
        <f t="shared" si="9"/>
        <v>1.0529999999999993</v>
      </c>
      <c r="N151" s="22">
        <f t="shared" si="10"/>
        <v>3.2644011003018196</v>
      </c>
      <c r="O151" s="23">
        <f t="shared" si="11"/>
        <v>2.0748398731312219</v>
      </c>
    </row>
    <row r="152" spans="1:15" x14ac:dyDescent="0.25">
      <c r="A152" s="14" t="s">
        <v>5889</v>
      </c>
      <c r="B152" s="14" t="s">
        <v>305</v>
      </c>
      <c r="C152" s="15" t="s">
        <v>306</v>
      </c>
      <c r="D152" s="16">
        <v>5.6899999999999995E-4</v>
      </c>
      <c r="E152" s="17">
        <v>9.7560000000000002</v>
      </c>
      <c r="F152" s="17">
        <v>9.18</v>
      </c>
      <c r="G152" s="18">
        <v>0.57530000000000003</v>
      </c>
      <c r="H152" s="19">
        <v>8.6800000000000002E-2</v>
      </c>
      <c r="I152" s="18">
        <v>6.6280000000000001</v>
      </c>
      <c r="J152" s="20">
        <v>6</v>
      </c>
      <c r="K152" s="19">
        <v>1.0390999999999999E-2</v>
      </c>
      <c r="L152" s="21">
        <f t="shared" si="8"/>
        <v>1.983342655177798</v>
      </c>
      <c r="M152" s="21">
        <f t="shared" si="9"/>
        <v>0.57600000000000018</v>
      </c>
      <c r="N152" s="22">
        <f t="shared" si="10"/>
        <v>3.2448877336049287</v>
      </c>
      <c r="O152" s="23">
        <f t="shared" si="11"/>
        <v>1.4907103867989207</v>
      </c>
    </row>
    <row r="153" spans="1:15" x14ac:dyDescent="0.25">
      <c r="A153" s="14" t="s">
        <v>5890</v>
      </c>
      <c r="B153" s="14" t="s">
        <v>307</v>
      </c>
      <c r="C153" s="15" t="s">
        <v>308</v>
      </c>
      <c r="D153" s="16">
        <v>5.7200000000000003E-4</v>
      </c>
      <c r="E153" s="17">
        <v>10.41</v>
      </c>
      <c r="F153" s="17">
        <v>9.7859999999999996</v>
      </c>
      <c r="G153" s="18">
        <v>0.62739999999999996</v>
      </c>
      <c r="H153" s="19">
        <v>9.4759999999999997E-2</v>
      </c>
      <c r="I153" s="18">
        <v>6.6210000000000004</v>
      </c>
      <c r="J153" s="20">
        <v>6</v>
      </c>
      <c r="K153" s="19">
        <v>1.0390999999999999E-2</v>
      </c>
      <c r="L153" s="21">
        <f t="shared" si="8"/>
        <v>1.983342655177798</v>
      </c>
      <c r="M153" s="21">
        <f t="shared" si="9"/>
        <v>0.624000000000001</v>
      </c>
      <c r="N153" s="22">
        <f t="shared" si="10"/>
        <v>3.2426039712069752</v>
      </c>
      <c r="O153" s="23">
        <f t="shared" si="11"/>
        <v>1.5411422167168167</v>
      </c>
    </row>
    <row r="154" spans="1:15" x14ac:dyDescent="0.25">
      <c r="A154" s="14" t="s">
        <v>5891</v>
      </c>
      <c r="B154" s="14" t="s">
        <v>309</v>
      </c>
      <c r="C154" s="15" t="s">
        <v>310</v>
      </c>
      <c r="D154" s="16">
        <v>5.7799999999999995E-4</v>
      </c>
      <c r="E154" s="17">
        <v>11.65</v>
      </c>
      <c r="F154" s="17">
        <v>12.41</v>
      </c>
      <c r="G154" s="18">
        <v>-0.75919999999999999</v>
      </c>
      <c r="H154" s="19">
        <v>0.1149</v>
      </c>
      <c r="I154" s="18">
        <v>6.6070000000000002</v>
      </c>
      <c r="J154" s="20">
        <v>6</v>
      </c>
      <c r="K154" s="19">
        <v>1.0439E-2</v>
      </c>
      <c r="L154" s="21">
        <f t="shared" si="8"/>
        <v>1.981341102414482</v>
      </c>
      <c r="M154" s="21">
        <f t="shared" si="9"/>
        <v>-0.76000000000000101</v>
      </c>
      <c r="N154" s="22">
        <f t="shared" si="10"/>
        <v>3.2380721615794705</v>
      </c>
      <c r="O154" s="23">
        <f t="shared" si="11"/>
        <v>0.59049633071476482</v>
      </c>
    </row>
    <row r="155" spans="1:15" x14ac:dyDescent="0.25">
      <c r="A155" s="14" t="s">
        <v>5892</v>
      </c>
      <c r="B155" s="14" t="s">
        <v>315</v>
      </c>
      <c r="C155" s="15" t="s">
        <v>316</v>
      </c>
      <c r="D155" s="16">
        <v>5.9199999999999997E-4</v>
      </c>
      <c r="E155" s="17">
        <v>8.6739999999999995</v>
      </c>
      <c r="F155" s="17">
        <v>7.444</v>
      </c>
      <c r="G155" s="18">
        <v>1.23</v>
      </c>
      <c r="H155" s="19">
        <v>0.18690000000000001</v>
      </c>
      <c r="I155" s="18">
        <v>6.5780000000000003</v>
      </c>
      <c r="J155" s="20">
        <v>6</v>
      </c>
      <c r="K155" s="19">
        <v>1.0485E-2</v>
      </c>
      <c r="L155" s="21">
        <f t="shared" si="8"/>
        <v>1.9794315651986372</v>
      </c>
      <c r="M155" s="21">
        <f t="shared" si="9"/>
        <v>1.2299999999999989</v>
      </c>
      <c r="N155" s="22">
        <f t="shared" si="10"/>
        <v>3.22767829327708</v>
      </c>
      <c r="O155" s="23">
        <f t="shared" si="11"/>
        <v>2.3456698984637558</v>
      </c>
    </row>
    <row r="156" spans="1:15" x14ac:dyDescent="0.25">
      <c r="A156" s="14" t="s">
        <v>5893</v>
      </c>
      <c r="B156" s="14" t="s">
        <v>313</v>
      </c>
      <c r="C156" s="15" t="s">
        <v>314</v>
      </c>
      <c r="D156" s="16">
        <v>5.8900000000000001E-4</v>
      </c>
      <c r="E156" s="17">
        <v>11.21</v>
      </c>
      <c r="F156" s="17">
        <v>10.77</v>
      </c>
      <c r="G156" s="18">
        <v>0.43890000000000001</v>
      </c>
      <c r="H156" s="19">
        <v>6.6669999999999993E-2</v>
      </c>
      <c r="I156" s="18">
        <v>6.5839999999999996</v>
      </c>
      <c r="J156" s="20">
        <v>6</v>
      </c>
      <c r="K156" s="19">
        <v>1.0485E-2</v>
      </c>
      <c r="L156" s="21">
        <f t="shared" si="8"/>
        <v>1.9794315651986372</v>
      </c>
      <c r="M156" s="21">
        <f t="shared" si="9"/>
        <v>0.4400000000000015</v>
      </c>
      <c r="N156" s="22">
        <f t="shared" si="10"/>
        <v>3.2298847052128981</v>
      </c>
      <c r="O156" s="23">
        <f t="shared" si="11"/>
        <v>1.3566043274476733</v>
      </c>
    </row>
    <row r="157" spans="1:15" x14ac:dyDescent="0.25">
      <c r="A157" s="14" t="s">
        <v>5894</v>
      </c>
      <c r="B157" s="14" t="s">
        <v>311</v>
      </c>
      <c r="C157" s="15" t="s">
        <v>312</v>
      </c>
      <c r="D157" s="16">
        <v>5.8600000000000004E-4</v>
      </c>
      <c r="E157" s="17">
        <v>10.31</v>
      </c>
      <c r="F157" s="17">
        <v>11.02</v>
      </c>
      <c r="G157" s="18">
        <v>-0.71530000000000005</v>
      </c>
      <c r="H157" s="19">
        <v>0.1085</v>
      </c>
      <c r="I157" s="18">
        <v>6.5919999999999996</v>
      </c>
      <c r="J157" s="20">
        <v>6</v>
      </c>
      <c r="K157" s="19">
        <v>1.0485E-2</v>
      </c>
      <c r="L157" s="21">
        <f t="shared" si="8"/>
        <v>1.9794315651986372</v>
      </c>
      <c r="M157" s="21">
        <f t="shared" si="9"/>
        <v>-0.70999999999999941</v>
      </c>
      <c r="N157" s="22">
        <f t="shared" si="10"/>
        <v>3.2321023839819092</v>
      </c>
      <c r="O157" s="23">
        <f t="shared" si="11"/>
        <v>0.61132013884603453</v>
      </c>
    </row>
    <row r="158" spans="1:15" x14ac:dyDescent="0.25">
      <c r="A158" s="14" t="s">
        <v>5895</v>
      </c>
      <c r="B158" s="14" t="s">
        <v>317</v>
      </c>
      <c r="C158" s="15" t="s">
        <v>318</v>
      </c>
      <c r="D158" s="16">
        <v>5.9599999999999996E-4</v>
      </c>
      <c r="E158" s="17">
        <v>12.56</v>
      </c>
      <c r="F158" s="17">
        <v>11.86</v>
      </c>
      <c r="G158" s="18">
        <v>0.70020000000000004</v>
      </c>
      <c r="H158" s="19">
        <v>0.1066</v>
      </c>
      <c r="I158" s="18">
        <v>6.569</v>
      </c>
      <c r="J158" s="20">
        <v>6</v>
      </c>
      <c r="K158" s="19">
        <v>1.0494E-2</v>
      </c>
      <c r="L158" s="21">
        <f t="shared" si="8"/>
        <v>1.9790589401376797</v>
      </c>
      <c r="M158" s="21">
        <f t="shared" si="9"/>
        <v>0.70000000000000129</v>
      </c>
      <c r="N158" s="22">
        <f t="shared" si="10"/>
        <v>3.2247537402597635</v>
      </c>
      <c r="O158" s="23">
        <f t="shared" si="11"/>
        <v>1.6245047927124725</v>
      </c>
    </row>
    <row r="159" spans="1:15" x14ac:dyDescent="0.25">
      <c r="A159" s="14" t="s">
        <v>5896</v>
      </c>
      <c r="B159" s="14" t="s">
        <v>319</v>
      </c>
      <c r="C159" s="15" t="s">
        <v>320</v>
      </c>
      <c r="D159" s="16">
        <v>6.2200000000000005E-4</v>
      </c>
      <c r="E159" s="17">
        <v>10.039999999999999</v>
      </c>
      <c r="F159" s="17">
        <v>9.6039999999999992</v>
      </c>
      <c r="G159" s="18">
        <v>0.43969999999999998</v>
      </c>
      <c r="H159" s="19">
        <v>6.7470000000000002E-2</v>
      </c>
      <c r="I159" s="18">
        <v>6.5179999999999998</v>
      </c>
      <c r="J159" s="20">
        <v>6</v>
      </c>
      <c r="K159" s="19">
        <v>1.0873000000000001E-2</v>
      </c>
      <c r="L159" s="21">
        <f t="shared" si="8"/>
        <v>1.9636506119681614</v>
      </c>
      <c r="M159" s="21">
        <f t="shared" si="9"/>
        <v>0.43600000000000005</v>
      </c>
      <c r="N159" s="22">
        <f t="shared" si="10"/>
        <v>3.2062096153091808</v>
      </c>
      <c r="O159" s="23">
        <f t="shared" si="11"/>
        <v>1.3528482310502745</v>
      </c>
    </row>
    <row r="160" spans="1:15" x14ac:dyDescent="0.25">
      <c r="A160" s="14" t="s">
        <v>5897</v>
      </c>
      <c r="B160" s="14" t="s">
        <v>321</v>
      </c>
      <c r="C160" s="15" t="s">
        <v>322</v>
      </c>
      <c r="D160" s="16">
        <v>6.29E-4</v>
      </c>
      <c r="E160" s="17">
        <v>12.86</v>
      </c>
      <c r="F160" s="17">
        <v>13.55</v>
      </c>
      <c r="G160" s="18">
        <v>-0.68979999999999997</v>
      </c>
      <c r="H160" s="19">
        <v>0.106</v>
      </c>
      <c r="I160" s="18">
        <v>6.5049999999999999</v>
      </c>
      <c r="J160" s="20">
        <v>6</v>
      </c>
      <c r="K160" s="19">
        <v>1.0923E-2</v>
      </c>
      <c r="L160" s="21">
        <f t="shared" si="8"/>
        <v>1.9616580663463936</v>
      </c>
      <c r="M160" s="21">
        <f t="shared" si="9"/>
        <v>-0.69000000000000217</v>
      </c>
      <c r="N160" s="22">
        <f t="shared" si="10"/>
        <v>3.2013493545547309</v>
      </c>
      <c r="O160" s="23">
        <f t="shared" si="11"/>
        <v>0.61985384996949233</v>
      </c>
    </row>
    <row r="161" spans="1:15" x14ac:dyDescent="0.25">
      <c r="A161" s="14" t="s">
        <v>5898</v>
      </c>
      <c r="B161" s="14" t="s">
        <v>325</v>
      </c>
      <c r="C161" s="15" t="s">
        <v>326</v>
      </c>
      <c r="D161" s="16">
        <v>6.5499999999999998E-4</v>
      </c>
      <c r="E161" s="17">
        <v>12.9</v>
      </c>
      <c r="F161" s="17">
        <v>13.67</v>
      </c>
      <c r="G161" s="18">
        <v>-0.76990000000000003</v>
      </c>
      <c r="H161" s="19">
        <v>0.1193</v>
      </c>
      <c r="I161" s="18">
        <v>6.4560000000000004</v>
      </c>
      <c r="J161" s="20">
        <v>6</v>
      </c>
      <c r="K161" s="19">
        <v>1.1231E-2</v>
      </c>
      <c r="L161" s="21">
        <f t="shared" si="8"/>
        <v>1.9495815727548644</v>
      </c>
      <c r="M161" s="21">
        <f t="shared" si="9"/>
        <v>-0.77000000000000024</v>
      </c>
      <c r="N161" s="22">
        <f t="shared" si="10"/>
        <v>3.1837587000082164</v>
      </c>
      <c r="O161" s="23">
        <f t="shared" si="11"/>
        <v>0.58641747461593929</v>
      </c>
    </row>
    <row r="162" spans="1:15" x14ac:dyDescent="0.25">
      <c r="A162" s="14" t="s">
        <v>5899</v>
      </c>
      <c r="B162" s="14" t="s">
        <v>323</v>
      </c>
      <c r="C162" s="15" t="s">
        <v>324</v>
      </c>
      <c r="D162" s="16">
        <v>6.5399999999999996E-4</v>
      </c>
      <c r="E162" s="17">
        <v>8.6489999999999991</v>
      </c>
      <c r="F162" s="17">
        <v>9.15</v>
      </c>
      <c r="G162" s="18">
        <v>-0.50139999999999996</v>
      </c>
      <c r="H162" s="19">
        <v>7.7649999999999997E-2</v>
      </c>
      <c r="I162" s="18">
        <v>6.4569999999999999</v>
      </c>
      <c r="J162" s="20">
        <v>6</v>
      </c>
      <c r="K162" s="19">
        <v>1.1231E-2</v>
      </c>
      <c r="L162" s="21">
        <f t="shared" si="8"/>
        <v>1.9495815727548644</v>
      </c>
      <c r="M162" s="21">
        <f t="shared" si="9"/>
        <v>-0.501000000000002</v>
      </c>
      <c r="N162" s="22">
        <f t="shared" si="10"/>
        <v>3.1844222516757323</v>
      </c>
      <c r="O162" s="23">
        <f t="shared" si="11"/>
        <v>0.70661682194136388</v>
      </c>
    </row>
    <row r="163" spans="1:15" x14ac:dyDescent="0.25">
      <c r="A163" s="14" t="s">
        <v>5900</v>
      </c>
      <c r="B163" s="14" t="s">
        <v>327</v>
      </c>
      <c r="C163" s="15" t="s">
        <v>328</v>
      </c>
      <c r="D163" s="16">
        <v>6.6E-4</v>
      </c>
      <c r="E163" s="17">
        <v>9.85</v>
      </c>
      <c r="F163" s="17">
        <v>9.5250000000000004</v>
      </c>
      <c r="G163" s="18">
        <v>0.32529999999999998</v>
      </c>
      <c r="H163" s="19">
        <v>5.0459999999999998E-2</v>
      </c>
      <c r="I163" s="18">
        <v>6.4459999999999997</v>
      </c>
      <c r="J163" s="20">
        <v>6</v>
      </c>
      <c r="K163" s="19">
        <v>1.1251000000000001E-2</v>
      </c>
      <c r="L163" s="21">
        <f t="shared" si="8"/>
        <v>1.9488088753143014</v>
      </c>
      <c r="M163" s="21">
        <f t="shared" si="9"/>
        <v>0.32499999999999923</v>
      </c>
      <c r="N163" s="22">
        <f t="shared" si="10"/>
        <v>3.1804560644581308</v>
      </c>
      <c r="O163" s="23">
        <f t="shared" si="11"/>
        <v>1.2526644386241272</v>
      </c>
    </row>
    <row r="164" spans="1:15" x14ac:dyDescent="0.25">
      <c r="A164" s="14" t="s">
        <v>5901</v>
      </c>
      <c r="B164" s="14" t="s">
        <v>329</v>
      </c>
      <c r="C164" s="15" t="s">
        <v>330</v>
      </c>
      <c r="D164" s="16">
        <v>6.7000000000000002E-4</v>
      </c>
      <c r="E164" s="17">
        <v>10.31</v>
      </c>
      <c r="F164" s="17">
        <v>9.8919999999999995</v>
      </c>
      <c r="G164" s="18">
        <v>0.41589999999999999</v>
      </c>
      <c r="H164" s="19">
        <v>6.4710000000000004E-2</v>
      </c>
      <c r="I164" s="18">
        <v>6.4269999999999996</v>
      </c>
      <c r="J164" s="20">
        <v>6</v>
      </c>
      <c r="K164" s="19">
        <v>1.1299E-2</v>
      </c>
      <c r="L164" s="21">
        <f t="shared" si="8"/>
        <v>1.9469599913572533</v>
      </c>
      <c r="M164" s="21">
        <f t="shared" si="9"/>
        <v>0.41800000000000109</v>
      </c>
      <c r="N164" s="22">
        <f t="shared" si="10"/>
        <v>3.1739251972991731</v>
      </c>
      <c r="O164" s="23">
        <f t="shared" si="11"/>
        <v>1.3360740783901004</v>
      </c>
    </row>
    <row r="165" spans="1:15" x14ac:dyDescent="0.25">
      <c r="A165" s="14" t="s">
        <v>5902</v>
      </c>
      <c r="B165" s="14" t="s">
        <v>331</v>
      </c>
      <c r="C165" s="15" t="s">
        <v>332</v>
      </c>
      <c r="D165" s="16">
        <v>6.7100000000000005E-4</v>
      </c>
      <c r="E165" s="17">
        <v>9.2780000000000005</v>
      </c>
      <c r="F165" s="17">
        <v>8.6210000000000004</v>
      </c>
      <c r="G165" s="18">
        <v>0.6573</v>
      </c>
      <c r="H165" s="19">
        <v>0.1023</v>
      </c>
      <c r="I165" s="18">
        <v>6.4260000000000002</v>
      </c>
      <c r="J165" s="20">
        <v>6</v>
      </c>
      <c r="K165" s="19">
        <v>1.1299E-2</v>
      </c>
      <c r="L165" s="21">
        <f t="shared" si="8"/>
        <v>1.9469599913572533</v>
      </c>
      <c r="M165" s="21">
        <f t="shared" si="9"/>
        <v>0.6569999999999997</v>
      </c>
      <c r="N165" s="22">
        <f t="shared" si="10"/>
        <v>3.1732774798310075</v>
      </c>
      <c r="O165" s="23">
        <f t="shared" si="11"/>
        <v>1.5768003481125561</v>
      </c>
    </row>
    <row r="166" spans="1:15" x14ac:dyDescent="0.25">
      <c r="A166" s="14" t="s">
        <v>5903</v>
      </c>
      <c r="B166" s="14" t="s">
        <v>337</v>
      </c>
      <c r="C166" s="15" t="s">
        <v>338</v>
      </c>
      <c r="D166" s="16">
        <v>6.8999999999999997E-4</v>
      </c>
      <c r="E166" s="17">
        <v>11.72</v>
      </c>
      <c r="F166" s="17">
        <v>10.79</v>
      </c>
      <c r="G166" s="18">
        <v>0.93620000000000003</v>
      </c>
      <c r="H166" s="19">
        <v>0.14649999999999999</v>
      </c>
      <c r="I166" s="18">
        <v>6.3920000000000003</v>
      </c>
      <c r="J166" s="20">
        <v>6</v>
      </c>
      <c r="K166" s="19">
        <v>1.1365E-2</v>
      </c>
      <c r="L166" s="21">
        <f t="shared" si="8"/>
        <v>1.9444305599390102</v>
      </c>
      <c r="M166" s="21">
        <f t="shared" si="9"/>
        <v>0.9300000000000026</v>
      </c>
      <c r="N166" s="22">
        <f t="shared" si="10"/>
        <v>3.1611509092627443</v>
      </c>
      <c r="O166" s="23">
        <f t="shared" si="11"/>
        <v>1.9052759960878782</v>
      </c>
    </row>
    <row r="167" spans="1:15" x14ac:dyDescent="0.25">
      <c r="A167" s="14" t="s">
        <v>5904</v>
      </c>
      <c r="B167" s="14" t="s">
        <v>335</v>
      </c>
      <c r="C167" s="15" t="s">
        <v>336</v>
      </c>
      <c r="D167" s="16">
        <v>6.8800000000000003E-4</v>
      </c>
      <c r="E167" s="17">
        <v>11.03</v>
      </c>
      <c r="F167" s="17">
        <v>10.47</v>
      </c>
      <c r="G167" s="18">
        <v>0.56059999999999999</v>
      </c>
      <c r="H167" s="19">
        <v>8.7660000000000002E-2</v>
      </c>
      <c r="I167" s="18">
        <v>6.3949999999999996</v>
      </c>
      <c r="J167" s="20">
        <v>6</v>
      </c>
      <c r="K167" s="19">
        <v>1.1365E-2</v>
      </c>
      <c r="L167" s="21">
        <f t="shared" si="8"/>
        <v>1.9444305599390102</v>
      </c>
      <c r="M167" s="21">
        <f t="shared" si="9"/>
        <v>0.5599999999999985</v>
      </c>
      <c r="N167" s="22">
        <f t="shared" si="10"/>
        <v>3.1624115617644883</v>
      </c>
      <c r="O167" s="23">
        <f t="shared" si="11"/>
        <v>1.4742692172910996</v>
      </c>
    </row>
    <row r="168" spans="1:15" x14ac:dyDescent="0.25">
      <c r="A168" s="14" t="s">
        <v>5905</v>
      </c>
      <c r="B168" s="14" t="s">
        <v>339</v>
      </c>
      <c r="C168" s="15" t="s">
        <v>340</v>
      </c>
      <c r="D168" s="16">
        <v>6.9099999999999999E-4</v>
      </c>
      <c r="E168" s="17">
        <v>11.01</v>
      </c>
      <c r="F168" s="17">
        <v>11.89</v>
      </c>
      <c r="G168" s="18">
        <v>-0.87329999999999997</v>
      </c>
      <c r="H168" s="19">
        <v>0.13669999999999999</v>
      </c>
      <c r="I168" s="18">
        <v>6.39</v>
      </c>
      <c r="J168" s="20">
        <v>6</v>
      </c>
      <c r="K168" s="19">
        <v>1.1365E-2</v>
      </c>
      <c r="L168" s="21">
        <f t="shared" si="8"/>
        <v>1.9444305599390102</v>
      </c>
      <c r="M168" s="21">
        <f t="shared" si="9"/>
        <v>-0.88000000000000189</v>
      </c>
      <c r="N168" s="22">
        <f t="shared" si="10"/>
        <v>3.1605219526258015</v>
      </c>
      <c r="O168" s="23">
        <f t="shared" si="11"/>
        <v>0.54336743126302833</v>
      </c>
    </row>
    <row r="169" spans="1:15" x14ac:dyDescent="0.25">
      <c r="A169" s="14" t="s">
        <v>5906</v>
      </c>
      <c r="B169" s="14" t="s">
        <v>333</v>
      </c>
      <c r="C169" s="15" t="s">
        <v>334</v>
      </c>
      <c r="D169" s="16">
        <v>6.8499999999999995E-4</v>
      </c>
      <c r="E169" s="17">
        <v>9.0060000000000002</v>
      </c>
      <c r="F169" s="17">
        <v>8.5419999999999998</v>
      </c>
      <c r="G169" s="18">
        <v>0.46350000000000002</v>
      </c>
      <c r="H169" s="19">
        <v>7.2410000000000002E-2</v>
      </c>
      <c r="I169" s="18">
        <v>6.4009999999999998</v>
      </c>
      <c r="J169" s="20">
        <v>6</v>
      </c>
      <c r="K169" s="19">
        <v>1.1365E-2</v>
      </c>
      <c r="L169" s="21">
        <f t="shared" si="8"/>
        <v>1.9444305599390102</v>
      </c>
      <c r="M169" s="21">
        <f t="shared" si="9"/>
        <v>0.46400000000000025</v>
      </c>
      <c r="N169" s="22">
        <f t="shared" si="10"/>
        <v>3.1643094285075741</v>
      </c>
      <c r="O169" s="23">
        <f t="shared" si="11"/>
        <v>1.3793609218270608</v>
      </c>
    </row>
    <row r="170" spans="1:15" x14ac:dyDescent="0.25">
      <c r="A170" s="14" t="s">
        <v>5907</v>
      </c>
      <c r="B170" s="14" t="s">
        <v>343</v>
      </c>
      <c r="C170" s="15" t="s">
        <v>344</v>
      </c>
      <c r="D170" s="16">
        <v>7.1699999999999997E-4</v>
      </c>
      <c r="E170" s="17">
        <v>10.25</v>
      </c>
      <c r="F170" s="17">
        <v>10.02</v>
      </c>
      <c r="G170" s="18">
        <v>0.22409999999999999</v>
      </c>
      <c r="H170" s="19">
        <v>3.5310000000000001E-2</v>
      </c>
      <c r="I170" s="18">
        <v>6.3460000000000001</v>
      </c>
      <c r="J170" s="20">
        <v>6</v>
      </c>
      <c r="K170" s="19">
        <v>1.1516999999999999E-2</v>
      </c>
      <c r="L170" s="21">
        <f t="shared" si="8"/>
        <v>1.9386606331629326</v>
      </c>
      <c r="M170" s="21">
        <f t="shared" si="9"/>
        <v>0.22999999999999976</v>
      </c>
      <c r="N170" s="22">
        <f t="shared" si="10"/>
        <v>3.1444808443321994</v>
      </c>
      <c r="O170" s="23">
        <f t="shared" si="11"/>
        <v>1.1728349492318786</v>
      </c>
    </row>
    <row r="171" spans="1:15" x14ac:dyDescent="0.25">
      <c r="A171" s="14" t="s">
        <v>5908</v>
      </c>
      <c r="B171" s="14" t="s">
        <v>349</v>
      </c>
      <c r="C171" s="15" t="s">
        <v>350</v>
      </c>
      <c r="D171" s="16">
        <v>7.2099999999999996E-4</v>
      </c>
      <c r="E171" s="17">
        <v>9.2959999999999994</v>
      </c>
      <c r="F171" s="17">
        <v>9.6690000000000005</v>
      </c>
      <c r="G171" s="18">
        <v>-0.37259999999999999</v>
      </c>
      <c r="H171" s="19">
        <v>5.8779999999999999E-2</v>
      </c>
      <c r="I171" s="18">
        <v>6.3390000000000004</v>
      </c>
      <c r="J171" s="20">
        <v>6</v>
      </c>
      <c r="K171" s="19">
        <v>1.1516999999999999E-2</v>
      </c>
      <c r="L171" s="21">
        <f t="shared" si="8"/>
        <v>1.9386606331629326</v>
      </c>
      <c r="M171" s="21">
        <f t="shared" si="9"/>
        <v>-0.37300000000000016</v>
      </c>
      <c r="N171" s="22">
        <f t="shared" si="10"/>
        <v>3.1420647352805706</v>
      </c>
      <c r="O171" s="23">
        <f t="shared" si="11"/>
        <v>0.77217513309178487</v>
      </c>
    </row>
    <row r="172" spans="1:15" x14ac:dyDescent="0.25">
      <c r="A172" s="14" t="s">
        <v>5909</v>
      </c>
      <c r="B172" s="14" t="s">
        <v>347</v>
      </c>
      <c r="C172" s="15" t="s">
        <v>348</v>
      </c>
      <c r="D172" s="16">
        <v>7.2000000000000005E-4</v>
      </c>
      <c r="E172" s="17">
        <v>10.31</v>
      </c>
      <c r="F172" s="17">
        <v>10.88</v>
      </c>
      <c r="G172" s="18">
        <v>-0.56589999999999996</v>
      </c>
      <c r="H172" s="19">
        <v>8.9219999999999994E-2</v>
      </c>
      <c r="I172" s="18">
        <v>6.3419999999999996</v>
      </c>
      <c r="J172" s="20">
        <v>6</v>
      </c>
      <c r="K172" s="19">
        <v>1.1516999999999999E-2</v>
      </c>
      <c r="L172" s="21">
        <f t="shared" si="8"/>
        <v>1.9386606331629326</v>
      </c>
      <c r="M172" s="21">
        <f t="shared" si="9"/>
        <v>-0.57000000000000028</v>
      </c>
      <c r="N172" s="22">
        <f t="shared" si="10"/>
        <v>3.1426675035687315</v>
      </c>
      <c r="O172" s="23">
        <f t="shared" si="11"/>
        <v>0.673616788432845</v>
      </c>
    </row>
    <row r="173" spans="1:15" x14ac:dyDescent="0.25">
      <c r="A173" s="14" t="s">
        <v>5910</v>
      </c>
      <c r="B173" s="14" t="s">
        <v>345</v>
      </c>
      <c r="C173" s="15" t="s">
        <v>346</v>
      </c>
      <c r="D173" s="16">
        <v>7.18E-4</v>
      </c>
      <c r="E173" s="17">
        <v>11.18</v>
      </c>
      <c r="F173" s="17">
        <v>11.68</v>
      </c>
      <c r="G173" s="18">
        <v>-0.50190000000000001</v>
      </c>
      <c r="H173" s="19">
        <v>7.911E-2</v>
      </c>
      <c r="I173" s="18">
        <v>6.3440000000000003</v>
      </c>
      <c r="J173" s="20">
        <v>6</v>
      </c>
      <c r="K173" s="19">
        <v>1.1516999999999999E-2</v>
      </c>
      <c r="L173" s="21">
        <f t="shared" si="8"/>
        <v>1.9386606331629326</v>
      </c>
      <c r="M173" s="21">
        <f t="shared" si="9"/>
        <v>-0.50000000000000011</v>
      </c>
      <c r="N173" s="22">
        <f t="shared" si="10"/>
        <v>3.1438755557576994</v>
      </c>
      <c r="O173" s="23">
        <f t="shared" si="11"/>
        <v>0.70710678118654746</v>
      </c>
    </row>
    <row r="174" spans="1:15" x14ac:dyDescent="0.25">
      <c r="A174" s="14" t="s">
        <v>5911</v>
      </c>
      <c r="B174" s="14" t="s">
        <v>341</v>
      </c>
      <c r="C174" s="15" t="s">
        <v>342</v>
      </c>
      <c r="D174" s="16">
        <v>7.1299999999999998E-4</v>
      </c>
      <c r="E174" s="17">
        <v>11.39</v>
      </c>
      <c r="F174" s="17">
        <v>11.89</v>
      </c>
      <c r="G174" s="18">
        <v>-0.49780000000000002</v>
      </c>
      <c r="H174" s="19">
        <v>7.8350000000000003E-2</v>
      </c>
      <c r="I174" s="18">
        <v>6.3529999999999998</v>
      </c>
      <c r="J174" s="20">
        <v>6</v>
      </c>
      <c r="K174" s="19">
        <v>1.1516999999999999E-2</v>
      </c>
      <c r="L174" s="21">
        <f t="shared" si="8"/>
        <v>1.9386606331629326</v>
      </c>
      <c r="M174" s="21">
        <f t="shared" si="9"/>
        <v>-0.50000000000000133</v>
      </c>
      <c r="N174" s="22">
        <f t="shared" si="10"/>
        <v>3.1469104701481343</v>
      </c>
      <c r="O174" s="23">
        <f t="shared" si="11"/>
        <v>0.70710678118654691</v>
      </c>
    </row>
    <row r="175" spans="1:15" x14ac:dyDescent="0.25">
      <c r="A175" s="14" t="s">
        <v>5912</v>
      </c>
      <c r="B175" s="14" t="s">
        <v>351</v>
      </c>
      <c r="C175" s="15" t="s">
        <v>352</v>
      </c>
      <c r="D175" s="16">
        <v>7.6000000000000004E-4</v>
      </c>
      <c r="E175" s="17">
        <v>13.24</v>
      </c>
      <c r="F175" s="17">
        <v>14.19</v>
      </c>
      <c r="G175" s="18">
        <v>-0.95069999999999999</v>
      </c>
      <c r="H175" s="19">
        <v>0.15140000000000001</v>
      </c>
      <c r="I175" s="18">
        <v>6.2779999999999996</v>
      </c>
      <c r="J175" s="20">
        <v>6</v>
      </c>
      <c r="K175" s="19">
        <v>1.2038999999999999E-2</v>
      </c>
      <c r="L175" s="21">
        <f t="shared" si="8"/>
        <v>1.9194095855464988</v>
      </c>
      <c r="M175" s="21">
        <f t="shared" si="9"/>
        <v>-0.94999999999999962</v>
      </c>
      <c r="N175" s="22">
        <f t="shared" si="10"/>
        <v>3.1191864077192086</v>
      </c>
      <c r="O175" s="23">
        <f t="shared" si="11"/>
        <v>0.5176324619206889</v>
      </c>
    </row>
    <row r="176" spans="1:15" x14ac:dyDescent="0.25">
      <c r="A176" s="14" t="s">
        <v>5913</v>
      </c>
      <c r="B176" s="14" t="s">
        <v>353</v>
      </c>
      <c r="C176" s="15" t="s">
        <v>354</v>
      </c>
      <c r="D176" s="16">
        <v>7.6300000000000001E-4</v>
      </c>
      <c r="E176" s="17">
        <v>12.21</v>
      </c>
      <c r="F176" s="17">
        <v>12.51</v>
      </c>
      <c r="G176" s="18">
        <v>-0.29449999999999998</v>
      </c>
      <c r="H176" s="19">
        <v>4.6949999999999999E-2</v>
      </c>
      <c r="I176" s="18">
        <v>6.2729999999999997</v>
      </c>
      <c r="J176" s="20">
        <v>6</v>
      </c>
      <c r="K176" s="19">
        <v>1.2038999999999999E-2</v>
      </c>
      <c r="L176" s="21">
        <f t="shared" si="8"/>
        <v>1.9194095855464988</v>
      </c>
      <c r="M176" s="21">
        <f t="shared" si="9"/>
        <v>-0.29999999999999871</v>
      </c>
      <c r="N176" s="22">
        <f t="shared" si="10"/>
        <v>3.1174754620451193</v>
      </c>
      <c r="O176" s="23">
        <f t="shared" si="11"/>
        <v>0.81225239635623625</v>
      </c>
    </row>
    <row r="177" spans="1:15" x14ac:dyDescent="0.25">
      <c r="A177" s="14" t="s">
        <v>5914</v>
      </c>
      <c r="B177" s="14" t="s">
        <v>357</v>
      </c>
      <c r="C177" s="15" t="s">
        <v>358</v>
      </c>
      <c r="D177" s="16">
        <v>7.7800000000000005E-4</v>
      </c>
      <c r="E177" s="17">
        <v>10.84</v>
      </c>
      <c r="F177" s="17">
        <v>11.24</v>
      </c>
      <c r="G177" s="18">
        <v>-0.39389999999999997</v>
      </c>
      <c r="H177" s="19">
        <v>6.3030000000000003E-2</v>
      </c>
      <c r="I177" s="18">
        <v>6.2489999999999997</v>
      </c>
      <c r="J177" s="20">
        <v>6</v>
      </c>
      <c r="K177" s="19">
        <v>1.2147E-2</v>
      </c>
      <c r="L177" s="21">
        <f t="shared" si="8"/>
        <v>1.9155309685119239</v>
      </c>
      <c r="M177" s="21">
        <f t="shared" si="9"/>
        <v>-0.40000000000000135</v>
      </c>
      <c r="N177" s="22">
        <f t="shared" si="10"/>
        <v>3.1090204030103106</v>
      </c>
      <c r="O177" s="23">
        <f t="shared" si="11"/>
        <v>0.75785828325519833</v>
      </c>
    </row>
    <row r="178" spans="1:15" x14ac:dyDescent="0.25">
      <c r="A178" s="14" t="s">
        <v>5915</v>
      </c>
      <c r="B178" s="14" t="s">
        <v>355</v>
      </c>
      <c r="C178" s="15" t="s">
        <v>356</v>
      </c>
      <c r="D178" s="16">
        <v>7.7499999999999997E-4</v>
      </c>
      <c r="E178" s="17">
        <v>9.2560000000000002</v>
      </c>
      <c r="F178" s="17">
        <v>8.7970000000000006</v>
      </c>
      <c r="G178" s="18">
        <v>0.45929999999999999</v>
      </c>
      <c r="H178" s="19">
        <v>7.3450000000000001E-2</v>
      </c>
      <c r="I178" s="18">
        <v>6.2539999999999996</v>
      </c>
      <c r="J178" s="20">
        <v>6</v>
      </c>
      <c r="K178" s="19">
        <v>1.2147E-2</v>
      </c>
      <c r="L178" s="21">
        <f t="shared" si="8"/>
        <v>1.9155309685119239</v>
      </c>
      <c r="M178" s="21">
        <f t="shared" si="9"/>
        <v>0.45900000000000091</v>
      </c>
      <c r="N178" s="22">
        <f t="shared" si="10"/>
        <v>3.1106982974936894</v>
      </c>
      <c r="O178" s="23">
        <f t="shared" si="11"/>
        <v>1.3745886955720299</v>
      </c>
    </row>
    <row r="179" spans="1:15" x14ac:dyDescent="0.25">
      <c r="A179" s="14" t="s">
        <v>5916</v>
      </c>
      <c r="B179" s="14" t="s">
        <v>361</v>
      </c>
      <c r="C179" s="15" t="s">
        <v>362</v>
      </c>
      <c r="D179" s="16">
        <v>7.9100000000000004E-4</v>
      </c>
      <c r="E179" s="17">
        <v>10.34</v>
      </c>
      <c r="F179" s="17">
        <v>9.7970000000000006</v>
      </c>
      <c r="G179" s="18">
        <v>0.54039999999999999</v>
      </c>
      <c r="H179" s="19">
        <v>8.6739999999999998E-2</v>
      </c>
      <c r="I179" s="18">
        <v>6.23</v>
      </c>
      <c r="J179" s="20">
        <v>6</v>
      </c>
      <c r="K179" s="19">
        <v>1.2171E-2</v>
      </c>
      <c r="L179" s="21">
        <f t="shared" si="8"/>
        <v>1.9146737375760112</v>
      </c>
      <c r="M179" s="21">
        <f t="shared" si="9"/>
        <v>0.54299999999999915</v>
      </c>
      <c r="N179" s="22">
        <f t="shared" si="10"/>
        <v>3.1018235165023231</v>
      </c>
      <c r="O179" s="23">
        <f t="shared" si="11"/>
        <v>1.4569991138980101</v>
      </c>
    </row>
    <row r="180" spans="1:15" x14ac:dyDescent="0.25">
      <c r="A180" s="14" t="s">
        <v>5917</v>
      </c>
      <c r="B180" s="14" t="s">
        <v>365</v>
      </c>
      <c r="C180" s="15" t="s">
        <v>366</v>
      </c>
      <c r="D180" s="16">
        <v>8.0400000000000003E-4</v>
      </c>
      <c r="E180" s="17">
        <v>9.9169999999999998</v>
      </c>
      <c r="F180" s="17">
        <v>10.27</v>
      </c>
      <c r="G180" s="18">
        <v>-0.35680000000000001</v>
      </c>
      <c r="H180" s="19">
        <v>5.7459999999999997E-2</v>
      </c>
      <c r="I180" s="18">
        <v>6.21</v>
      </c>
      <c r="J180" s="20">
        <v>6</v>
      </c>
      <c r="K180" s="19">
        <v>1.2171E-2</v>
      </c>
      <c r="L180" s="21">
        <f t="shared" si="8"/>
        <v>1.9146737375760112</v>
      </c>
      <c r="M180" s="21">
        <f t="shared" si="9"/>
        <v>-0.35299999999999965</v>
      </c>
      <c r="N180" s="22">
        <f t="shared" si="10"/>
        <v>3.0947439512515484</v>
      </c>
      <c r="O180" s="23">
        <f t="shared" si="11"/>
        <v>0.782954296256543</v>
      </c>
    </row>
    <row r="181" spans="1:15" x14ac:dyDescent="0.25">
      <c r="A181" s="14" t="s">
        <v>5918</v>
      </c>
      <c r="B181" s="14" t="s">
        <v>369</v>
      </c>
      <c r="C181" s="15" t="s">
        <v>370</v>
      </c>
      <c r="D181" s="16">
        <v>8.0599999999999997E-4</v>
      </c>
      <c r="E181" s="17">
        <v>12.86</v>
      </c>
      <c r="F181" s="17">
        <v>13.54</v>
      </c>
      <c r="G181" s="18">
        <v>-0.68479999999999996</v>
      </c>
      <c r="H181" s="19">
        <v>0.1103</v>
      </c>
      <c r="I181" s="18">
        <v>6.2080000000000002</v>
      </c>
      <c r="J181" s="20">
        <v>6</v>
      </c>
      <c r="K181" s="19">
        <v>1.2171E-2</v>
      </c>
      <c r="L181" s="21">
        <f t="shared" si="8"/>
        <v>1.9146737375760112</v>
      </c>
      <c r="M181" s="21">
        <f t="shared" si="9"/>
        <v>-0.6800000000000006</v>
      </c>
      <c r="N181" s="22">
        <f t="shared" si="10"/>
        <v>3.0936649581949092</v>
      </c>
      <c r="O181" s="23">
        <f t="shared" si="11"/>
        <v>0.62416527445080572</v>
      </c>
    </row>
    <row r="182" spans="1:15" x14ac:dyDescent="0.25">
      <c r="A182" s="14" t="s">
        <v>5919</v>
      </c>
      <c r="B182" s="14" t="s">
        <v>367</v>
      </c>
      <c r="C182" s="15" t="s">
        <v>368</v>
      </c>
      <c r="D182" s="16">
        <v>8.0500000000000005E-4</v>
      </c>
      <c r="E182" s="17">
        <v>9.4079999999999995</v>
      </c>
      <c r="F182" s="17">
        <v>8.8279999999999994</v>
      </c>
      <c r="G182" s="18">
        <v>0.57920000000000005</v>
      </c>
      <c r="H182" s="19">
        <v>9.3280000000000002E-2</v>
      </c>
      <c r="I182" s="18">
        <v>6.21</v>
      </c>
      <c r="J182" s="20">
        <v>6</v>
      </c>
      <c r="K182" s="19">
        <v>1.2171E-2</v>
      </c>
      <c r="L182" s="21">
        <f t="shared" si="8"/>
        <v>1.9146737375760112</v>
      </c>
      <c r="M182" s="21">
        <f t="shared" si="9"/>
        <v>0.58000000000000074</v>
      </c>
      <c r="N182" s="22">
        <f t="shared" si="10"/>
        <v>3.0942041196321313</v>
      </c>
      <c r="O182" s="23">
        <f t="shared" si="11"/>
        <v>1.4948492486349392</v>
      </c>
    </row>
    <row r="183" spans="1:15" x14ac:dyDescent="0.25">
      <c r="A183" s="14" t="s">
        <v>5920</v>
      </c>
      <c r="B183" s="14" t="s">
        <v>359</v>
      </c>
      <c r="C183" s="15" t="s">
        <v>360</v>
      </c>
      <c r="D183" s="16">
        <v>7.8700000000000005E-4</v>
      </c>
      <c r="E183" s="17">
        <v>9.6549999999999994</v>
      </c>
      <c r="F183" s="17">
        <v>10.050000000000001</v>
      </c>
      <c r="G183" s="18">
        <v>-0.39539999999999997</v>
      </c>
      <c r="H183" s="19">
        <v>6.3399999999999998E-2</v>
      </c>
      <c r="I183" s="18">
        <v>6.2370000000000001</v>
      </c>
      <c r="J183" s="20">
        <v>6</v>
      </c>
      <c r="K183" s="19">
        <v>1.2171E-2</v>
      </c>
      <c r="L183" s="21">
        <f t="shared" si="8"/>
        <v>1.9146737375760112</v>
      </c>
      <c r="M183" s="21">
        <f t="shared" si="9"/>
        <v>-0.39500000000000185</v>
      </c>
      <c r="N183" s="22">
        <f t="shared" si="10"/>
        <v>3.1040252676409348</v>
      </c>
      <c r="O183" s="23">
        <f t="shared" si="11"/>
        <v>0.76048937662050364</v>
      </c>
    </row>
    <row r="184" spans="1:15" x14ac:dyDescent="0.25">
      <c r="A184" s="14" t="s">
        <v>5921</v>
      </c>
      <c r="B184" s="14" t="s">
        <v>363</v>
      </c>
      <c r="C184" s="15" t="s">
        <v>364</v>
      </c>
      <c r="D184" s="16">
        <v>8.0000000000000004E-4</v>
      </c>
      <c r="E184" s="17">
        <v>8.6590000000000007</v>
      </c>
      <c r="F184" s="17">
        <v>9.0410000000000004</v>
      </c>
      <c r="G184" s="18">
        <v>-0.38250000000000001</v>
      </c>
      <c r="H184" s="19">
        <v>6.1519999999999998E-2</v>
      </c>
      <c r="I184" s="18">
        <v>6.2169999999999996</v>
      </c>
      <c r="J184" s="20">
        <v>6</v>
      </c>
      <c r="K184" s="19">
        <v>1.2171E-2</v>
      </c>
      <c r="L184" s="21">
        <f t="shared" si="8"/>
        <v>1.9146737375760112</v>
      </c>
      <c r="M184" s="21">
        <f t="shared" si="9"/>
        <v>-0.38199999999999995</v>
      </c>
      <c r="N184" s="22">
        <f t="shared" si="10"/>
        <v>3.0969100130080558</v>
      </c>
      <c r="O184" s="23">
        <f t="shared" si="11"/>
        <v>0.76737304800044337</v>
      </c>
    </row>
    <row r="185" spans="1:15" x14ac:dyDescent="0.25">
      <c r="A185" s="14" t="s">
        <v>5922</v>
      </c>
      <c r="B185" s="14" t="s">
        <v>371</v>
      </c>
      <c r="C185" s="15" t="s">
        <v>372</v>
      </c>
      <c r="D185" s="16">
        <v>8.1899999999999996E-4</v>
      </c>
      <c r="E185" s="17">
        <v>10.130000000000001</v>
      </c>
      <c r="F185" s="17">
        <v>9.6430000000000007</v>
      </c>
      <c r="G185" s="18">
        <v>0.49099999999999999</v>
      </c>
      <c r="H185" s="19">
        <v>7.9329999999999998E-2</v>
      </c>
      <c r="I185" s="18">
        <v>6.1890000000000001</v>
      </c>
      <c r="J185" s="20">
        <v>6</v>
      </c>
      <c r="K185" s="19">
        <v>1.23E-2</v>
      </c>
      <c r="L185" s="21">
        <f t="shared" si="8"/>
        <v>1.9100948885606022</v>
      </c>
      <c r="M185" s="21">
        <f t="shared" si="9"/>
        <v>0.48699999999999977</v>
      </c>
      <c r="N185" s="22">
        <f t="shared" si="10"/>
        <v>3.0867160982395814</v>
      </c>
      <c r="O185" s="23">
        <f t="shared" si="11"/>
        <v>1.4015274490807457</v>
      </c>
    </row>
    <row r="186" spans="1:15" x14ac:dyDescent="0.25">
      <c r="A186" s="14" t="s">
        <v>5923</v>
      </c>
      <c r="B186" s="14" t="s">
        <v>373</v>
      </c>
      <c r="C186" s="15" t="s">
        <v>374</v>
      </c>
      <c r="D186" s="16">
        <v>8.3000000000000001E-4</v>
      </c>
      <c r="E186" s="17">
        <v>11.11</v>
      </c>
      <c r="F186" s="17">
        <v>10.43</v>
      </c>
      <c r="G186" s="18">
        <v>0.68659999999999999</v>
      </c>
      <c r="H186" s="19">
        <v>0.11119999999999999</v>
      </c>
      <c r="I186" s="18">
        <v>6.173</v>
      </c>
      <c r="J186" s="20">
        <v>6</v>
      </c>
      <c r="K186" s="19">
        <v>1.2397E-2</v>
      </c>
      <c r="L186" s="21">
        <f t="shared" si="8"/>
        <v>1.9066833987956682</v>
      </c>
      <c r="M186" s="21">
        <f t="shared" si="9"/>
        <v>0.67999999999999927</v>
      </c>
      <c r="N186" s="22">
        <f t="shared" si="10"/>
        <v>3.0809219076239258</v>
      </c>
      <c r="O186" s="23">
        <f t="shared" si="11"/>
        <v>1.6021397551792433</v>
      </c>
    </row>
    <row r="187" spans="1:15" x14ac:dyDescent="0.25">
      <c r="A187" s="14" t="s">
        <v>5924</v>
      </c>
      <c r="B187" s="14" t="s">
        <v>375</v>
      </c>
      <c r="C187" s="15" t="s">
        <v>376</v>
      </c>
      <c r="D187" s="16">
        <v>8.4000000000000003E-4</v>
      </c>
      <c r="E187" s="17">
        <v>10.97</v>
      </c>
      <c r="F187" s="17">
        <v>10.19</v>
      </c>
      <c r="G187" s="18">
        <v>0.78210000000000002</v>
      </c>
      <c r="H187" s="19">
        <v>0.127</v>
      </c>
      <c r="I187" s="18">
        <v>6.16</v>
      </c>
      <c r="J187" s="20">
        <v>6</v>
      </c>
      <c r="K187" s="19">
        <v>1.2475E-2</v>
      </c>
      <c r="L187" s="21">
        <f t="shared" si="8"/>
        <v>1.9039594457045723</v>
      </c>
      <c r="M187" s="21">
        <f t="shared" si="9"/>
        <v>0.78000000000000047</v>
      </c>
      <c r="N187" s="22">
        <f t="shared" si="10"/>
        <v>3.075720713938118</v>
      </c>
      <c r="O187" s="23">
        <f t="shared" si="11"/>
        <v>1.7171308728755081</v>
      </c>
    </row>
    <row r="188" spans="1:15" x14ac:dyDescent="0.25">
      <c r="A188" s="14" t="s">
        <v>5925</v>
      </c>
      <c r="B188" s="14" t="s">
        <v>377</v>
      </c>
      <c r="C188" s="15" t="s">
        <v>378</v>
      </c>
      <c r="D188" s="16">
        <v>8.4800000000000001E-4</v>
      </c>
      <c r="E188" s="17">
        <v>9.7040000000000006</v>
      </c>
      <c r="F188" s="17">
        <v>8.9689999999999994</v>
      </c>
      <c r="G188" s="18">
        <v>0.73509999999999998</v>
      </c>
      <c r="H188" s="19">
        <v>0.1196</v>
      </c>
      <c r="I188" s="18">
        <v>6.149</v>
      </c>
      <c r="J188" s="20">
        <v>6</v>
      </c>
      <c r="K188" s="19">
        <v>1.2522E-2</v>
      </c>
      <c r="L188" s="21">
        <f t="shared" si="8"/>
        <v>1.9023263005509023</v>
      </c>
      <c r="M188" s="21">
        <f t="shared" si="9"/>
        <v>0.73500000000000087</v>
      </c>
      <c r="N188" s="22">
        <f t="shared" si="10"/>
        <v>3.0716041477432858</v>
      </c>
      <c r="O188" s="23">
        <f t="shared" si="11"/>
        <v>1.6643974694230499</v>
      </c>
    </row>
    <row r="189" spans="1:15" x14ac:dyDescent="0.25">
      <c r="A189" s="14" t="s">
        <v>5926</v>
      </c>
      <c r="B189" s="14" t="s">
        <v>379</v>
      </c>
      <c r="C189" s="15" t="s">
        <v>380</v>
      </c>
      <c r="D189" s="16">
        <v>8.7200000000000005E-4</v>
      </c>
      <c r="E189" s="17">
        <v>13.14</v>
      </c>
      <c r="F189" s="17">
        <v>12.42</v>
      </c>
      <c r="G189" s="18">
        <v>0.7258</v>
      </c>
      <c r="H189" s="19">
        <v>0.1187</v>
      </c>
      <c r="I189" s="18">
        <v>6.1159999999999997</v>
      </c>
      <c r="J189" s="20">
        <v>6</v>
      </c>
      <c r="K189" s="19">
        <v>1.2818E-2</v>
      </c>
      <c r="L189" s="21">
        <f t="shared" si="8"/>
        <v>1.8921797327519518</v>
      </c>
      <c r="M189" s="21">
        <f t="shared" si="9"/>
        <v>0.71999999999999964</v>
      </c>
      <c r="N189" s="22">
        <f t="shared" si="10"/>
        <v>3.0594835150674324</v>
      </c>
      <c r="O189" s="23">
        <f t="shared" si="11"/>
        <v>1.6471820345351458</v>
      </c>
    </row>
    <row r="190" spans="1:15" x14ac:dyDescent="0.25">
      <c r="A190" s="14" t="s">
        <v>5927</v>
      </c>
      <c r="B190" s="14" t="s">
        <v>381</v>
      </c>
      <c r="C190" s="15" t="s">
        <v>382</v>
      </c>
      <c r="D190" s="16">
        <v>8.83E-4</v>
      </c>
      <c r="E190" s="17">
        <v>10.84</v>
      </c>
      <c r="F190" s="17">
        <v>11.71</v>
      </c>
      <c r="G190" s="18">
        <v>-0.87039999999999995</v>
      </c>
      <c r="H190" s="19">
        <v>0.14269999999999999</v>
      </c>
      <c r="I190" s="18">
        <v>6.101</v>
      </c>
      <c r="J190" s="20">
        <v>6</v>
      </c>
      <c r="K190" s="19">
        <v>1.2912E-2</v>
      </c>
      <c r="L190" s="21">
        <f t="shared" si="8"/>
        <v>1.8890064826220045</v>
      </c>
      <c r="M190" s="21">
        <f t="shared" si="9"/>
        <v>-0.87000000000000011</v>
      </c>
      <c r="N190" s="22">
        <f t="shared" si="10"/>
        <v>3.054039296422431</v>
      </c>
      <c r="O190" s="23">
        <f t="shared" si="11"/>
        <v>0.54714685063036972</v>
      </c>
    </row>
    <row r="191" spans="1:15" x14ac:dyDescent="0.25">
      <c r="A191" s="14" t="s">
        <v>5928</v>
      </c>
      <c r="B191" s="14" t="s">
        <v>383</v>
      </c>
      <c r="C191" s="15" t="s">
        <v>384</v>
      </c>
      <c r="D191" s="16">
        <v>9.0700000000000004E-4</v>
      </c>
      <c r="E191" s="17">
        <v>10.59</v>
      </c>
      <c r="F191" s="17">
        <v>11.24</v>
      </c>
      <c r="G191" s="18">
        <v>-0.64419999999999999</v>
      </c>
      <c r="H191" s="19">
        <v>0.1061</v>
      </c>
      <c r="I191" s="18">
        <v>6.07</v>
      </c>
      <c r="J191" s="20">
        <v>6</v>
      </c>
      <c r="K191" s="19">
        <v>1.319E-2</v>
      </c>
      <c r="L191" s="21">
        <f t="shared" si="8"/>
        <v>1.8797552044536348</v>
      </c>
      <c r="M191" s="21">
        <f t="shared" si="9"/>
        <v>-0.65000000000000069</v>
      </c>
      <c r="N191" s="22">
        <f t="shared" si="10"/>
        <v>3.0423927129399044</v>
      </c>
      <c r="O191" s="23">
        <f t="shared" si="11"/>
        <v>0.63728031365963078</v>
      </c>
    </row>
    <row r="192" spans="1:15" x14ac:dyDescent="0.25">
      <c r="A192" s="14" t="s">
        <v>5929</v>
      </c>
      <c r="B192" s="14" t="s">
        <v>385</v>
      </c>
      <c r="C192" s="15" t="s">
        <v>386</v>
      </c>
      <c r="D192" s="16">
        <v>9.1500000000000001E-4</v>
      </c>
      <c r="E192" s="17">
        <v>9.8350000000000009</v>
      </c>
      <c r="F192" s="17">
        <v>9.0990000000000002</v>
      </c>
      <c r="G192" s="18">
        <v>0.73619999999999997</v>
      </c>
      <c r="H192" s="19">
        <v>0.1215</v>
      </c>
      <c r="I192" s="18">
        <v>6.0609999999999999</v>
      </c>
      <c r="J192" s="20">
        <v>6</v>
      </c>
      <c r="K192" s="19">
        <v>1.3226E-2</v>
      </c>
      <c r="L192" s="21">
        <f t="shared" si="8"/>
        <v>1.8785714816320369</v>
      </c>
      <c r="M192" s="21">
        <f t="shared" si="9"/>
        <v>0.7360000000000011</v>
      </c>
      <c r="N192" s="22">
        <f t="shared" si="10"/>
        <v>3.0385789059335515</v>
      </c>
      <c r="O192" s="23">
        <f t="shared" si="11"/>
        <v>1.6655515417610991</v>
      </c>
    </row>
    <row r="193" spans="1:15" x14ac:dyDescent="0.25">
      <c r="A193" s="14" t="s">
        <v>5930</v>
      </c>
      <c r="B193" s="14" t="s">
        <v>389</v>
      </c>
      <c r="C193" s="15" t="s">
        <v>390</v>
      </c>
      <c r="D193" s="16">
        <v>9.2500000000000004E-4</v>
      </c>
      <c r="E193" s="17">
        <v>8.7330000000000005</v>
      </c>
      <c r="F193" s="17">
        <v>6.8570000000000002</v>
      </c>
      <c r="G193" s="18">
        <v>1.8759999999999999</v>
      </c>
      <c r="H193" s="19">
        <v>0.31009999999999999</v>
      </c>
      <c r="I193" s="18">
        <v>6.0490000000000004</v>
      </c>
      <c r="J193" s="20">
        <v>6</v>
      </c>
      <c r="K193" s="19">
        <v>1.3233E-2</v>
      </c>
      <c r="L193" s="21">
        <f t="shared" si="8"/>
        <v>1.8783416875019299</v>
      </c>
      <c r="M193" s="21">
        <f t="shared" si="9"/>
        <v>1.8760000000000001</v>
      </c>
      <c r="N193" s="22">
        <f t="shared" si="10"/>
        <v>3.0338582672609671</v>
      </c>
      <c r="O193" s="23">
        <f t="shared" si="11"/>
        <v>3.6705595292454607</v>
      </c>
    </row>
    <row r="194" spans="1:15" x14ac:dyDescent="0.25">
      <c r="A194" s="14" t="s">
        <v>5931</v>
      </c>
      <c r="B194" s="14" t="s">
        <v>387</v>
      </c>
      <c r="C194" s="15" t="s">
        <v>388</v>
      </c>
      <c r="D194" s="16">
        <v>9.2400000000000002E-4</v>
      </c>
      <c r="E194" s="17">
        <v>9.1630000000000003</v>
      </c>
      <c r="F194" s="17">
        <v>8.86</v>
      </c>
      <c r="G194" s="18">
        <v>0.3024</v>
      </c>
      <c r="H194" s="19">
        <v>4.999E-2</v>
      </c>
      <c r="I194" s="18">
        <v>6.05</v>
      </c>
      <c r="J194" s="20">
        <v>6</v>
      </c>
      <c r="K194" s="19">
        <v>1.3233E-2</v>
      </c>
      <c r="L194" s="21">
        <f t="shared" ref="L194:L257" si="12">-LOG(K194,10)</f>
        <v>1.8783416875019299</v>
      </c>
      <c r="M194" s="21">
        <f t="shared" ref="M194:M257" si="13">LOG(O194,2)</f>
        <v>0.30299999999999999</v>
      </c>
      <c r="N194" s="22">
        <f t="shared" ref="N194:N257" si="14">-LOG(D194,10)</f>
        <v>3.034328028779893</v>
      </c>
      <c r="O194" s="23">
        <f t="shared" ref="O194:O257" si="15">((2^E194)/(2^F194))</f>
        <v>1.2337071698094966</v>
      </c>
    </row>
    <row r="195" spans="1:15" x14ac:dyDescent="0.25">
      <c r="A195" s="14" t="s">
        <v>5932</v>
      </c>
      <c r="B195" s="14" t="s">
        <v>391</v>
      </c>
      <c r="C195" s="15" t="s">
        <v>392</v>
      </c>
      <c r="D195" s="16">
        <v>9.3000000000000005E-4</v>
      </c>
      <c r="E195" s="17">
        <v>10.220000000000001</v>
      </c>
      <c r="F195" s="17">
        <v>9.6989999999999998</v>
      </c>
      <c r="G195" s="18">
        <v>0.5161</v>
      </c>
      <c r="H195" s="19">
        <v>8.5430000000000006E-2</v>
      </c>
      <c r="I195" s="18">
        <v>6.0410000000000004</v>
      </c>
      <c r="J195" s="20">
        <v>6</v>
      </c>
      <c r="K195" s="19">
        <v>1.3249E-2</v>
      </c>
      <c r="L195" s="21">
        <f t="shared" si="12"/>
        <v>1.8778168999061315</v>
      </c>
      <c r="M195" s="21">
        <f t="shared" si="13"/>
        <v>0.52100000000000124</v>
      </c>
      <c r="N195" s="22">
        <f t="shared" si="14"/>
        <v>3.0315170514460643</v>
      </c>
      <c r="O195" s="23">
        <f t="shared" si="15"/>
        <v>1.4349495346067045</v>
      </c>
    </row>
    <row r="196" spans="1:15" x14ac:dyDescent="0.25">
      <c r="A196" s="14" t="s">
        <v>5933</v>
      </c>
      <c r="B196" s="14" t="s">
        <v>393</v>
      </c>
      <c r="C196" s="15" t="s">
        <v>394</v>
      </c>
      <c r="D196" s="16">
        <v>9.4399999999999996E-4</v>
      </c>
      <c r="E196" s="17">
        <v>9.0459999999999994</v>
      </c>
      <c r="F196" s="17">
        <v>9.8650000000000002</v>
      </c>
      <c r="G196" s="18">
        <v>-0.81930000000000003</v>
      </c>
      <c r="H196" s="19">
        <v>0.13600000000000001</v>
      </c>
      <c r="I196" s="18">
        <v>6.0250000000000004</v>
      </c>
      <c r="J196" s="20">
        <v>6</v>
      </c>
      <c r="K196" s="19">
        <v>1.3372999999999999E-2</v>
      </c>
      <c r="L196" s="21">
        <f t="shared" si="12"/>
        <v>1.8737711553935759</v>
      </c>
      <c r="M196" s="21">
        <f t="shared" si="13"/>
        <v>-0.81900000000000028</v>
      </c>
      <c r="N196" s="22">
        <f t="shared" si="14"/>
        <v>3.0250280057019308</v>
      </c>
      <c r="O196" s="23">
        <f t="shared" si="15"/>
        <v>0.56683470638921107</v>
      </c>
    </row>
    <row r="197" spans="1:15" x14ac:dyDescent="0.25">
      <c r="A197" s="14" t="s">
        <v>5934</v>
      </c>
      <c r="B197" s="14" t="s">
        <v>397</v>
      </c>
      <c r="C197" s="15" t="s">
        <v>398</v>
      </c>
      <c r="D197" s="16">
        <v>9.6000000000000002E-4</v>
      </c>
      <c r="E197" s="17">
        <v>10.199999999999999</v>
      </c>
      <c r="F197" s="17">
        <v>8.8369999999999997</v>
      </c>
      <c r="G197" s="18">
        <v>1.363</v>
      </c>
      <c r="H197" s="19">
        <v>0.22689999999999999</v>
      </c>
      <c r="I197" s="18">
        <v>6.0049999999999999</v>
      </c>
      <c r="J197" s="20">
        <v>6</v>
      </c>
      <c r="K197" s="19">
        <v>1.3429999999999999E-2</v>
      </c>
      <c r="L197" s="21">
        <f t="shared" si="12"/>
        <v>1.8719239873312845</v>
      </c>
      <c r="M197" s="21">
        <f t="shared" si="13"/>
        <v>1.3629999999999998</v>
      </c>
      <c r="N197" s="22">
        <f t="shared" si="14"/>
        <v>3.0177287669604316</v>
      </c>
      <c r="O197" s="23">
        <f t="shared" si="15"/>
        <v>2.5721949668612063</v>
      </c>
    </row>
    <row r="198" spans="1:15" x14ac:dyDescent="0.25">
      <c r="A198" s="14" t="s">
        <v>5935</v>
      </c>
      <c r="B198" s="14" t="s">
        <v>399</v>
      </c>
      <c r="C198" s="15" t="s">
        <v>400</v>
      </c>
      <c r="D198" s="16">
        <v>9.6299999999999999E-4</v>
      </c>
      <c r="E198" s="17">
        <v>11.36</v>
      </c>
      <c r="F198" s="17">
        <v>12.23</v>
      </c>
      <c r="G198" s="18">
        <v>-0.86919999999999997</v>
      </c>
      <c r="H198" s="19">
        <v>0.14480000000000001</v>
      </c>
      <c r="I198" s="18">
        <v>6.0019999999999998</v>
      </c>
      <c r="J198" s="20">
        <v>6</v>
      </c>
      <c r="K198" s="19">
        <v>1.3429999999999999E-2</v>
      </c>
      <c r="L198" s="21">
        <f t="shared" si="12"/>
        <v>1.8719239873312845</v>
      </c>
      <c r="M198" s="21">
        <f t="shared" si="13"/>
        <v>-0.87000000000000044</v>
      </c>
      <c r="N198" s="22">
        <f t="shared" si="14"/>
        <v>3.0163737128754651</v>
      </c>
      <c r="O198" s="23">
        <f t="shared" si="15"/>
        <v>0.54714685063036961</v>
      </c>
    </row>
    <row r="199" spans="1:15" x14ac:dyDescent="0.25">
      <c r="A199" s="14" t="s">
        <v>5936</v>
      </c>
      <c r="B199" s="14" t="s">
        <v>395</v>
      </c>
      <c r="C199" s="15" t="s">
        <v>396</v>
      </c>
      <c r="D199" s="16">
        <v>9.5500000000000001E-4</v>
      </c>
      <c r="E199" s="17">
        <v>11.43</v>
      </c>
      <c r="F199" s="17">
        <v>10.84</v>
      </c>
      <c r="G199" s="18">
        <v>0.58899999999999997</v>
      </c>
      <c r="H199" s="19">
        <v>9.7970000000000002E-2</v>
      </c>
      <c r="I199" s="18">
        <v>6.0119999999999996</v>
      </c>
      <c r="J199" s="20">
        <v>6</v>
      </c>
      <c r="K199" s="19">
        <v>1.3429999999999999E-2</v>
      </c>
      <c r="L199" s="21">
        <f t="shared" si="12"/>
        <v>1.8719239873312845</v>
      </c>
      <c r="M199" s="21">
        <f t="shared" si="13"/>
        <v>0.58999999999999975</v>
      </c>
      <c r="N199" s="22">
        <f t="shared" si="14"/>
        <v>3.0199966284162536</v>
      </c>
      <c r="O199" s="23">
        <f t="shared" si="15"/>
        <v>1.5052467474110669</v>
      </c>
    </row>
    <row r="200" spans="1:15" x14ac:dyDescent="0.25">
      <c r="A200" s="14" t="s">
        <v>5937</v>
      </c>
      <c r="B200" s="14" t="s">
        <v>405</v>
      </c>
      <c r="C200" s="15" t="s">
        <v>406</v>
      </c>
      <c r="D200" s="16">
        <v>9.8499999999999998E-4</v>
      </c>
      <c r="E200" s="17">
        <v>10.11</v>
      </c>
      <c r="F200" s="17">
        <v>10.66</v>
      </c>
      <c r="G200" s="18">
        <v>-0.55459999999999998</v>
      </c>
      <c r="H200" s="19">
        <v>9.2799999999999994E-2</v>
      </c>
      <c r="I200" s="18">
        <v>5.976</v>
      </c>
      <c r="J200" s="20">
        <v>6</v>
      </c>
      <c r="K200" s="19">
        <v>1.3537E-2</v>
      </c>
      <c r="L200" s="21">
        <f t="shared" si="12"/>
        <v>1.8684775710869299</v>
      </c>
      <c r="M200" s="21">
        <f t="shared" si="13"/>
        <v>-0.5500000000000006</v>
      </c>
      <c r="N200" s="22">
        <f t="shared" si="14"/>
        <v>3.0065637695023879</v>
      </c>
      <c r="O200" s="23">
        <f t="shared" si="15"/>
        <v>0.6830201283771975</v>
      </c>
    </row>
    <row r="201" spans="1:15" x14ac:dyDescent="0.25">
      <c r="A201" s="14" t="s">
        <v>5938</v>
      </c>
      <c r="B201" s="14" t="s">
        <v>403</v>
      </c>
      <c r="C201" s="15" t="s">
        <v>404</v>
      </c>
      <c r="D201" s="16">
        <v>9.810000000000001E-4</v>
      </c>
      <c r="E201" s="17">
        <v>10.91</v>
      </c>
      <c r="F201" s="17">
        <v>10.119999999999999</v>
      </c>
      <c r="G201" s="18">
        <v>0.79449999999999998</v>
      </c>
      <c r="H201" s="19">
        <v>0.1328</v>
      </c>
      <c r="I201" s="18">
        <v>5.9809999999999999</v>
      </c>
      <c r="J201" s="20">
        <v>6</v>
      </c>
      <c r="K201" s="19">
        <v>1.3537E-2</v>
      </c>
      <c r="L201" s="21">
        <f t="shared" si="12"/>
        <v>1.8684775710869299</v>
      </c>
      <c r="M201" s="21">
        <f t="shared" si="13"/>
        <v>0.78999999999999959</v>
      </c>
      <c r="N201" s="22">
        <f t="shared" si="14"/>
        <v>3.0083309926200514</v>
      </c>
      <c r="O201" s="23">
        <f t="shared" si="15"/>
        <v>1.7290744626157299</v>
      </c>
    </row>
    <row r="202" spans="1:15" x14ac:dyDescent="0.25">
      <c r="A202" s="14" t="s">
        <v>5939</v>
      </c>
      <c r="B202" s="14" t="s">
        <v>401</v>
      </c>
      <c r="C202" s="15" t="s">
        <v>402</v>
      </c>
      <c r="D202" s="16">
        <v>9.7900000000000005E-4</v>
      </c>
      <c r="E202" s="17">
        <v>8.18</v>
      </c>
      <c r="F202" s="17">
        <v>8.6660000000000004</v>
      </c>
      <c r="G202" s="18">
        <v>-0.4859</v>
      </c>
      <c r="H202" s="19">
        <v>8.1220000000000001E-2</v>
      </c>
      <c r="I202" s="18">
        <v>5.9829999999999997</v>
      </c>
      <c r="J202" s="20">
        <v>6</v>
      </c>
      <c r="K202" s="19">
        <v>1.3537E-2</v>
      </c>
      <c r="L202" s="21">
        <f t="shared" si="12"/>
        <v>1.8684775710869299</v>
      </c>
      <c r="M202" s="21">
        <f t="shared" si="13"/>
        <v>-0.48600000000000049</v>
      </c>
      <c r="N202" s="22">
        <f t="shared" si="14"/>
        <v>3.0092173081968618</v>
      </c>
      <c r="O202" s="23">
        <f t="shared" si="15"/>
        <v>0.71400198984253183</v>
      </c>
    </row>
    <row r="203" spans="1:15" x14ac:dyDescent="0.25">
      <c r="A203" s="14" t="s">
        <v>5940</v>
      </c>
      <c r="B203" s="14" t="s">
        <v>407</v>
      </c>
      <c r="C203" s="15" t="s">
        <v>408</v>
      </c>
      <c r="D203" s="16">
        <v>9.9400000000000009E-4</v>
      </c>
      <c r="E203" s="17">
        <v>11</v>
      </c>
      <c r="F203" s="17">
        <v>10.050000000000001</v>
      </c>
      <c r="G203" s="18">
        <v>0.95630000000000004</v>
      </c>
      <c r="H203" s="19">
        <v>0.1603</v>
      </c>
      <c r="I203" s="18">
        <v>5.9660000000000002</v>
      </c>
      <c r="J203" s="20">
        <v>6</v>
      </c>
      <c r="K203" s="19">
        <v>1.3583E-2</v>
      </c>
      <c r="L203" s="21">
        <f t="shared" si="12"/>
        <v>1.8670042993077347</v>
      </c>
      <c r="M203" s="21">
        <f t="shared" si="13"/>
        <v>0.9499999999999994</v>
      </c>
      <c r="N203" s="22">
        <f t="shared" si="14"/>
        <v>3.0026136156026864</v>
      </c>
      <c r="O203" s="23">
        <f t="shared" si="15"/>
        <v>1.9318726578496901</v>
      </c>
    </row>
    <row r="204" spans="1:15" x14ac:dyDescent="0.25">
      <c r="A204" s="14" t="s">
        <v>5941</v>
      </c>
      <c r="B204" s="14" t="s">
        <v>409</v>
      </c>
      <c r="C204" s="15" t="s">
        <v>410</v>
      </c>
      <c r="D204" s="16">
        <v>9.9799999999999997E-4</v>
      </c>
      <c r="E204" s="17">
        <v>8.7490000000000006</v>
      </c>
      <c r="F204" s="17">
        <v>9.8409999999999993</v>
      </c>
      <c r="G204" s="18">
        <v>-1.091</v>
      </c>
      <c r="H204" s="19">
        <v>0.18310000000000001</v>
      </c>
      <c r="I204" s="18">
        <v>5.9610000000000003</v>
      </c>
      <c r="J204" s="20">
        <v>6</v>
      </c>
      <c r="K204" s="19">
        <v>1.3583E-2</v>
      </c>
      <c r="L204" s="21">
        <f t="shared" si="12"/>
        <v>1.8670042993077347</v>
      </c>
      <c r="M204" s="21">
        <f t="shared" si="13"/>
        <v>-1.0919999999999994</v>
      </c>
      <c r="N204" s="22">
        <f t="shared" si="14"/>
        <v>3.0008694587126286</v>
      </c>
      <c r="O204" s="23">
        <f t="shared" si="15"/>
        <v>0.4691105982503358</v>
      </c>
    </row>
    <row r="205" spans="1:15" x14ac:dyDescent="0.25">
      <c r="A205" s="14" t="s">
        <v>5942</v>
      </c>
      <c r="B205" s="14" t="s">
        <v>411</v>
      </c>
      <c r="C205" s="15" t="s">
        <v>412</v>
      </c>
      <c r="D205" s="16">
        <v>1.003E-3</v>
      </c>
      <c r="E205" s="17">
        <v>13.53</v>
      </c>
      <c r="F205" s="17">
        <v>14.01</v>
      </c>
      <c r="G205" s="18">
        <v>-0.47620000000000001</v>
      </c>
      <c r="H205" s="19">
        <v>7.9960000000000003E-2</v>
      </c>
      <c r="I205" s="18">
        <v>5.9550000000000001</v>
      </c>
      <c r="J205" s="20">
        <v>6</v>
      </c>
      <c r="K205" s="19">
        <v>1.3584000000000001E-2</v>
      </c>
      <c r="L205" s="21">
        <f t="shared" si="12"/>
        <v>1.8669723271001222</v>
      </c>
      <c r="M205" s="21">
        <f t="shared" si="13"/>
        <v>-0.48000000000000048</v>
      </c>
      <c r="N205" s="22">
        <f t="shared" si="14"/>
        <v>2.9986990669795817</v>
      </c>
      <c r="O205" s="23">
        <f t="shared" si="15"/>
        <v>0.71697762400791343</v>
      </c>
    </row>
    <row r="206" spans="1:15" x14ac:dyDescent="0.25">
      <c r="A206" s="14" t="s">
        <v>5943</v>
      </c>
      <c r="B206" s="14" t="s">
        <v>417</v>
      </c>
      <c r="C206" s="15" t="s">
        <v>418</v>
      </c>
      <c r="D206" s="16">
        <v>1.0250000000000001E-3</v>
      </c>
      <c r="E206" s="17">
        <v>10.54</v>
      </c>
      <c r="F206" s="17">
        <v>10.95</v>
      </c>
      <c r="G206" s="18">
        <v>-0.41789999999999999</v>
      </c>
      <c r="H206" s="19">
        <v>7.0459999999999995E-2</v>
      </c>
      <c r="I206" s="18">
        <v>5.931</v>
      </c>
      <c r="J206" s="20">
        <v>6</v>
      </c>
      <c r="K206" s="19">
        <v>1.3675E-2</v>
      </c>
      <c r="L206" s="21">
        <f t="shared" si="12"/>
        <v>1.8640726649945316</v>
      </c>
      <c r="M206" s="21">
        <f t="shared" si="13"/>
        <v>-0.41000000000000053</v>
      </c>
      <c r="N206" s="22">
        <f t="shared" si="14"/>
        <v>2.9892761346082266</v>
      </c>
      <c r="O206" s="23">
        <f t="shared" si="15"/>
        <v>0.75262337370553334</v>
      </c>
    </row>
    <row r="207" spans="1:15" x14ac:dyDescent="0.25">
      <c r="A207" s="14" t="s">
        <v>5944</v>
      </c>
      <c r="B207" s="14" t="s">
        <v>415</v>
      </c>
      <c r="C207" s="15" t="s">
        <v>416</v>
      </c>
      <c r="D207" s="16">
        <v>1.023E-3</v>
      </c>
      <c r="E207" s="17">
        <v>10</v>
      </c>
      <c r="F207" s="17">
        <v>9.3160000000000007</v>
      </c>
      <c r="G207" s="18">
        <v>0.68469999999999998</v>
      </c>
      <c r="H207" s="19">
        <v>0.1154</v>
      </c>
      <c r="I207" s="18">
        <v>5.9329999999999998</v>
      </c>
      <c r="J207" s="20">
        <v>6</v>
      </c>
      <c r="K207" s="19">
        <v>1.3675E-2</v>
      </c>
      <c r="L207" s="21">
        <f t="shared" si="12"/>
        <v>1.8640726649945316</v>
      </c>
      <c r="M207" s="21">
        <f t="shared" si="13"/>
        <v>0.68399999999999972</v>
      </c>
      <c r="N207" s="22">
        <f t="shared" si="14"/>
        <v>2.9901243662878394</v>
      </c>
      <c r="O207" s="23">
        <f t="shared" si="15"/>
        <v>1.6065879935140672</v>
      </c>
    </row>
    <row r="208" spans="1:15" x14ac:dyDescent="0.25">
      <c r="A208" s="14" t="s">
        <v>5945</v>
      </c>
      <c r="B208" s="14" t="s">
        <v>413</v>
      </c>
      <c r="C208" s="15" t="s">
        <v>414</v>
      </c>
      <c r="D208" s="16">
        <v>1.018E-3</v>
      </c>
      <c r="E208" s="17">
        <v>11.8</v>
      </c>
      <c r="F208" s="17">
        <v>12.55</v>
      </c>
      <c r="G208" s="18">
        <v>-0.75319999999999998</v>
      </c>
      <c r="H208" s="19">
        <v>0.1268</v>
      </c>
      <c r="I208" s="18">
        <v>5.9390000000000001</v>
      </c>
      <c r="J208" s="20">
        <v>6</v>
      </c>
      <c r="K208" s="19">
        <v>1.3675E-2</v>
      </c>
      <c r="L208" s="21">
        <f t="shared" si="12"/>
        <v>1.8640726649945316</v>
      </c>
      <c r="M208" s="21">
        <f t="shared" si="13"/>
        <v>-0.74999999999999944</v>
      </c>
      <c r="N208" s="22">
        <f t="shared" si="14"/>
        <v>2.9922522219992596</v>
      </c>
      <c r="O208" s="23">
        <f t="shared" si="15"/>
        <v>0.59460355750136074</v>
      </c>
    </row>
    <row r="209" spans="1:15" x14ac:dyDescent="0.25">
      <c r="A209" s="14" t="s">
        <v>5946</v>
      </c>
      <c r="B209" s="14" t="s">
        <v>419</v>
      </c>
      <c r="C209" s="15" t="s">
        <v>420</v>
      </c>
      <c r="D209" s="16">
        <v>1.0319999999999999E-3</v>
      </c>
      <c r="E209" s="17">
        <v>9.7070000000000007</v>
      </c>
      <c r="F209" s="17">
        <v>8.9139999999999997</v>
      </c>
      <c r="G209" s="18">
        <v>0.79300000000000004</v>
      </c>
      <c r="H209" s="19">
        <v>0.13389999999999999</v>
      </c>
      <c r="I209" s="18">
        <v>5.9240000000000004</v>
      </c>
      <c r="J209" s="20">
        <v>6</v>
      </c>
      <c r="K209" s="19">
        <v>1.37E-2</v>
      </c>
      <c r="L209" s="21">
        <f t="shared" si="12"/>
        <v>1.8632794328435929</v>
      </c>
      <c r="M209" s="21">
        <f t="shared" si="13"/>
        <v>0.79300000000000104</v>
      </c>
      <c r="N209" s="22">
        <f t="shared" si="14"/>
        <v>2.9863203027088074</v>
      </c>
      <c r="O209" s="23">
        <f t="shared" si="15"/>
        <v>1.7326737128001759</v>
      </c>
    </row>
    <row r="210" spans="1:15" x14ac:dyDescent="0.25">
      <c r="A210" s="14" t="s">
        <v>5947</v>
      </c>
      <c r="B210" s="14" t="s">
        <v>421</v>
      </c>
      <c r="C210" s="15" t="s">
        <v>422</v>
      </c>
      <c r="D210" s="16">
        <v>1.0430000000000001E-3</v>
      </c>
      <c r="E210" s="17">
        <v>7.8769999999999998</v>
      </c>
      <c r="F210" s="17">
        <v>8.8409999999999993</v>
      </c>
      <c r="G210" s="18">
        <v>-0.96460000000000001</v>
      </c>
      <c r="H210" s="19">
        <v>0.16320000000000001</v>
      </c>
      <c r="I210" s="18">
        <v>5.9109999999999996</v>
      </c>
      <c r="J210" s="20">
        <v>6</v>
      </c>
      <c r="K210" s="19">
        <v>1.3780000000000001E-2</v>
      </c>
      <c r="L210" s="21">
        <f t="shared" si="12"/>
        <v>1.8607507824283929</v>
      </c>
      <c r="M210" s="21">
        <f t="shared" si="13"/>
        <v>-0.9640000000000003</v>
      </c>
      <c r="N210" s="22">
        <f t="shared" si="14"/>
        <v>2.9817156915734691</v>
      </c>
      <c r="O210" s="23">
        <f t="shared" si="15"/>
        <v>0.51263361894429682</v>
      </c>
    </row>
    <row r="211" spans="1:15" x14ac:dyDescent="0.25">
      <c r="A211" s="14" t="s">
        <v>5948</v>
      </c>
      <c r="B211" s="14" t="s">
        <v>423</v>
      </c>
      <c r="C211" s="15" t="s">
        <v>424</v>
      </c>
      <c r="D211" s="16">
        <v>1.054E-3</v>
      </c>
      <c r="E211" s="17">
        <v>13.81</v>
      </c>
      <c r="F211" s="17">
        <v>14.72</v>
      </c>
      <c r="G211" s="18">
        <v>-0.90600000000000003</v>
      </c>
      <c r="H211" s="19">
        <v>0.15359999999999999</v>
      </c>
      <c r="I211" s="18">
        <v>5.899</v>
      </c>
      <c r="J211" s="20">
        <v>6</v>
      </c>
      <c r="K211" s="19">
        <v>1.3864E-2</v>
      </c>
      <c r="L211" s="21">
        <f t="shared" si="12"/>
        <v>1.8581114502941394</v>
      </c>
      <c r="M211" s="21">
        <f t="shared" si="13"/>
        <v>-0.91000000000000048</v>
      </c>
      <c r="N211" s="22">
        <f t="shared" si="14"/>
        <v>2.977159389123472</v>
      </c>
      <c r="O211" s="23">
        <f t="shared" si="15"/>
        <v>0.53218509122667979</v>
      </c>
    </row>
    <row r="212" spans="1:15" x14ac:dyDescent="0.25">
      <c r="A212" s="14" t="s">
        <v>5949</v>
      </c>
      <c r="B212" s="14" t="s">
        <v>425</v>
      </c>
      <c r="C212" s="15" t="s">
        <v>426</v>
      </c>
      <c r="D212" s="16">
        <v>1.0629999999999999E-3</v>
      </c>
      <c r="E212" s="17">
        <v>13.86</v>
      </c>
      <c r="F212" s="17">
        <v>14.3</v>
      </c>
      <c r="G212" s="18">
        <v>-0.44919999999999999</v>
      </c>
      <c r="H212" s="19">
        <v>7.6280000000000001E-2</v>
      </c>
      <c r="I212" s="18">
        <v>5.8890000000000002</v>
      </c>
      <c r="J212" s="20">
        <v>6</v>
      </c>
      <c r="K212" s="19">
        <v>1.392E-2</v>
      </c>
      <c r="L212" s="21">
        <f t="shared" si="12"/>
        <v>1.8563607647254565</v>
      </c>
      <c r="M212" s="21">
        <f t="shared" si="13"/>
        <v>-0.44000000000000161</v>
      </c>
      <c r="N212" s="22">
        <f t="shared" si="14"/>
        <v>2.9734667354767028</v>
      </c>
      <c r="O212" s="23">
        <f t="shared" si="15"/>
        <v>0.7371346086455498</v>
      </c>
    </row>
    <row r="213" spans="1:15" x14ac:dyDescent="0.25">
      <c r="A213" s="14" t="s">
        <v>5950</v>
      </c>
      <c r="B213" s="14" t="s">
        <v>427</v>
      </c>
      <c r="C213" s="15" t="s">
        <v>428</v>
      </c>
      <c r="D213" s="16">
        <v>1.08E-3</v>
      </c>
      <c r="E213" s="17">
        <v>10.220000000000001</v>
      </c>
      <c r="F213" s="17">
        <v>9.7469999999999999</v>
      </c>
      <c r="G213" s="18">
        <v>0.4738</v>
      </c>
      <c r="H213" s="19">
        <v>8.0710000000000004E-2</v>
      </c>
      <c r="I213" s="18">
        <v>5.8710000000000004</v>
      </c>
      <c r="J213" s="20">
        <v>6</v>
      </c>
      <c r="K213" s="19">
        <v>1.4064E-2</v>
      </c>
      <c r="L213" s="21">
        <f t="shared" si="12"/>
        <v>1.8518911422703033</v>
      </c>
      <c r="M213" s="21">
        <f t="shared" si="13"/>
        <v>0.47300000000000153</v>
      </c>
      <c r="N213" s="22">
        <f t="shared" si="14"/>
        <v>2.9665762445130501</v>
      </c>
      <c r="O213" s="23">
        <f t="shared" si="15"/>
        <v>1.3879927190155934</v>
      </c>
    </row>
    <row r="214" spans="1:15" x14ac:dyDescent="0.25">
      <c r="A214" s="14" t="s">
        <v>5951</v>
      </c>
      <c r="B214" s="14" t="s">
        <v>429</v>
      </c>
      <c r="C214" s="15" t="s">
        <v>430</v>
      </c>
      <c r="D214" s="16">
        <v>1.0889999999999999E-3</v>
      </c>
      <c r="E214" s="17">
        <v>13.99</v>
      </c>
      <c r="F214" s="17">
        <v>14.64</v>
      </c>
      <c r="G214" s="18">
        <v>-0.65359999999999996</v>
      </c>
      <c r="H214" s="19">
        <v>0.1115</v>
      </c>
      <c r="I214" s="18">
        <v>5.8620000000000001</v>
      </c>
      <c r="J214" s="20">
        <v>6</v>
      </c>
      <c r="K214" s="19">
        <v>1.4064E-2</v>
      </c>
      <c r="L214" s="21">
        <f t="shared" si="12"/>
        <v>1.8518911422703033</v>
      </c>
      <c r="M214" s="21">
        <f t="shared" si="13"/>
        <v>-0.65000000000000091</v>
      </c>
      <c r="N214" s="22">
        <f t="shared" si="14"/>
        <v>2.962972120244225</v>
      </c>
      <c r="O214" s="23">
        <f t="shared" si="15"/>
        <v>0.63728031365963067</v>
      </c>
    </row>
    <row r="215" spans="1:15" x14ac:dyDescent="0.25">
      <c r="A215" s="14" t="s">
        <v>5952</v>
      </c>
      <c r="B215" s="14" t="s">
        <v>431</v>
      </c>
      <c r="C215" s="15" t="s">
        <v>432</v>
      </c>
      <c r="D215" s="16">
        <v>1.09E-3</v>
      </c>
      <c r="E215" s="17">
        <v>8.7420000000000009</v>
      </c>
      <c r="F215" s="17">
        <v>9.8070000000000004</v>
      </c>
      <c r="G215" s="18">
        <v>-1.0649999999999999</v>
      </c>
      <c r="H215" s="19">
        <v>0.1817</v>
      </c>
      <c r="I215" s="18">
        <v>5.8620000000000001</v>
      </c>
      <c r="J215" s="20">
        <v>6</v>
      </c>
      <c r="K215" s="19">
        <v>1.4064E-2</v>
      </c>
      <c r="L215" s="21">
        <f t="shared" si="12"/>
        <v>1.8518911422703033</v>
      </c>
      <c r="M215" s="21">
        <f t="shared" si="13"/>
        <v>-1.0649999999999995</v>
      </c>
      <c r="N215" s="22">
        <f t="shared" si="14"/>
        <v>2.9625735020593758</v>
      </c>
      <c r="O215" s="23">
        <f t="shared" si="15"/>
        <v>0.47797265879687129</v>
      </c>
    </row>
    <row r="216" spans="1:15" x14ac:dyDescent="0.25">
      <c r="A216" s="14" t="s">
        <v>5953</v>
      </c>
      <c r="B216" s="14" t="s">
        <v>435</v>
      </c>
      <c r="C216" s="15" t="s">
        <v>436</v>
      </c>
      <c r="D216" s="16">
        <v>1.1050000000000001E-3</v>
      </c>
      <c r="E216" s="17">
        <v>10.1</v>
      </c>
      <c r="F216" s="17">
        <v>9.5879999999999992</v>
      </c>
      <c r="G216" s="18">
        <v>0.50960000000000005</v>
      </c>
      <c r="H216" s="19">
        <v>8.7169999999999997E-2</v>
      </c>
      <c r="I216" s="18">
        <v>5.8460000000000001</v>
      </c>
      <c r="J216" s="20">
        <v>6</v>
      </c>
      <c r="K216" s="19">
        <v>1.4104999999999999E-2</v>
      </c>
      <c r="L216" s="21">
        <f t="shared" si="12"/>
        <v>1.8506269095086145</v>
      </c>
      <c r="M216" s="21">
        <f t="shared" si="13"/>
        <v>0.51200000000000001</v>
      </c>
      <c r="N216" s="22">
        <f t="shared" si="14"/>
        <v>2.9566377219788702</v>
      </c>
      <c r="O216" s="23">
        <f t="shared" si="15"/>
        <v>1.4260257173641409</v>
      </c>
    </row>
    <row r="217" spans="1:15" x14ac:dyDescent="0.25">
      <c r="A217" s="14" t="s">
        <v>5954</v>
      </c>
      <c r="B217" s="14" t="s">
        <v>437</v>
      </c>
      <c r="C217" s="15" t="s">
        <v>438</v>
      </c>
      <c r="D217" s="16">
        <v>1.108E-3</v>
      </c>
      <c r="E217" s="17">
        <v>9.1950000000000003</v>
      </c>
      <c r="F217" s="17">
        <v>8.0350000000000001</v>
      </c>
      <c r="G217" s="18">
        <v>1.1599999999999999</v>
      </c>
      <c r="H217" s="19">
        <v>0.19850000000000001</v>
      </c>
      <c r="I217" s="18">
        <v>5.843</v>
      </c>
      <c r="J217" s="20">
        <v>6</v>
      </c>
      <c r="K217" s="19">
        <v>1.4104999999999999E-2</v>
      </c>
      <c r="L217" s="21">
        <f t="shared" si="12"/>
        <v>1.8506269095086145</v>
      </c>
      <c r="M217" s="21">
        <f t="shared" si="13"/>
        <v>1.1599999999999997</v>
      </c>
      <c r="N217" s="22">
        <f t="shared" si="14"/>
        <v>2.9554602396075889</v>
      </c>
      <c r="O217" s="23">
        <f t="shared" si="15"/>
        <v>2.2345742761444396</v>
      </c>
    </row>
    <row r="218" spans="1:15" x14ac:dyDescent="0.25">
      <c r="A218" s="14" t="s">
        <v>5955</v>
      </c>
      <c r="B218" s="14" t="s">
        <v>433</v>
      </c>
      <c r="C218" s="15" t="s">
        <v>434</v>
      </c>
      <c r="D218" s="16">
        <v>1.1050000000000001E-3</v>
      </c>
      <c r="E218" s="17">
        <v>12.06</v>
      </c>
      <c r="F218" s="17">
        <v>12.48</v>
      </c>
      <c r="G218" s="18">
        <v>-0.41760000000000003</v>
      </c>
      <c r="H218" s="19">
        <v>7.1419999999999997E-2</v>
      </c>
      <c r="I218" s="18">
        <v>5.8460000000000001</v>
      </c>
      <c r="J218" s="20">
        <v>6</v>
      </c>
      <c r="K218" s="19">
        <v>1.4104999999999999E-2</v>
      </c>
      <c r="L218" s="21">
        <f t="shared" si="12"/>
        <v>1.8506269095086145</v>
      </c>
      <c r="M218" s="21">
        <f t="shared" si="13"/>
        <v>-0.41999999999999821</v>
      </c>
      <c r="N218" s="22">
        <f t="shared" si="14"/>
        <v>2.9566377219788702</v>
      </c>
      <c r="O218" s="23">
        <f t="shared" si="15"/>
        <v>0.74742462431747014</v>
      </c>
    </row>
    <row r="219" spans="1:15" x14ac:dyDescent="0.25">
      <c r="A219" s="14" t="s">
        <v>5956</v>
      </c>
      <c r="B219" s="14" t="s">
        <v>439</v>
      </c>
      <c r="C219" s="15" t="s">
        <v>440</v>
      </c>
      <c r="D219" s="16">
        <v>1.145E-3</v>
      </c>
      <c r="E219" s="17">
        <v>8.9410000000000007</v>
      </c>
      <c r="F219" s="17">
        <v>9.641</v>
      </c>
      <c r="G219" s="18">
        <v>-0.6996</v>
      </c>
      <c r="H219" s="19">
        <v>0.1205</v>
      </c>
      <c r="I219" s="18">
        <v>5.806</v>
      </c>
      <c r="J219" s="20">
        <v>6</v>
      </c>
      <c r="K219" s="19">
        <v>1.4449E-2</v>
      </c>
      <c r="L219" s="21">
        <f t="shared" si="12"/>
        <v>1.8401622089288925</v>
      </c>
      <c r="M219" s="21">
        <f t="shared" si="13"/>
        <v>-0.69999999999999896</v>
      </c>
      <c r="N219" s="22">
        <f t="shared" si="14"/>
        <v>2.9411945133240929</v>
      </c>
      <c r="O219" s="23">
        <f t="shared" si="15"/>
        <v>0.6155722066724586</v>
      </c>
    </row>
    <row r="220" spans="1:15" x14ac:dyDescent="0.25">
      <c r="A220" s="14" t="s">
        <v>5957</v>
      </c>
      <c r="B220" s="14" t="s">
        <v>441</v>
      </c>
      <c r="C220" s="15" t="s">
        <v>442</v>
      </c>
      <c r="D220" s="16">
        <v>1.1460000000000001E-3</v>
      </c>
      <c r="E220" s="17">
        <v>8.67</v>
      </c>
      <c r="F220" s="17">
        <v>9.2680000000000007</v>
      </c>
      <c r="G220" s="18">
        <v>-0.59809999999999997</v>
      </c>
      <c r="H220" s="19">
        <v>0.10299999999999999</v>
      </c>
      <c r="I220" s="18">
        <v>5.806</v>
      </c>
      <c r="J220" s="20">
        <v>6</v>
      </c>
      <c r="K220" s="19">
        <v>1.4449E-2</v>
      </c>
      <c r="L220" s="21">
        <f t="shared" si="12"/>
        <v>1.8401622089288925</v>
      </c>
      <c r="M220" s="21">
        <f t="shared" si="13"/>
        <v>-0.59800000000000042</v>
      </c>
      <c r="N220" s="22">
        <f t="shared" si="14"/>
        <v>2.9408153823686285</v>
      </c>
      <c r="O220" s="23">
        <f t="shared" si="15"/>
        <v>0.66066920282913233</v>
      </c>
    </row>
    <row r="221" spans="1:15" x14ac:dyDescent="0.25">
      <c r="A221" s="14" t="s">
        <v>5958</v>
      </c>
      <c r="B221" s="14" t="s">
        <v>445</v>
      </c>
      <c r="C221" s="15" t="s">
        <v>446</v>
      </c>
      <c r="D221" s="16">
        <v>1.1839999999999999E-3</v>
      </c>
      <c r="E221" s="17">
        <v>9.048</v>
      </c>
      <c r="F221" s="17">
        <v>8.25</v>
      </c>
      <c r="G221" s="18">
        <v>0.7984</v>
      </c>
      <c r="H221" s="19">
        <v>0.1384</v>
      </c>
      <c r="I221" s="18">
        <v>5.7690000000000001</v>
      </c>
      <c r="J221" s="20">
        <v>6</v>
      </c>
      <c r="K221" s="19">
        <v>1.4801E-2</v>
      </c>
      <c r="L221" s="21">
        <f t="shared" si="12"/>
        <v>1.8297089413746064</v>
      </c>
      <c r="M221" s="21">
        <f t="shared" si="13"/>
        <v>0.79800000000000071</v>
      </c>
      <c r="N221" s="22">
        <f t="shared" si="14"/>
        <v>2.9266482976130987</v>
      </c>
      <c r="O221" s="23">
        <f t="shared" si="15"/>
        <v>1.7386891201800441</v>
      </c>
    </row>
    <row r="222" spans="1:15" x14ac:dyDescent="0.25">
      <c r="A222" s="14" t="s">
        <v>5959</v>
      </c>
      <c r="B222" s="14" t="s">
        <v>443</v>
      </c>
      <c r="C222" s="15" t="s">
        <v>444</v>
      </c>
      <c r="D222" s="16">
        <v>1.1789999999999999E-3</v>
      </c>
      <c r="E222" s="17">
        <v>10.01</v>
      </c>
      <c r="F222" s="17">
        <v>10.95</v>
      </c>
      <c r="G222" s="18">
        <v>-0.93430000000000002</v>
      </c>
      <c r="H222" s="19">
        <v>0.1618</v>
      </c>
      <c r="I222" s="18">
        <v>5.7729999999999997</v>
      </c>
      <c r="J222" s="20">
        <v>6</v>
      </c>
      <c r="K222" s="19">
        <v>1.4801E-2</v>
      </c>
      <c r="L222" s="21">
        <f t="shared" si="12"/>
        <v>1.8297089413746064</v>
      </c>
      <c r="M222" s="21">
        <f t="shared" si="13"/>
        <v>-0.94000000000000028</v>
      </c>
      <c r="N222" s="22">
        <f t="shared" si="14"/>
        <v>2.9284861949049108</v>
      </c>
      <c r="O222" s="23">
        <f t="shared" si="15"/>
        <v>0.5212328804205606</v>
      </c>
    </row>
    <row r="223" spans="1:15" x14ac:dyDescent="0.25">
      <c r="A223" s="14" t="s">
        <v>5960</v>
      </c>
      <c r="B223" s="14" t="s">
        <v>447</v>
      </c>
      <c r="C223" s="15" t="s">
        <v>448</v>
      </c>
      <c r="D223" s="16">
        <v>1.1950000000000001E-3</v>
      </c>
      <c r="E223" s="17">
        <v>9.7479999999999993</v>
      </c>
      <c r="F223" s="17">
        <v>10.56</v>
      </c>
      <c r="G223" s="18">
        <v>-0.81599999999999995</v>
      </c>
      <c r="H223" s="19">
        <v>0.14169999999999999</v>
      </c>
      <c r="I223" s="18">
        <v>5.758</v>
      </c>
      <c r="J223" s="20">
        <v>6</v>
      </c>
      <c r="K223" s="19">
        <v>1.4874999999999999E-2</v>
      </c>
      <c r="L223" s="21">
        <f t="shared" si="12"/>
        <v>1.8275430255994125</v>
      </c>
      <c r="M223" s="21">
        <f t="shared" si="13"/>
        <v>-0.81200000000000139</v>
      </c>
      <c r="N223" s="22">
        <f t="shared" si="14"/>
        <v>2.9226320947158433</v>
      </c>
      <c r="O223" s="23">
        <f t="shared" si="15"/>
        <v>0.56959168861105691</v>
      </c>
    </row>
    <row r="224" spans="1:15" x14ac:dyDescent="0.25">
      <c r="A224" s="14" t="s">
        <v>5961</v>
      </c>
      <c r="B224" s="14" t="s">
        <v>449</v>
      </c>
      <c r="C224" s="15" t="s">
        <v>450</v>
      </c>
      <c r="D224" s="16">
        <v>1.2149999999999999E-3</v>
      </c>
      <c r="E224" s="17">
        <v>8.2050000000000001</v>
      </c>
      <c r="F224" s="17">
        <v>8.4469999999999992</v>
      </c>
      <c r="G224" s="18">
        <v>-0.2412</v>
      </c>
      <c r="H224" s="19">
        <v>4.2020000000000002E-2</v>
      </c>
      <c r="I224" s="18">
        <v>5.74</v>
      </c>
      <c r="J224" s="20">
        <v>6</v>
      </c>
      <c r="K224" s="19">
        <v>1.5051999999999999E-2</v>
      </c>
      <c r="L224" s="21">
        <f t="shared" si="12"/>
        <v>1.8224057903521729</v>
      </c>
      <c r="M224" s="21">
        <f t="shared" si="13"/>
        <v>-0.24199999999999974</v>
      </c>
      <c r="N224" s="22">
        <f t="shared" si="14"/>
        <v>2.9154237220656691</v>
      </c>
      <c r="O224" s="23">
        <f t="shared" si="15"/>
        <v>0.84557228737751666</v>
      </c>
    </row>
    <row r="225" spans="1:15" x14ac:dyDescent="0.25">
      <c r="A225" s="14" t="s">
        <v>5962</v>
      </c>
      <c r="B225" s="14" t="s">
        <v>453</v>
      </c>
      <c r="C225" s="15" t="s">
        <v>454</v>
      </c>
      <c r="D225" s="16">
        <v>1.2340000000000001E-3</v>
      </c>
      <c r="E225" s="17">
        <v>8.9149999999999991</v>
      </c>
      <c r="F225" s="17">
        <v>7.39</v>
      </c>
      <c r="G225" s="18">
        <v>1.5249999999999999</v>
      </c>
      <c r="H225" s="19">
        <v>0.26650000000000001</v>
      </c>
      <c r="I225" s="18">
        <v>5.7229999999999999</v>
      </c>
      <c r="J225" s="20">
        <v>6</v>
      </c>
      <c r="K225" s="19">
        <v>1.5145E-2</v>
      </c>
      <c r="L225" s="21">
        <f t="shared" si="12"/>
        <v>1.8197307223311254</v>
      </c>
      <c r="M225" s="21">
        <f t="shared" si="13"/>
        <v>1.5249999999999992</v>
      </c>
      <c r="N225" s="22">
        <f t="shared" si="14"/>
        <v>2.9086848403027767</v>
      </c>
      <c r="O225" s="23">
        <f t="shared" si="15"/>
        <v>2.8778671600216383</v>
      </c>
    </row>
    <row r="226" spans="1:15" x14ac:dyDescent="0.25">
      <c r="A226" s="14" t="s">
        <v>5963</v>
      </c>
      <c r="B226" s="14" t="s">
        <v>455</v>
      </c>
      <c r="C226" s="15" t="s">
        <v>456</v>
      </c>
      <c r="D226" s="16">
        <v>1.2390000000000001E-3</v>
      </c>
      <c r="E226" s="17">
        <v>12.63</v>
      </c>
      <c r="F226" s="17">
        <v>13.12</v>
      </c>
      <c r="G226" s="18">
        <v>-0.49209999999999998</v>
      </c>
      <c r="H226" s="19">
        <v>8.6050000000000001E-2</v>
      </c>
      <c r="I226" s="18">
        <v>5.7190000000000003</v>
      </c>
      <c r="J226" s="20">
        <v>6</v>
      </c>
      <c r="K226" s="19">
        <v>1.5145E-2</v>
      </c>
      <c r="L226" s="21">
        <f t="shared" si="12"/>
        <v>1.8197307223311254</v>
      </c>
      <c r="M226" s="21">
        <f t="shared" si="13"/>
        <v>-0.48999999999999738</v>
      </c>
      <c r="N226" s="22">
        <f t="shared" si="14"/>
        <v>2.9069286936239362</v>
      </c>
      <c r="O226" s="23">
        <f t="shared" si="15"/>
        <v>0.71202509779853718</v>
      </c>
    </row>
    <row r="227" spans="1:15" x14ac:dyDescent="0.25">
      <c r="A227" s="14" t="s">
        <v>5964</v>
      </c>
      <c r="B227" s="14" t="s">
        <v>451</v>
      </c>
      <c r="C227" s="15" t="s">
        <v>452</v>
      </c>
      <c r="D227" s="16">
        <v>1.2340000000000001E-3</v>
      </c>
      <c r="E227" s="17">
        <v>10.99</v>
      </c>
      <c r="F227" s="17">
        <v>10.46</v>
      </c>
      <c r="G227" s="18">
        <v>0.52710000000000001</v>
      </c>
      <c r="H227" s="19">
        <v>9.2090000000000005E-2</v>
      </c>
      <c r="I227" s="18">
        <v>5.7229999999999999</v>
      </c>
      <c r="J227" s="20">
        <v>6</v>
      </c>
      <c r="K227" s="19">
        <v>1.5145E-2</v>
      </c>
      <c r="L227" s="21">
        <f t="shared" si="12"/>
        <v>1.8197307223311254</v>
      </c>
      <c r="M227" s="21">
        <f t="shared" si="13"/>
        <v>0.52999999999999858</v>
      </c>
      <c r="N227" s="22">
        <f t="shared" si="14"/>
        <v>2.9086848403027767</v>
      </c>
      <c r="O227" s="23">
        <f t="shared" si="15"/>
        <v>1.4439291955224947</v>
      </c>
    </row>
    <row r="228" spans="1:15" x14ac:dyDescent="0.25">
      <c r="A228" s="14" t="s">
        <v>5965</v>
      </c>
      <c r="B228" s="14" t="s">
        <v>457</v>
      </c>
      <c r="C228" s="15" t="s">
        <v>458</v>
      </c>
      <c r="D228" s="16">
        <v>1.2539999999999999E-3</v>
      </c>
      <c r="E228" s="17">
        <v>11.25</v>
      </c>
      <c r="F228" s="17">
        <v>11.94</v>
      </c>
      <c r="G228" s="18">
        <v>-0.68400000000000005</v>
      </c>
      <c r="H228" s="19">
        <v>0.11990000000000001</v>
      </c>
      <c r="I228" s="18">
        <v>5.7060000000000004</v>
      </c>
      <c r="J228" s="20">
        <v>6</v>
      </c>
      <c r="K228" s="19">
        <v>1.5257E-2</v>
      </c>
      <c r="L228" s="21">
        <f t="shared" si="12"/>
        <v>1.8165308537684899</v>
      </c>
      <c r="M228" s="21">
        <f t="shared" si="13"/>
        <v>-0.68999999999999984</v>
      </c>
      <c r="N228" s="22">
        <f t="shared" si="14"/>
        <v>2.9017024635053019</v>
      </c>
      <c r="O228" s="23">
        <f t="shared" si="15"/>
        <v>0.61985384996949333</v>
      </c>
    </row>
    <row r="229" spans="1:15" x14ac:dyDescent="0.25">
      <c r="A229" s="14" t="s">
        <v>5966</v>
      </c>
      <c r="B229" s="14" t="s">
        <v>459</v>
      </c>
      <c r="C229" s="15" t="s">
        <v>460</v>
      </c>
      <c r="D229" s="16">
        <v>1.2639999999999999E-3</v>
      </c>
      <c r="E229" s="17">
        <v>15.94</v>
      </c>
      <c r="F229" s="17">
        <v>16.3</v>
      </c>
      <c r="G229" s="18">
        <v>-0.36330000000000001</v>
      </c>
      <c r="H229" s="19">
        <v>6.3769999999999993E-2</v>
      </c>
      <c r="I229" s="18">
        <v>5.6970000000000001</v>
      </c>
      <c r="J229" s="20">
        <v>6</v>
      </c>
      <c r="K229" s="19">
        <v>1.5311E-2</v>
      </c>
      <c r="L229" s="21">
        <f t="shared" si="12"/>
        <v>1.8149964435081947</v>
      </c>
      <c r="M229" s="21">
        <f t="shared" si="13"/>
        <v>-0.36000000000000099</v>
      </c>
      <c r="N229" s="22">
        <f t="shared" si="14"/>
        <v>2.8982529260536336</v>
      </c>
      <c r="O229" s="23">
        <f t="shared" si="15"/>
        <v>0.77916457966049935</v>
      </c>
    </row>
    <row r="230" spans="1:15" x14ac:dyDescent="0.25">
      <c r="A230" s="14" t="s">
        <v>5967</v>
      </c>
      <c r="B230" s="14" t="s">
        <v>461</v>
      </c>
      <c r="C230" s="15" t="s">
        <v>462</v>
      </c>
      <c r="D230" s="16">
        <v>1.2750000000000001E-3</v>
      </c>
      <c r="E230" s="17">
        <v>13.16</v>
      </c>
      <c r="F230" s="17">
        <v>13.82</v>
      </c>
      <c r="G230" s="18">
        <v>-0.65180000000000005</v>
      </c>
      <c r="H230" s="19">
        <v>0.11459999999999999</v>
      </c>
      <c r="I230" s="18">
        <v>5.6870000000000003</v>
      </c>
      <c r="J230" s="20">
        <v>6</v>
      </c>
      <c r="K230" s="19">
        <v>1.5355000000000001E-2</v>
      </c>
      <c r="L230" s="21">
        <f t="shared" si="12"/>
        <v>1.8137501792209119</v>
      </c>
      <c r="M230" s="21">
        <f t="shared" si="13"/>
        <v>-0.66</v>
      </c>
      <c r="N230" s="22">
        <f t="shared" si="14"/>
        <v>2.8944898152300258</v>
      </c>
      <c r="O230" s="23">
        <f t="shared" si="15"/>
        <v>0.63287829698513998</v>
      </c>
    </row>
    <row r="231" spans="1:15" x14ac:dyDescent="0.25">
      <c r="A231" s="14" t="s">
        <v>5968</v>
      </c>
      <c r="B231" s="14" t="s">
        <v>463</v>
      </c>
      <c r="C231" s="15" t="s">
        <v>464</v>
      </c>
      <c r="D231" s="16">
        <v>1.279E-3</v>
      </c>
      <c r="E231" s="17">
        <v>10.87</v>
      </c>
      <c r="F231" s="17">
        <v>10.16</v>
      </c>
      <c r="G231" s="18">
        <v>0.71240000000000003</v>
      </c>
      <c r="H231" s="19">
        <v>0.12529999999999999</v>
      </c>
      <c r="I231" s="18">
        <v>5.6840000000000002</v>
      </c>
      <c r="J231" s="20">
        <v>6</v>
      </c>
      <c r="K231" s="19">
        <v>1.5355000000000001E-2</v>
      </c>
      <c r="L231" s="21">
        <f t="shared" si="12"/>
        <v>1.8137501792209119</v>
      </c>
      <c r="M231" s="21">
        <f t="shared" si="13"/>
        <v>0.70999999999999919</v>
      </c>
      <c r="N231" s="22">
        <f t="shared" si="14"/>
        <v>2.893129455521346</v>
      </c>
      <c r="O231" s="23">
        <f t="shared" si="15"/>
        <v>1.6358041171155613</v>
      </c>
    </row>
    <row r="232" spans="1:15" x14ac:dyDescent="0.25">
      <c r="A232" s="14" t="s">
        <v>5969</v>
      </c>
      <c r="B232" s="14" t="s">
        <v>465</v>
      </c>
      <c r="C232" s="15" t="s">
        <v>466</v>
      </c>
      <c r="D232" s="16">
        <v>1.289E-3</v>
      </c>
      <c r="E232" s="17">
        <v>10.23</v>
      </c>
      <c r="F232" s="17">
        <v>10.07</v>
      </c>
      <c r="G232" s="18">
        <v>0.1658</v>
      </c>
      <c r="H232" s="19">
        <v>2.9219999999999999E-2</v>
      </c>
      <c r="I232" s="18">
        <v>5.6749999999999998</v>
      </c>
      <c r="J232" s="20">
        <v>6</v>
      </c>
      <c r="K232" s="19">
        <v>1.5415999999999999E-2</v>
      </c>
      <c r="L232" s="21">
        <f t="shared" si="12"/>
        <v>1.8120282983526033</v>
      </c>
      <c r="M232" s="21">
        <f t="shared" si="13"/>
        <v>0.15999999999999978</v>
      </c>
      <c r="N232" s="22">
        <f t="shared" si="14"/>
        <v>2.8897470826465965</v>
      </c>
      <c r="O232" s="23">
        <f t="shared" si="15"/>
        <v>1.1172871380722198</v>
      </c>
    </row>
    <row r="233" spans="1:15" x14ac:dyDescent="0.25">
      <c r="A233" s="14" t="s">
        <v>5970</v>
      </c>
      <c r="B233" s="14" t="s">
        <v>467</v>
      </c>
      <c r="C233" s="15" t="s">
        <v>468</v>
      </c>
      <c r="D233" s="16">
        <v>1.299E-3</v>
      </c>
      <c r="E233" s="17">
        <v>9.6790000000000003</v>
      </c>
      <c r="F233" s="17">
        <v>10.220000000000001</v>
      </c>
      <c r="G233" s="18">
        <v>-0.54249999999999998</v>
      </c>
      <c r="H233" s="19">
        <v>9.5729999999999996E-2</v>
      </c>
      <c r="I233" s="18">
        <v>5.6669999999999998</v>
      </c>
      <c r="J233" s="20">
        <v>6</v>
      </c>
      <c r="K233" s="19">
        <v>1.5462E-2</v>
      </c>
      <c r="L233" s="21">
        <f t="shared" si="12"/>
        <v>1.8107343310654516</v>
      </c>
      <c r="M233" s="21">
        <f t="shared" si="13"/>
        <v>-0.54100000000000081</v>
      </c>
      <c r="N233" s="22">
        <f t="shared" si="14"/>
        <v>2.8863908489269718</v>
      </c>
      <c r="O233" s="23">
        <f t="shared" si="15"/>
        <v>0.68729434778601417</v>
      </c>
    </row>
    <row r="234" spans="1:15" x14ac:dyDescent="0.25">
      <c r="A234" s="14" t="s">
        <v>5971</v>
      </c>
      <c r="B234" s="14" t="s">
        <v>469</v>
      </c>
      <c r="C234" s="15" t="s">
        <v>470</v>
      </c>
      <c r="D234" s="16">
        <v>1.305E-3</v>
      </c>
      <c r="E234" s="17">
        <v>7.9729999999999999</v>
      </c>
      <c r="F234" s="17">
        <v>8.5850000000000009</v>
      </c>
      <c r="G234" s="18">
        <v>-0.61209999999999998</v>
      </c>
      <c r="H234" s="19">
        <v>0.1081</v>
      </c>
      <c r="I234" s="18">
        <v>5.6619999999999999</v>
      </c>
      <c r="J234" s="20">
        <v>6</v>
      </c>
      <c r="K234" s="19">
        <v>1.5467E-2</v>
      </c>
      <c r="L234" s="21">
        <f t="shared" si="12"/>
        <v>1.8105939144707712</v>
      </c>
      <c r="M234" s="21">
        <f t="shared" si="13"/>
        <v>-0.61200000000000121</v>
      </c>
      <c r="N234" s="22">
        <f t="shared" si="14"/>
        <v>2.8843894883257</v>
      </c>
      <c r="O234" s="23">
        <f t="shared" si="15"/>
        <v>0.65428903572750452</v>
      </c>
    </row>
    <row r="235" spans="1:15" x14ac:dyDescent="0.25">
      <c r="A235" s="14" t="s">
        <v>5972</v>
      </c>
      <c r="B235" s="14" t="s">
        <v>471</v>
      </c>
      <c r="C235" s="15" t="s">
        <v>472</v>
      </c>
      <c r="D235" s="16">
        <v>1.3630000000000001E-3</v>
      </c>
      <c r="E235" s="17">
        <v>14.26</v>
      </c>
      <c r="F235" s="17">
        <v>14.78</v>
      </c>
      <c r="G235" s="18">
        <v>-0.51790000000000003</v>
      </c>
      <c r="H235" s="19">
        <v>9.2259999999999995E-2</v>
      </c>
      <c r="I235" s="18">
        <v>5.6139999999999999</v>
      </c>
      <c r="J235" s="20">
        <v>6</v>
      </c>
      <c r="K235" s="19">
        <v>1.6091999999999999E-2</v>
      </c>
      <c r="L235" s="21">
        <f t="shared" si="12"/>
        <v>1.7933899761007761</v>
      </c>
      <c r="M235" s="21">
        <f t="shared" si="13"/>
        <v>-0.51999999999999946</v>
      </c>
      <c r="N235" s="22">
        <f t="shared" si="14"/>
        <v>2.8655041441653264</v>
      </c>
      <c r="O235" s="23">
        <f t="shared" si="15"/>
        <v>0.69737183317520302</v>
      </c>
    </row>
    <row r="236" spans="1:15" x14ac:dyDescent="0.25">
      <c r="A236" s="14" t="s">
        <v>5973</v>
      </c>
      <c r="B236" s="14" t="s">
        <v>473</v>
      </c>
      <c r="C236" s="15" t="s">
        <v>474</v>
      </c>
      <c r="D236" s="16">
        <v>1.3799999999999999E-3</v>
      </c>
      <c r="E236" s="17">
        <v>12.5</v>
      </c>
      <c r="F236" s="17">
        <v>13.16</v>
      </c>
      <c r="G236" s="18">
        <v>-0.66390000000000005</v>
      </c>
      <c r="H236" s="19">
        <v>0.11849999999999999</v>
      </c>
      <c r="I236" s="18">
        <v>5.601</v>
      </c>
      <c r="J236" s="20">
        <v>6</v>
      </c>
      <c r="K236" s="19">
        <v>1.6178000000000001E-2</v>
      </c>
      <c r="L236" s="21">
        <f t="shared" si="12"/>
        <v>1.7910751689197355</v>
      </c>
      <c r="M236" s="21">
        <f t="shared" si="13"/>
        <v>-0.65999999999999981</v>
      </c>
      <c r="N236" s="22">
        <f t="shared" si="14"/>
        <v>2.8601209135987631</v>
      </c>
      <c r="O236" s="23">
        <f t="shared" si="15"/>
        <v>0.63287829698514009</v>
      </c>
    </row>
    <row r="237" spans="1:15" x14ac:dyDescent="0.25">
      <c r="A237" s="14" t="s">
        <v>5974</v>
      </c>
      <c r="B237" s="14" t="s">
        <v>475</v>
      </c>
      <c r="C237" s="15" t="s">
        <v>476</v>
      </c>
      <c r="D237" s="16">
        <v>1.382E-3</v>
      </c>
      <c r="E237" s="17">
        <v>11.38</v>
      </c>
      <c r="F237" s="17">
        <v>12.38</v>
      </c>
      <c r="G237" s="18">
        <v>-1</v>
      </c>
      <c r="H237" s="19">
        <v>0.17860000000000001</v>
      </c>
      <c r="I237" s="18">
        <v>5.5990000000000002</v>
      </c>
      <c r="J237" s="20">
        <v>6</v>
      </c>
      <c r="K237" s="19">
        <v>1.6178000000000001E-2</v>
      </c>
      <c r="L237" s="21">
        <f t="shared" si="12"/>
        <v>1.7910751689197355</v>
      </c>
      <c r="M237" s="21">
        <f t="shared" si="13"/>
        <v>-1</v>
      </c>
      <c r="N237" s="22">
        <f t="shared" si="14"/>
        <v>2.8594919569618202</v>
      </c>
      <c r="O237" s="23">
        <f t="shared" si="15"/>
        <v>0.5</v>
      </c>
    </row>
    <row r="238" spans="1:15" x14ac:dyDescent="0.25">
      <c r="A238" s="14" t="s">
        <v>5975</v>
      </c>
      <c r="B238" s="14" t="s">
        <v>477</v>
      </c>
      <c r="C238" s="15" t="s">
        <v>478</v>
      </c>
      <c r="D238" s="16">
        <v>1.4159999999999999E-3</v>
      </c>
      <c r="E238" s="17">
        <v>13.01</v>
      </c>
      <c r="F238" s="17">
        <v>13.47</v>
      </c>
      <c r="G238" s="18">
        <v>-0.46229999999999999</v>
      </c>
      <c r="H238" s="19">
        <v>8.2960000000000006E-2</v>
      </c>
      <c r="I238" s="18">
        <v>5.5730000000000004</v>
      </c>
      <c r="J238" s="20">
        <v>6</v>
      </c>
      <c r="K238" s="19">
        <v>1.6434000000000001E-2</v>
      </c>
      <c r="L238" s="21">
        <f t="shared" si="12"/>
        <v>1.7842567173623949</v>
      </c>
      <c r="M238" s="21">
        <f t="shared" si="13"/>
        <v>-0.46000000000000241</v>
      </c>
      <c r="N238" s="22">
        <f t="shared" si="14"/>
        <v>2.8489367466462499</v>
      </c>
      <c r="O238" s="23">
        <f t="shared" si="15"/>
        <v>0.72698625866015409</v>
      </c>
    </row>
    <row r="239" spans="1:15" x14ac:dyDescent="0.25">
      <c r="A239" s="14" t="s">
        <v>5976</v>
      </c>
      <c r="B239" s="14" t="s">
        <v>479</v>
      </c>
      <c r="C239" s="15" t="s">
        <v>480</v>
      </c>
      <c r="D239" s="16">
        <v>1.4159999999999999E-3</v>
      </c>
      <c r="E239" s="17">
        <v>10.96</v>
      </c>
      <c r="F239" s="17">
        <v>10.46</v>
      </c>
      <c r="G239" s="18">
        <v>0.49719999999999998</v>
      </c>
      <c r="H239" s="19">
        <v>8.9209999999999998E-2</v>
      </c>
      <c r="I239" s="18">
        <v>5.5730000000000004</v>
      </c>
      <c r="J239" s="20">
        <v>6</v>
      </c>
      <c r="K239" s="19">
        <v>1.6434000000000001E-2</v>
      </c>
      <c r="L239" s="21">
        <f t="shared" si="12"/>
        <v>1.7842567173623949</v>
      </c>
      <c r="M239" s="21">
        <f t="shared" si="13"/>
        <v>0.49999999999999872</v>
      </c>
      <c r="N239" s="22">
        <f t="shared" si="14"/>
        <v>2.8489367466462499</v>
      </c>
      <c r="O239" s="23">
        <f t="shared" si="15"/>
        <v>1.4142135623730938</v>
      </c>
    </row>
    <row r="240" spans="1:15" x14ac:dyDescent="0.25">
      <c r="A240" s="14" t="s">
        <v>5977</v>
      </c>
      <c r="B240" s="14" t="s">
        <v>483</v>
      </c>
      <c r="C240" s="15" t="s">
        <v>484</v>
      </c>
      <c r="D240" s="16">
        <v>1.439E-3</v>
      </c>
      <c r="E240" s="17">
        <v>9.1940000000000008</v>
      </c>
      <c r="F240" s="17">
        <v>8.6820000000000004</v>
      </c>
      <c r="G240" s="18">
        <v>0.51170000000000004</v>
      </c>
      <c r="H240" s="19">
        <v>9.2109999999999997E-2</v>
      </c>
      <c r="I240" s="18">
        <v>5.5549999999999997</v>
      </c>
      <c r="J240" s="20">
        <v>6</v>
      </c>
      <c r="K240" s="19">
        <v>1.652E-2</v>
      </c>
      <c r="L240" s="21">
        <f t="shared" si="12"/>
        <v>1.7819899570156363</v>
      </c>
      <c r="M240" s="21">
        <f t="shared" si="13"/>
        <v>0.51200000000000001</v>
      </c>
      <c r="N240" s="22">
        <f t="shared" si="14"/>
        <v>2.8419392060633948</v>
      </c>
      <c r="O240" s="23">
        <f t="shared" si="15"/>
        <v>1.4260257173641409</v>
      </c>
    </row>
    <row r="241" spans="1:15" x14ac:dyDescent="0.25">
      <c r="A241" s="14" t="s">
        <v>5978</v>
      </c>
      <c r="B241" s="14" t="s">
        <v>487</v>
      </c>
      <c r="C241" s="15" t="s">
        <v>488</v>
      </c>
      <c r="D241" s="16">
        <v>1.4469999999999999E-3</v>
      </c>
      <c r="E241" s="17">
        <v>8.5609999999999999</v>
      </c>
      <c r="F241" s="17">
        <v>9.1869999999999994</v>
      </c>
      <c r="G241" s="18">
        <v>-0.62629999999999997</v>
      </c>
      <c r="H241" s="19">
        <v>0.1129</v>
      </c>
      <c r="I241" s="18">
        <v>5.5490000000000004</v>
      </c>
      <c r="J241" s="20">
        <v>6</v>
      </c>
      <c r="K241" s="19">
        <v>1.652E-2</v>
      </c>
      <c r="L241" s="21">
        <f t="shared" si="12"/>
        <v>1.7819899570156363</v>
      </c>
      <c r="M241" s="21">
        <f t="shared" si="13"/>
        <v>-0.62599999999999945</v>
      </c>
      <c r="N241" s="22">
        <f t="shared" si="14"/>
        <v>2.8395314688809625</v>
      </c>
      <c r="O241" s="23">
        <f t="shared" si="15"/>
        <v>0.64797048271666702</v>
      </c>
    </row>
    <row r="242" spans="1:15" x14ac:dyDescent="0.25">
      <c r="A242" s="14" t="s">
        <v>5979</v>
      </c>
      <c r="B242" s="14" t="s">
        <v>485</v>
      </c>
      <c r="C242" s="15" t="s">
        <v>486</v>
      </c>
      <c r="D242" s="16">
        <v>1.4419999999999999E-3</v>
      </c>
      <c r="E242" s="17">
        <v>12.17</v>
      </c>
      <c r="F242" s="17">
        <v>12.44</v>
      </c>
      <c r="G242" s="18">
        <v>-0.2712</v>
      </c>
      <c r="H242" s="19">
        <v>4.8840000000000001E-2</v>
      </c>
      <c r="I242" s="18">
        <v>5.5529999999999999</v>
      </c>
      <c r="J242" s="20">
        <v>6</v>
      </c>
      <c r="K242" s="19">
        <v>1.652E-2</v>
      </c>
      <c r="L242" s="21">
        <f t="shared" si="12"/>
        <v>1.7819899570156363</v>
      </c>
      <c r="M242" s="21">
        <f t="shared" si="13"/>
        <v>-0.26999999999999891</v>
      </c>
      <c r="N242" s="22">
        <f t="shared" si="14"/>
        <v>2.8410347396165894</v>
      </c>
      <c r="O242" s="23">
        <f t="shared" si="15"/>
        <v>0.82931954581444234</v>
      </c>
    </row>
    <row r="243" spans="1:15" x14ac:dyDescent="0.25">
      <c r="A243" s="14" t="s">
        <v>5980</v>
      </c>
      <c r="B243" s="14" t="s">
        <v>481</v>
      </c>
      <c r="C243" s="15" t="s">
        <v>482</v>
      </c>
      <c r="D243" s="16">
        <v>1.439E-3</v>
      </c>
      <c r="E243" s="17">
        <v>11.97</v>
      </c>
      <c r="F243" s="17">
        <v>11.29</v>
      </c>
      <c r="G243" s="18">
        <v>0.67300000000000004</v>
      </c>
      <c r="H243" s="19">
        <v>0.1211</v>
      </c>
      <c r="I243" s="18">
        <v>5.5549999999999997</v>
      </c>
      <c r="J243" s="20">
        <v>6</v>
      </c>
      <c r="K243" s="19">
        <v>1.652E-2</v>
      </c>
      <c r="L243" s="21">
        <f t="shared" si="12"/>
        <v>1.7819899570156363</v>
      </c>
      <c r="M243" s="21">
        <f t="shared" si="13"/>
        <v>0.68000000000000071</v>
      </c>
      <c r="N243" s="22">
        <f t="shared" si="14"/>
        <v>2.8419392060633948</v>
      </c>
      <c r="O243" s="23">
        <f t="shared" si="15"/>
        <v>1.6021397551792449</v>
      </c>
    </row>
    <row r="244" spans="1:15" x14ac:dyDescent="0.25">
      <c r="A244" s="14" t="s">
        <v>5981</v>
      </c>
      <c r="B244" s="14" t="s">
        <v>489</v>
      </c>
      <c r="C244" s="15" t="s">
        <v>490</v>
      </c>
      <c r="D244" s="16">
        <v>1.4610000000000001E-3</v>
      </c>
      <c r="E244" s="17">
        <v>8.7509999999999994</v>
      </c>
      <c r="F244" s="17">
        <v>9.1219999999999999</v>
      </c>
      <c r="G244" s="18">
        <v>-0.3705</v>
      </c>
      <c r="H244" s="19">
        <v>6.6890000000000005E-2</v>
      </c>
      <c r="I244" s="18">
        <v>5.5389999999999997</v>
      </c>
      <c r="J244" s="20">
        <v>6</v>
      </c>
      <c r="K244" s="19">
        <v>1.6542000000000001E-2</v>
      </c>
      <c r="L244" s="21">
        <f t="shared" si="12"/>
        <v>1.7814119835105824</v>
      </c>
      <c r="M244" s="21">
        <f t="shared" si="13"/>
        <v>-0.37100000000000044</v>
      </c>
      <c r="N244" s="22">
        <f t="shared" si="14"/>
        <v>2.8353497840657029</v>
      </c>
      <c r="O244" s="23">
        <f t="shared" si="15"/>
        <v>0.77324633745531679</v>
      </c>
    </row>
    <row r="245" spans="1:15" x14ac:dyDescent="0.25">
      <c r="A245" s="14" t="s">
        <v>5982</v>
      </c>
      <c r="B245" s="14" t="s">
        <v>491</v>
      </c>
      <c r="C245" s="15" t="s">
        <v>492</v>
      </c>
      <c r="D245" s="16">
        <v>1.4610000000000001E-3</v>
      </c>
      <c r="E245" s="17">
        <v>11.67</v>
      </c>
      <c r="F245" s="17">
        <v>11.24</v>
      </c>
      <c r="G245" s="18">
        <v>0.42530000000000001</v>
      </c>
      <c r="H245" s="19">
        <v>7.6780000000000001E-2</v>
      </c>
      <c r="I245" s="18">
        <v>5.5389999999999997</v>
      </c>
      <c r="J245" s="20">
        <v>6</v>
      </c>
      <c r="K245" s="19">
        <v>1.6542000000000001E-2</v>
      </c>
      <c r="L245" s="21">
        <f t="shared" si="12"/>
        <v>1.7814119835105824</v>
      </c>
      <c r="M245" s="21">
        <f t="shared" si="13"/>
        <v>0.42999999999999977</v>
      </c>
      <c r="N245" s="22">
        <f t="shared" si="14"/>
        <v>2.8353497840657029</v>
      </c>
      <c r="O245" s="23">
        <f t="shared" si="15"/>
        <v>1.34723357686569</v>
      </c>
    </row>
    <row r="246" spans="1:15" x14ac:dyDescent="0.25">
      <c r="A246" s="14" t="s">
        <v>5983</v>
      </c>
      <c r="B246" s="14" t="s">
        <v>493</v>
      </c>
      <c r="C246" s="15" t="s">
        <v>494</v>
      </c>
      <c r="D246" s="16">
        <v>1.4859999999999999E-3</v>
      </c>
      <c r="E246" s="17">
        <v>9.7620000000000005</v>
      </c>
      <c r="F246" s="17">
        <v>9.3729999999999993</v>
      </c>
      <c r="G246" s="18">
        <v>0.3896</v>
      </c>
      <c r="H246" s="19">
        <v>7.0580000000000004E-2</v>
      </c>
      <c r="I246" s="18">
        <v>5.5209999999999999</v>
      </c>
      <c r="J246" s="20">
        <v>6</v>
      </c>
      <c r="K246" s="19">
        <v>1.6756E-2</v>
      </c>
      <c r="L246" s="21">
        <f t="shared" si="12"/>
        <v>1.775829648310818</v>
      </c>
      <c r="M246" s="21">
        <f t="shared" si="13"/>
        <v>0.38900000000000184</v>
      </c>
      <c r="N246" s="22">
        <f t="shared" si="14"/>
        <v>2.8279811905754433</v>
      </c>
      <c r="O246" s="23">
        <f t="shared" si="15"/>
        <v>1.3094854230835666</v>
      </c>
    </row>
    <row r="247" spans="1:15" x14ac:dyDescent="0.25">
      <c r="A247" s="14" t="s">
        <v>5984</v>
      </c>
      <c r="B247" s="14" t="s">
        <v>495</v>
      </c>
      <c r="C247" s="15" t="s">
        <v>496</v>
      </c>
      <c r="D247" s="16">
        <v>1.5E-3</v>
      </c>
      <c r="E247" s="17">
        <v>9.3680000000000003</v>
      </c>
      <c r="F247" s="17">
        <v>8.7059999999999995</v>
      </c>
      <c r="G247" s="18">
        <v>0.66159999999999997</v>
      </c>
      <c r="H247" s="19">
        <v>0.1201</v>
      </c>
      <c r="I247" s="18">
        <v>5.5110000000000001</v>
      </c>
      <c r="J247" s="20">
        <v>6</v>
      </c>
      <c r="K247" s="19">
        <v>1.6843E-2</v>
      </c>
      <c r="L247" s="21">
        <f t="shared" si="12"/>
        <v>1.7735805513513971</v>
      </c>
      <c r="M247" s="21">
        <f t="shared" si="13"/>
        <v>0.6620000000000007</v>
      </c>
      <c r="N247" s="22">
        <f t="shared" si="14"/>
        <v>2.8239087409443182</v>
      </c>
      <c r="O247" s="23">
        <f t="shared" si="15"/>
        <v>1.5822746023709005</v>
      </c>
    </row>
    <row r="248" spans="1:15" x14ac:dyDescent="0.25">
      <c r="A248" s="14" t="s">
        <v>5985</v>
      </c>
      <c r="B248" s="14" t="s">
        <v>497</v>
      </c>
      <c r="C248" s="15" t="s">
        <v>498</v>
      </c>
      <c r="D248" s="16">
        <v>1.5070000000000001E-3</v>
      </c>
      <c r="E248" s="17">
        <v>11.74</v>
      </c>
      <c r="F248" s="17">
        <v>11.33</v>
      </c>
      <c r="G248" s="18">
        <v>0.40799999999999997</v>
      </c>
      <c r="H248" s="19">
        <v>7.4099999999999999E-2</v>
      </c>
      <c r="I248" s="18">
        <v>5.5060000000000002</v>
      </c>
      <c r="J248" s="20">
        <v>6</v>
      </c>
      <c r="K248" s="19">
        <v>1.6853E-2</v>
      </c>
      <c r="L248" s="21">
        <f t="shared" si="12"/>
        <v>1.7733227792154445</v>
      </c>
      <c r="M248" s="21">
        <f t="shared" si="13"/>
        <v>0.40999999999999909</v>
      </c>
      <c r="N248" s="22">
        <f t="shared" si="14"/>
        <v>2.821886747685368</v>
      </c>
      <c r="O248" s="23">
        <f t="shared" si="15"/>
        <v>1.3286858140965108</v>
      </c>
    </row>
    <row r="249" spans="1:15" x14ac:dyDescent="0.25">
      <c r="A249" s="14" t="s">
        <v>5986</v>
      </c>
      <c r="B249" s="14" t="s">
        <v>511</v>
      </c>
      <c r="C249" s="15" t="s">
        <v>512</v>
      </c>
      <c r="D249" s="16">
        <v>1.5920000000000001E-3</v>
      </c>
      <c r="E249" s="17">
        <v>8.6</v>
      </c>
      <c r="F249" s="17">
        <v>8.0540000000000003</v>
      </c>
      <c r="G249" s="18">
        <v>0.54530000000000001</v>
      </c>
      <c r="H249" s="19">
        <v>0.10009999999999999</v>
      </c>
      <c r="I249" s="18">
        <v>5.4470000000000001</v>
      </c>
      <c r="J249" s="20">
        <v>6</v>
      </c>
      <c r="K249" s="19">
        <v>1.7226999999999999E-2</v>
      </c>
      <c r="L249" s="21">
        <f t="shared" si="12"/>
        <v>1.7637903462829403</v>
      </c>
      <c r="M249" s="21">
        <f t="shared" si="13"/>
        <v>0.54600000000000037</v>
      </c>
      <c r="N249" s="22">
        <f t="shared" si="14"/>
        <v>2.7980569365983494</v>
      </c>
      <c r="O249" s="23">
        <f t="shared" si="15"/>
        <v>1.4600320106545219</v>
      </c>
    </row>
    <row r="250" spans="1:15" x14ac:dyDescent="0.25">
      <c r="A250" s="14" t="s">
        <v>5987</v>
      </c>
      <c r="B250" s="14" t="s">
        <v>505</v>
      </c>
      <c r="C250" s="15" t="s">
        <v>506</v>
      </c>
      <c r="D250" s="16">
        <v>1.5759999999999999E-3</v>
      </c>
      <c r="E250" s="17">
        <v>10.42</v>
      </c>
      <c r="F250" s="17">
        <v>9.5350000000000001</v>
      </c>
      <c r="G250" s="18">
        <v>0.88849999999999996</v>
      </c>
      <c r="H250" s="19">
        <v>0.1628</v>
      </c>
      <c r="I250" s="18">
        <v>5.4580000000000002</v>
      </c>
      <c r="J250" s="20">
        <v>6</v>
      </c>
      <c r="K250" s="19">
        <v>1.7226999999999999E-2</v>
      </c>
      <c r="L250" s="21">
        <f t="shared" si="12"/>
        <v>1.7637903462829403</v>
      </c>
      <c r="M250" s="21">
        <f t="shared" si="13"/>
        <v>0.88500000000000034</v>
      </c>
      <c r="N250" s="22">
        <f t="shared" si="14"/>
        <v>2.8024437868464633</v>
      </c>
      <c r="O250" s="23">
        <f t="shared" si="15"/>
        <v>1.8467646214587901</v>
      </c>
    </row>
    <row r="251" spans="1:15" x14ac:dyDescent="0.25">
      <c r="A251" s="14" t="s">
        <v>5988</v>
      </c>
      <c r="B251" s="14" t="s">
        <v>515</v>
      </c>
      <c r="C251" s="15" t="s">
        <v>516</v>
      </c>
      <c r="D251" s="16">
        <v>1.603E-3</v>
      </c>
      <c r="E251" s="17">
        <v>9.7870000000000008</v>
      </c>
      <c r="F251" s="17">
        <v>8.6050000000000004</v>
      </c>
      <c r="G251" s="18">
        <v>1.1819999999999999</v>
      </c>
      <c r="H251" s="19">
        <v>0.21729999999999999</v>
      </c>
      <c r="I251" s="18">
        <v>5.44</v>
      </c>
      <c r="J251" s="20">
        <v>6</v>
      </c>
      <c r="K251" s="19">
        <v>1.7226999999999999E-2</v>
      </c>
      <c r="L251" s="21">
        <f t="shared" si="12"/>
        <v>1.7637903462829403</v>
      </c>
      <c r="M251" s="21">
        <f t="shared" si="13"/>
        <v>1.1820000000000002</v>
      </c>
      <c r="N251" s="22">
        <f t="shared" si="14"/>
        <v>2.7950664776458547</v>
      </c>
      <c r="O251" s="23">
        <f t="shared" si="15"/>
        <v>2.2689109698719085</v>
      </c>
    </row>
    <row r="252" spans="1:15" x14ac:dyDescent="0.25">
      <c r="A252" s="14" t="s">
        <v>5989</v>
      </c>
      <c r="B252" s="14" t="s">
        <v>517</v>
      </c>
      <c r="C252" s="15" t="s">
        <v>518</v>
      </c>
      <c r="D252" s="16">
        <v>1.603E-3</v>
      </c>
      <c r="E252" s="17">
        <v>9.7870000000000008</v>
      </c>
      <c r="F252" s="17">
        <v>8.6050000000000004</v>
      </c>
      <c r="G252" s="18">
        <v>1.1819999999999999</v>
      </c>
      <c r="H252" s="19">
        <v>0.21729999999999999</v>
      </c>
      <c r="I252" s="18">
        <v>5.44</v>
      </c>
      <c r="J252" s="20">
        <v>6</v>
      </c>
      <c r="K252" s="19">
        <v>1.7226999999999999E-2</v>
      </c>
      <c r="L252" s="21">
        <f t="shared" si="12"/>
        <v>1.7637903462829403</v>
      </c>
      <c r="M252" s="21">
        <f t="shared" si="13"/>
        <v>1.1820000000000002</v>
      </c>
      <c r="N252" s="22">
        <f t="shared" si="14"/>
        <v>2.7950664776458547</v>
      </c>
      <c r="O252" s="23">
        <f t="shared" si="15"/>
        <v>2.2689109698719085</v>
      </c>
    </row>
    <row r="253" spans="1:15" x14ac:dyDescent="0.25">
      <c r="A253" s="14" t="s">
        <v>5990</v>
      </c>
      <c r="B253" s="14" t="s">
        <v>509</v>
      </c>
      <c r="C253" s="15" t="s">
        <v>510</v>
      </c>
      <c r="D253" s="16">
        <v>1.588E-3</v>
      </c>
      <c r="E253" s="17">
        <v>12.67</v>
      </c>
      <c r="F253" s="17">
        <v>12.23</v>
      </c>
      <c r="G253" s="18">
        <v>0.44479999999999997</v>
      </c>
      <c r="H253" s="19">
        <v>8.1619999999999998E-2</v>
      </c>
      <c r="I253" s="18">
        <v>5.45</v>
      </c>
      <c r="J253" s="20">
        <v>6</v>
      </c>
      <c r="K253" s="19">
        <v>1.7226999999999999E-2</v>
      </c>
      <c r="L253" s="21">
        <f t="shared" si="12"/>
        <v>1.7637903462829403</v>
      </c>
      <c r="M253" s="21">
        <f t="shared" si="13"/>
        <v>0.4400000000000015</v>
      </c>
      <c r="N253" s="22">
        <f t="shared" si="14"/>
        <v>2.7991495019089223</v>
      </c>
      <c r="O253" s="23">
        <f t="shared" si="15"/>
        <v>1.3566043274476733</v>
      </c>
    </row>
    <row r="254" spans="1:15" x14ac:dyDescent="0.25">
      <c r="A254" s="14" t="s">
        <v>5991</v>
      </c>
      <c r="B254" s="14" t="s">
        <v>513</v>
      </c>
      <c r="C254" s="15" t="s">
        <v>514</v>
      </c>
      <c r="D254" s="16">
        <v>1.593E-3</v>
      </c>
      <c r="E254" s="17">
        <v>10.18</v>
      </c>
      <c r="F254" s="17">
        <v>9.8840000000000003</v>
      </c>
      <c r="G254" s="18">
        <v>0.29709999999999998</v>
      </c>
      <c r="H254" s="19">
        <v>5.4559999999999997E-2</v>
      </c>
      <c r="I254" s="18">
        <v>5.4459999999999997</v>
      </c>
      <c r="J254" s="20">
        <v>6</v>
      </c>
      <c r="K254" s="19">
        <v>1.7226999999999999E-2</v>
      </c>
      <c r="L254" s="21">
        <f t="shared" si="12"/>
        <v>1.7637903462829403</v>
      </c>
      <c r="M254" s="21">
        <f t="shared" si="13"/>
        <v>0.29599999999999982</v>
      </c>
      <c r="N254" s="22">
        <f t="shared" si="14"/>
        <v>2.7977842241988684</v>
      </c>
      <c r="O254" s="23">
        <f t="shared" si="15"/>
        <v>1.2277356839150602</v>
      </c>
    </row>
    <row r="255" spans="1:15" x14ac:dyDescent="0.25">
      <c r="A255" s="14" t="s">
        <v>5992</v>
      </c>
      <c r="B255" s="14" t="s">
        <v>501</v>
      </c>
      <c r="C255" s="15" t="s">
        <v>502</v>
      </c>
      <c r="D255" s="16">
        <v>1.555E-3</v>
      </c>
      <c r="E255" s="17">
        <v>9.3170000000000002</v>
      </c>
      <c r="F255" s="17">
        <v>9.6820000000000004</v>
      </c>
      <c r="G255" s="18">
        <v>-0.36470000000000002</v>
      </c>
      <c r="H255" s="19">
        <v>6.6650000000000001E-2</v>
      </c>
      <c r="I255" s="18">
        <v>5.4720000000000004</v>
      </c>
      <c r="J255" s="20">
        <v>6</v>
      </c>
      <c r="K255" s="19">
        <v>1.7226999999999999E-2</v>
      </c>
      <c r="L255" s="21">
        <f t="shared" si="12"/>
        <v>1.7637903462829403</v>
      </c>
      <c r="M255" s="21">
        <f t="shared" si="13"/>
        <v>-0.36500000000000066</v>
      </c>
      <c r="N255" s="22">
        <f t="shared" si="14"/>
        <v>2.8082696066371433</v>
      </c>
      <c r="O255" s="23">
        <f t="shared" si="15"/>
        <v>0.77646887500103934</v>
      </c>
    </row>
    <row r="256" spans="1:15" x14ac:dyDescent="0.25">
      <c r="A256" s="14" t="s">
        <v>5993</v>
      </c>
      <c r="B256" s="14" t="s">
        <v>499</v>
      </c>
      <c r="C256" s="15" t="s">
        <v>500</v>
      </c>
      <c r="D256" s="16">
        <v>1.5479999999999999E-3</v>
      </c>
      <c r="E256" s="17">
        <v>11.42</v>
      </c>
      <c r="F256" s="17">
        <v>10.88</v>
      </c>
      <c r="G256" s="18">
        <v>0.54069999999999996</v>
      </c>
      <c r="H256" s="19">
        <v>9.8720000000000002E-2</v>
      </c>
      <c r="I256" s="18">
        <v>5.4770000000000003</v>
      </c>
      <c r="J256" s="20">
        <v>6</v>
      </c>
      <c r="K256" s="19">
        <v>1.7226999999999999E-2</v>
      </c>
      <c r="L256" s="21">
        <f t="shared" si="12"/>
        <v>1.7637903462829403</v>
      </c>
      <c r="M256" s="21">
        <f t="shared" si="13"/>
        <v>0.53999999999999904</v>
      </c>
      <c r="N256" s="22">
        <f t="shared" si="14"/>
        <v>2.8102290436531261</v>
      </c>
      <c r="O256" s="23">
        <f t="shared" si="15"/>
        <v>1.4539725173203095</v>
      </c>
    </row>
    <row r="257" spans="1:15" x14ac:dyDescent="0.25">
      <c r="A257" s="14" t="s">
        <v>5994</v>
      </c>
      <c r="B257" s="14" t="s">
        <v>503</v>
      </c>
      <c r="C257" s="15" t="s">
        <v>504</v>
      </c>
      <c r="D257" s="16">
        <v>1.5640000000000001E-3</v>
      </c>
      <c r="E257" s="17">
        <v>8.7050000000000001</v>
      </c>
      <c r="F257" s="17">
        <v>8.2769999999999992</v>
      </c>
      <c r="G257" s="18">
        <v>0.42809999999999998</v>
      </c>
      <c r="H257" s="19">
        <v>7.8329999999999997E-2</v>
      </c>
      <c r="I257" s="18">
        <v>5.4660000000000002</v>
      </c>
      <c r="J257" s="20">
        <v>6</v>
      </c>
      <c r="K257" s="19">
        <v>1.7226999999999999E-2</v>
      </c>
      <c r="L257" s="21">
        <f t="shared" si="12"/>
        <v>1.7637903462829403</v>
      </c>
      <c r="M257" s="21">
        <f t="shared" si="13"/>
        <v>0.42800000000000038</v>
      </c>
      <c r="N257" s="22">
        <f t="shared" si="14"/>
        <v>2.8057632512761708</v>
      </c>
      <c r="O257" s="23">
        <f t="shared" si="15"/>
        <v>1.3453672085218265</v>
      </c>
    </row>
    <row r="258" spans="1:15" x14ac:dyDescent="0.25">
      <c r="A258" s="14" t="s">
        <v>5995</v>
      </c>
      <c r="B258" s="14" t="s">
        <v>507</v>
      </c>
      <c r="C258" s="15" t="s">
        <v>508</v>
      </c>
      <c r="D258" s="16">
        <v>1.588E-3</v>
      </c>
      <c r="E258" s="17">
        <v>12.67</v>
      </c>
      <c r="F258" s="17">
        <v>12.23</v>
      </c>
      <c r="G258" s="18">
        <v>0.44479999999999997</v>
      </c>
      <c r="H258" s="19">
        <v>8.1619999999999998E-2</v>
      </c>
      <c r="I258" s="18">
        <v>5.45</v>
      </c>
      <c r="J258" s="20">
        <v>6</v>
      </c>
      <c r="K258" s="19">
        <v>1.7226999999999999E-2</v>
      </c>
      <c r="L258" s="21">
        <f t="shared" ref="L258:L321" si="16">-LOG(K258,10)</f>
        <v>1.7637903462829403</v>
      </c>
      <c r="M258" s="21">
        <f t="shared" ref="M258:M321" si="17">LOG(O258,2)</f>
        <v>0.4400000000000015</v>
      </c>
      <c r="N258" s="22">
        <f t="shared" ref="N258:N321" si="18">-LOG(D258,10)</f>
        <v>2.7991495019089223</v>
      </c>
      <c r="O258" s="23">
        <f t="shared" ref="O258:O321" si="19">((2^E258)/(2^F258))</f>
        <v>1.3566043274476733</v>
      </c>
    </row>
    <row r="259" spans="1:15" x14ac:dyDescent="0.25">
      <c r="A259" s="14" t="s">
        <v>5996</v>
      </c>
      <c r="B259" s="14" t="s">
        <v>519</v>
      </c>
      <c r="C259" s="15" t="s">
        <v>520</v>
      </c>
      <c r="D259" s="16">
        <v>1.6280000000000001E-3</v>
      </c>
      <c r="E259" s="17">
        <v>9.7409999999999997</v>
      </c>
      <c r="F259" s="17">
        <v>9.0939999999999994</v>
      </c>
      <c r="G259" s="18">
        <v>0.64759999999999995</v>
      </c>
      <c r="H259" s="19">
        <v>0.11940000000000001</v>
      </c>
      <c r="I259" s="18">
        <v>5.423</v>
      </c>
      <c r="J259" s="20">
        <v>6</v>
      </c>
      <c r="K259" s="19">
        <v>1.7433000000000001E-2</v>
      </c>
      <c r="L259" s="21">
        <f t="shared" si="16"/>
        <v>1.7586278698415643</v>
      </c>
      <c r="M259" s="21">
        <f t="shared" si="17"/>
        <v>0.6470000000000008</v>
      </c>
      <c r="N259" s="22">
        <f t="shared" si="18"/>
        <v>2.7883455994468171</v>
      </c>
      <c r="O259" s="23">
        <f t="shared" si="19"/>
        <v>1.5659085925130865</v>
      </c>
    </row>
    <row r="260" spans="1:15" x14ac:dyDescent="0.25">
      <c r="A260" s="14" t="s">
        <v>5997</v>
      </c>
      <c r="B260" s="14" t="s">
        <v>521</v>
      </c>
      <c r="C260" s="15" t="s">
        <v>522</v>
      </c>
      <c r="D260" s="16">
        <v>1.635E-3</v>
      </c>
      <c r="E260" s="17">
        <v>14.63</v>
      </c>
      <c r="F260" s="17">
        <v>15.16</v>
      </c>
      <c r="G260" s="18">
        <v>-0.5252</v>
      </c>
      <c r="H260" s="19">
        <v>9.6920000000000006E-2</v>
      </c>
      <c r="I260" s="18">
        <v>5.4189999999999996</v>
      </c>
      <c r="J260" s="20">
        <v>6</v>
      </c>
      <c r="K260" s="19">
        <v>1.7433000000000001E-2</v>
      </c>
      <c r="L260" s="21">
        <f t="shared" si="16"/>
        <v>1.7586278698415643</v>
      </c>
      <c r="M260" s="21">
        <f t="shared" si="17"/>
        <v>-0.53000000000000136</v>
      </c>
      <c r="N260" s="22">
        <f t="shared" si="18"/>
        <v>2.7864822430036948</v>
      </c>
      <c r="O260" s="23">
        <f t="shared" si="19"/>
        <v>0.69255473405546175</v>
      </c>
    </row>
    <row r="261" spans="1:15" x14ac:dyDescent="0.25">
      <c r="A261" s="14" t="s">
        <v>5998</v>
      </c>
      <c r="B261" s="14" t="s">
        <v>529</v>
      </c>
      <c r="C261" s="15" t="s">
        <v>530</v>
      </c>
      <c r="D261" s="16">
        <v>1.6689999999999999E-3</v>
      </c>
      <c r="E261" s="17">
        <v>11.22</v>
      </c>
      <c r="F261" s="17">
        <v>11.56</v>
      </c>
      <c r="G261" s="18">
        <v>-0.34439999999999998</v>
      </c>
      <c r="H261" s="19">
        <v>6.3820000000000002E-2</v>
      </c>
      <c r="I261" s="18">
        <v>5.3970000000000002</v>
      </c>
      <c r="J261" s="20">
        <v>6</v>
      </c>
      <c r="K261" s="19">
        <v>1.7527000000000001E-2</v>
      </c>
      <c r="L261" s="21">
        <f t="shared" si="16"/>
        <v>1.7562924133382094</v>
      </c>
      <c r="M261" s="21">
        <f t="shared" si="17"/>
        <v>-0.34000000000000025</v>
      </c>
      <c r="N261" s="22">
        <f t="shared" si="18"/>
        <v>2.7775436633207531</v>
      </c>
      <c r="O261" s="23">
        <f t="shared" si="19"/>
        <v>0.790041311863377</v>
      </c>
    </row>
    <row r="262" spans="1:15" x14ac:dyDescent="0.25">
      <c r="A262" s="14" t="s">
        <v>5999</v>
      </c>
      <c r="B262" s="14" t="s">
        <v>527</v>
      </c>
      <c r="C262" s="15" t="s">
        <v>528</v>
      </c>
      <c r="D262" s="16">
        <v>1.665E-3</v>
      </c>
      <c r="E262" s="17">
        <v>8.4190000000000005</v>
      </c>
      <c r="F262" s="17">
        <v>8.8469999999999995</v>
      </c>
      <c r="G262" s="18">
        <v>-0.4279</v>
      </c>
      <c r="H262" s="19">
        <v>7.9250000000000001E-2</v>
      </c>
      <c r="I262" s="18">
        <v>5.399</v>
      </c>
      <c r="J262" s="20">
        <v>6</v>
      </c>
      <c r="K262" s="19">
        <v>1.7527000000000001E-2</v>
      </c>
      <c r="L262" s="21">
        <f t="shared" si="16"/>
        <v>1.7562924133382094</v>
      </c>
      <c r="M262" s="21">
        <f t="shared" si="17"/>
        <v>-0.42799999999999916</v>
      </c>
      <c r="N262" s="22">
        <f t="shared" si="18"/>
        <v>2.7785857621576611</v>
      </c>
      <c r="O262" s="23">
        <f t="shared" si="19"/>
        <v>0.74329149221550794</v>
      </c>
    </row>
    <row r="263" spans="1:15" x14ac:dyDescent="0.25">
      <c r="A263" s="14" t="s">
        <v>6000</v>
      </c>
      <c r="B263" s="14" t="s">
        <v>523</v>
      </c>
      <c r="C263" s="15" t="s">
        <v>524</v>
      </c>
      <c r="D263" s="16">
        <v>1.6509999999999999E-3</v>
      </c>
      <c r="E263" s="17">
        <v>9.2829999999999995</v>
      </c>
      <c r="F263" s="17">
        <v>8.5220000000000002</v>
      </c>
      <c r="G263" s="18">
        <v>0.7611</v>
      </c>
      <c r="H263" s="19">
        <v>0.14069999999999999</v>
      </c>
      <c r="I263" s="18">
        <v>5.4089999999999998</v>
      </c>
      <c r="J263" s="20">
        <v>6</v>
      </c>
      <c r="K263" s="19">
        <v>1.7527000000000001E-2</v>
      </c>
      <c r="L263" s="21">
        <f t="shared" si="16"/>
        <v>1.7562924133382094</v>
      </c>
      <c r="M263" s="21">
        <f t="shared" si="17"/>
        <v>0.76099999999999901</v>
      </c>
      <c r="N263" s="22">
        <f t="shared" si="18"/>
        <v>2.7822529267372063</v>
      </c>
      <c r="O263" s="23">
        <f t="shared" si="19"/>
        <v>1.6946648698922353</v>
      </c>
    </row>
    <row r="264" spans="1:15" x14ac:dyDescent="0.25">
      <c r="A264" s="14" t="s">
        <v>6001</v>
      </c>
      <c r="B264" s="14" t="s">
        <v>525</v>
      </c>
      <c r="C264" s="15" t="s">
        <v>526</v>
      </c>
      <c r="D264" s="16">
        <v>1.66E-3</v>
      </c>
      <c r="E264" s="17">
        <v>8.7959999999999994</v>
      </c>
      <c r="F264" s="17">
        <v>9.1980000000000004</v>
      </c>
      <c r="G264" s="18">
        <v>-0.4022</v>
      </c>
      <c r="H264" s="19">
        <v>7.4440000000000006E-2</v>
      </c>
      <c r="I264" s="18">
        <v>5.4020000000000001</v>
      </c>
      <c r="J264" s="20">
        <v>6</v>
      </c>
      <c r="K264" s="19">
        <v>1.7527000000000001E-2</v>
      </c>
      <c r="L264" s="21">
        <f t="shared" si="16"/>
        <v>1.7562924133382094</v>
      </c>
      <c r="M264" s="21">
        <f t="shared" si="17"/>
        <v>-0.40200000000000108</v>
      </c>
      <c r="N264" s="22">
        <f t="shared" si="18"/>
        <v>2.7798919119599446</v>
      </c>
      <c r="O264" s="23">
        <f t="shared" si="19"/>
        <v>0.75680839648478904</v>
      </c>
    </row>
    <row r="265" spans="1:15" x14ac:dyDescent="0.25">
      <c r="A265" s="14" t="s">
        <v>6002</v>
      </c>
      <c r="B265" s="14" t="s">
        <v>531</v>
      </c>
      <c r="C265" s="15" t="s">
        <v>532</v>
      </c>
      <c r="D265" s="16">
        <v>1.7160000000000001E-3</v>
      </c>
      <c r="E265" s="17">
        <v>11.16</v>
      </c>
      <c r="F265" s="17">
        <v>10.53</v>
      </c>
      <c r="G265" s="18">
        <v>0.63249999999999995</v>
      </c>
      <c r="H265" s="19">
        <v>0.1178</v>
      </c>
      <c r="I265" s="18">
        <v>5.367</v>
      </c>
      <c r="J265" s="20">
        <v>6</v>
      </c>
      <c r="K265" s="19">
        <v>1.7954000000000001E-2</v>
      </c>
      <c r="L265" s="21">
        <f t="shared" si="16"/>
        <v>1.7458387791525734</v>
      </c>
      <c r="M265" s="21">
        <f t="shared" si="17"/>
        <v>0.63000000000000123</v>
      </c>
      <c r="N265" s="22">
        <f t="shared" si="18"/>
        <v>2.765482716487313</v>
      </c>
      <c r="O265" s="23">
        <f t="shared" si="19"/>
        <v>1.5475649935423912</v>
      </c>
    </row>
    <row r="266" spans="1:15" x14ac:dyDescent="0.25">
      <c r="A266" s="14" t="s">
        <v>6003</v>
      </c>
      <c r="B266" s="14" t="s">
        <v>533</v>
      </c>
      <c r="C266" s="15" t="s">
        <v>534</v>
      </c>
      <c r="D266" s="16">
        <v>1.7570000000000001E-3</v>
      </c>
      <c r="E266" s="17">
        <v>10.81</v>
      </c>
      <c r="F266" s="17">
        <v>10.42</v>
      </c>
      <c r="G266" s="18">
        <v>0.39040000000000002</v>
      </c>
      <c r="H266" s="19">
        <v>7.3080000000000006E-2</v>
      </c>
      <c r="I266" s="18">
        <v>5.3419999999999996</v>
      </c>
      <c r="J266" s="20">
        <v>6</v>
      </c>
      <c r="K266" s="19">
        <v>1.8318000000000001E-2</v>
      </c>
      <c r="L266" s="21">
        <f t="shared" si="16"/>
        <v>1.7371219453176945</v>
      </c>
      <c r="M266" s="21">
        <f t="shared" si="17"/>
        <v>0.39000000000000101</v>
      </c>
      <c r="N266" s="22">
        <f t="shared" si="18"/>
        <v>2.7552282385047047</v>
      </c>
      <c r="O266" s="23">
        <f t="shared" si="19"/>
        <v>1.3103934038583642</v>
      </c>
    </row>
    <row r="267" spans="1:15" x14ac:dyDescent="0.25">
      <c r="A267" s="14" t="s">
        <v>6004</v>
      </c>
      <c r="B267" s="14" t="s">
        <v>535</v>
      </c>
      <c r="C267" s="15" t="s">
        <v>536</v>
      </c>
      <c r="D267" s="16">
        <v>1.797E-3</v>
      </c>
      <c r="E267" s="17">
        <v>11.58</v>
      </c>
      <c r="F267" s="17">
        <v>12.24</v>
      </c>
      <c r="G267" s="18">
        <v>-0.65900000000000003</v>
      </c>
      <c r="H267" s="19">
        <v>0.1239</v>
      </c>
      <c r="I267" s="18">
        <v>5.319</v>
      </c>
      <c r="J267" s="20">
        <v>6</v>
      </c>
      <c r="K267" s="19">
        <v>1.8658999999999999E-2</v>
      </c>
      <c r="L267" s="21">
        <f t="shared" si="16"/>
        <v>1.7291116353011675</v>
      </c>
      <c r="M267" s="21">
        <f t="shared" si="17"/>
        <v>-0.65999999999999981</v>
      </c>
      <c r="N267" s="22">
        <f t="shared" si="18"/>
        <v>2.7454519228910259</v>
      </c>
      <c r="O267" s="23">
        <f t="shared" si="19"/>
        <v>0.63287829698514009</v>
      </c>
    </row>
    <row r="268" spans="1:15" x14ac:dyDescent="0.25">
      <c r="A268" s="14" t="s">
        <v>6005</v>
      </c>
      <c r="B268" s="14" t="s">
        <v>537</v>
      </c>
      <c r="C268" s="15" t="s">
        <v>538</v>
      </c>
      <c r="D268" s="16">
        <v>1.807E-3</v>
      </c>
      <c r="E268" s="17">
        <v>10.18</v>
      </c>
      <c r="F268" s="17">
        <v>9.8840000000000003</v>
      </c>
      <c r="G268" s="18">
        <v>0.2928</v>
      </c>
      <c r="H268" s="19">
        <v>5.5100000000000003E-2</v>
      </c>
      <c r="I268" s="18">
        <v>5.3129999999999997</v>
      </c>
      <c r="J268" s="20">
        <v>6</v>
      </c>
      <c r="K268" s="19">
        <v>1.8690999999999999E-2</v>
      </c>
      <c r="L268" s="21">
        <f t="shared" si="16"/>
        <v>1.7283674625128771</v>
      </c>
      <c r="M268" s="21">
        <f t="shared" si="17"/>
        <v>0.29599999999999982</v>
      </c>
      <c r="N268" s="22">
        <f t="shared" si="18"/>
        <v>2.7430418474390681</v>
      </c>
      <c r="O268" s="23">
        <f t="shared" si="19"/>
        <v>1.2277356839150602</v>
      </c>
    </row>
    <row r="269" spans="1:15" x14ac:dyDescent="0.25">
      <c r="A269" s="14" t="s">
        <v>6006</v>
      </c>
      <c r="B269" s="14" t="s">
        <v>539</v>
      </c>
      <c r="C269" s="15" t="s">
        <v>540</v>
      </c>
      <c r="D269" s="16">
        <v>1.8140000000000001E-3</v>
      </c>
      <c r="E269" s="17">
        <v>10.19</v>
      </c>
      <c r="F269" s="17">
        <v>9.2159999999999993</v>
      </c>
      <c r="G269" s="18">
        <v>0.97499999999999998</v>
      </c>
      <c r="H269" s="19">
        <v>0.1837</v>
      </c>
      <c r="I269" s="18">
        <v>5.3090000000000002</v>
      </c>
      <c r="J269" s="20">
        <v>6</v>
      </c>
      <c r="K269" s="19">
        <v>1.8696999999999998E-2</v>
      </c>
      <c r="L269" s="21">
        <f t="shared" si="16"/>
        <v>1.7282280719643701</v>
      </c>
      <c r="M269" s="21">
        <f t="shared" si="17"/>
        <v>0.97400000000000087</v>
      </c>
      <c r="N269" s="22">
        <f t="shared" si="18"/>
        <v>2.7413627172759232</v>
      </c>
      <c r="O269" s="23">
        <f t="shared" si="19"/>
        <v>1.964279190526784</v>
      </c>
    </row>
    <row r="270" spans="1:15" x14ac:dyDescent="0.25">
      <c r="A270" s="14" t="s">
        <v>6007</v>
      </c>
      <c r="B270" s="14" t="s">
        <v>543</v>
      </c>
      <c r="C270" s="15" t="s">
        <v>544</v>
      </c>
      <c r="D270" s="16">
        <v>1.8420000000000001E-3</v>
      </c>
      <c r="E270" s="17">
        <v>8.85</v>
      </c>
      <c r="F270" s="17">
        <v>8.2789999999999999</v>
      </c>
      <c r="G270" s="18">
        <v>0.57140000000000002</v>
      </c>
      <c r="H270" s="19">
        <v>0.108</v>
      </c>
      <c r="I270" s="18">
        <v>5.2930000000000001</v>
      </c>
      <c r="J270" s="20">
        <v>6</v>
      </c>
      <c r="K270" s="19">
        <v>1.8846999999999999E-2</v>
      </c>
      <c r="L270" s="21">
        <f t="shared" si="16"/>
        <v>1.7247577694441001</v>
      </c>
      <c r="M270" s="21">
        <f t="shared" si="17"/>
        <v>0.57099999999999951</v>
      </c>
      <c r="N270" s="22">
        <f t="shared" si="18"/>
        <v>2.7347103741391696</v>
      </c>
      <c r="O270" s="23">
        <f t="shared" si="19"/>
        <v>1.4855529206608282</v>
      </c>
    </row>
    <row r="271" spans="1:15" x14ac:dyDescent="0.25">
      <c r="A271" s="14" t="s">
        <v>6008</v>
      </c>
      <c r="B271" s="14" t="s">
        <v>541</v>
      </c>
      <c r="C271" s="15" t="s">
        <v>542</v>
      </c>
      <c r="D271" s="16">
        <v>1.838E-3</v>
      </c>
      <c r="E271" s="17">
        <v>10.199999999999999</v>
      </c>
      <c r="F271" s="17">
        <v>8.9610000000000003</v>
      </c>
      <c r="G271" s="18">
        <v>1.2410000000000001</v>
      </c>
      <c r="H271" s="19">
        <v>0.23430000000000001</v>
      </c>
      <c r="I271" s="18">
        <v>5.2949999999999999</v>
      </c>
      <c r="J271" s="20">
        <v>6</v>
      </c>
      <c r="K271" s="19">
        <v>1.8846999999999999E-2</v>
      </c>
      <c r="L271" s="21">
        <f t="shared" si="16"/>
        <v>1.7247577694441001</v>
      </c>
      <c r="M271" s="21">
        <f t="shared" si="17"/>
        <v>1.2389999999999988</v>
      </c>
      <c r="N271" s="22">
        <f t="shared" si="18"/>
        <v>2.7356544929499069</v>
      </c>
      <c r="O271" s="23">
        <f t="shared" si="19"/>
        <v>2.3603486866724013</v>
      </c>
    </row>
    <row r="272" spans="1:15" x14ac:dyDescent="0.25">
      <c r="A272" s="14" t="s">
        <v>6009</v>
      </c>
      <c r="B272" s="14" t="s">
        <v>545</v>
      </c>
      <c r="C272" s="15" t="s">
        <v>546</v>
      </c>
      <c r="D272" s="16">
        <v>1.859E-3</v>
      </c>
      <c r="E272" s="17">
        <v>9.3409999999999993</v>
      </c>
      <c r="F272" s="17">
        <v>10.07</v>
      </c>
      <c r="G272" s="18">
        <v>-0.73219999999999996</v>
      </c>
      <c r="H272" s="19">
        <v>0.1386</v>
      </c>
      <c r="I272" s="18">
        <v>5.2830000000000004</v>
      </c>
      <c r="J272" s="20">
        <v>6</v>
      </c>
      <c r="K272" s="19">
        <v>1.8905999999999999E-2</v>
      </c>
      <c r="L272" s="21">
        <f t="shared" si="16"/>
        <v>1.7234003464423564</v>
      </c>
      <c r="M272" s="21">
        <f t="shared" si="17"/>
        <v>-0.72900000000000087</v>
      </c>
      <c r="N272" s="22">
        <f t="shared" si="18"/>
        <v>2.7307206102281012</v>
      </c>
      <c r="O272" s="23">
        <f t="shared" si="19"/>
        <v>0.60332195986038106</v>
      </c>
    </row>
    <row r="273" spans="1:15" x14ac:dyDescent="0.25">
      <c r="A273" s="14" t="s">
        <v>6010</v>
      </c>
      <c r="B273" s="14" t="s">
        <v>547</v>
      </c>
      <c r="C273" s="15" t="s">
        <v>548</v>
      </c>
      <c r="D273" s="16">
        <v>1.8619999999999999E-3</v>
      </c>
      <c r="E273" s="17">
        <v>11.25</v>
      </c>
      <c r="F273" s="17">
        <v>10.69</v>
      </c>
      <c r="G273" s="18">
        <v>0.55349999999999999</v>
      </c>
      <c r="H273" s="19">
        <v>0.1048</v>
      </c>
      <c r="I273" s="18">
        <v>5.282</v>
      </c>
      <c r="J273" s="20">
        <v>6</v>
      </c>
      <c r="K273" s="19">
        <v>1.8905999999999999E-2</v>
      </c>
      <c r="L273" s="21">
        <f t="shared" si="16"/>
        <v>1.7234003464423564</v>
      </c>
      <c r="M273" s="21">
        <f t="shared" si="17"/>
        <v>0.55999999999999972</v>
      </c>
      <c r="N273" s="22">
        <f t="shared" si="18"/>
        <v>2.730020323354676</v>
      </c>
      <c r="O273" s="23">
        <f t="shared" si="19"/>
        <v>1.4742692172911009</v>
      </c>
    </row>
    <row r="274" spans="1:15" x14ac:dyDescent="0.25">
      <c r="A274" s="14" t="s">
        <v>6011</v>
      </c>
      <c r="B274" s="14" t="s">
        <v>549</v>
      </c>
      <c r="C274" s="15" t="s">
        <v>550</v>
      </c>
      <c r="D274" s="16">
        <v>1.872E-3</v>
      </c>
      <c r="E274" s="17">
        <v>9.4030000000000005</v>
      </c>
      <c r="F274" s="17">
        <v>8.7210000000000001</v>
      </c>
      <c r="G274" s="18">
        <v>0.68200000000000005</v>
      </c>
      <c r="H274" s="19">
        <v>0.1293</v>
      </c>
      <c r="I274" s="18">
        <v>5.2759999999999998</v>
      </c>
      <c r="J274" s="20">
        <v>6</v>
      </c>
      <c r="K274" s="19">
        <v>1.8945E-2</v>
      </c>
      <c r="L274" s="21">
        <f t="shared" si="16"/>
        <v>1.7225053903889878</v>
      </c>
      <c r="M274" s="21">
        <f t="shared" si="17"/>
        <v>0.68200000000000005</v>
      </c>
      <c r="N274" s="22">
        <f t="shared" si="18"/>
        <v>2.7276941555979133</v>
      </c>
      <c r="O274" s="23">
        <f t="shared" si="19"/>
        <v>1.6043623327049727</v>
      </c>
    </row>
    <row r="275" spans="1:15" x14ac:dyDescent="0.25">
      <c r="A275" s="14" t="s">
        <v>6012</v>
      </c>
      <c r="B275" s="14" t="s">
        <v>551</v>
      </c>
      <c r="C275" s="15" t="s">
        <v>552</v>
      </c>
      <c r="D275" s="16">
        <v>1.8810000000000001E-3</v>
      </c>
      <c r="E275" s="17">
        <v>9.5289999999999999</v>
      </c>
      <c r="F275" s="17">
        <v>8.9879999999999995</v>
      </c>
      <c r="G275" s="18">
        <v>0.5403</v>
      </c>
      <c r="H275" s="19">
        <v>0.10249999999999999</v>
      </c>
      <c r="I275" s="18">
        <v>5.2709999999999999</v>
      </c>
      <c r="J275" s="20">
        <v>6</v>
      </c>
      <c r="K275" s="19">
        <v>1.8967000000000001E-2</v>
      </c>
      <c r="L275" s="21">
        <f t="shared" si="16"/>
        <v>1.7220013557997114</v>
      </c>
      <c r="M275" s="21">
        <f t="shared" si="17"/>
        <v>0.54100000000000081</v>
      </c>
      <c r="N275" s="22">
        <f t="shared" si="18"/>
        <v>2.725611204449621</v>
      </c>
      <c r="O275" s="23">
        <f t="shared" si="19"/>
        <v>1.4549806836347581</v>
      </c>
    </row>
    <row r="276" spans="1:15" x14ac:dyDescent="0.25">
      <c r="A276" s="14" t="s">
        <v>6013</v>
      </c>
      <c r="B276" s="14" t="s">
        <v>553</v>
      </c>
      <c r="C276" s="15" t="s">
        <v>554</v>
      </c>
      <c r="D276" s="16">
        <v>1.8910000000000001E-3</v>
      </c>
      <c r="E276" s="17">
        <v>10.48</v>
      </c>
      <c r="F276" s="17">
        <v>9.8949999999999996</v>
      </c>
      <c r="G276" s="18">
        <v>0.58950000000000002</v>
      </c>
      <c r="H276" s="19">
        <v>0.112</v>
      </c>
      <c r="I276" s="18">
        <v>5.266</v>
      </c>
      <c r="J276" s="20">
        <v>6</v>
      </c>
      <c r="K276" s="19">
        <v>1.8991999999999998E-2</v>
      </c>
      <c r="L276" s="21">
        <f t="shared" si="16"/>
        <v>1.7214292983894839</v>
      </c>
      <c r="M276" s="21">
        <f t="shared" si="17"/>
        <v>0.58500000000000152</v>
      </c>
      <c r="N276" s="22">
        <f t="shared" si="18"/>
        <v>2.7233084711549602</v>
      </c>
      <c r="O276" s="23">
        <f t="shared" si="19"/>
        <v>1.5000389892858197</v>
      </c>
    </row>
    <row r="277" spans="1:15" x14ac:dyDescent="0.25">
      <c r="A277" s="14" t="s">
        <v>6014</v>
      </c>
      <c r="B277" s="14" t="s">
        <v>557</v>
      </c>
      <c r="C277" s="15" t="s">
        <v>558</v>
      </c>
      <c r="D277" s="16">
        <v>1.9070000000000001E-3</v>
      </c>
      <c r="E277" s="17">
        <v>10.3</v>
      </c>
      <c r="F277" s="17">
        <v>9.9179999999999993</v>
      </c>
      <c r="G277" s="18">
        <v>0.38040000000000002</v>
      </c>
      <c r="H277" s="19">
        <v>7.2349999999999998E-2</v>
      </c>
      <c r="I277" s="18">
        <v>5.2569999999999997</v>
      </c>
      <c r="J277" s="20">
        <v>6</v>
      </c>
      <c r="K277" s="19">
        <v>1.9014E-2</v>
      </c>
      <c r="L277" s="21">
        <f t="shared" si="16"/>
        <v>1.7209265104260556</v>
      </c>
      <c r="M277" s="21">
        <f t="shared" si="17"/>
        <v>0.38200000000000139</v>
      </c>
      <c r="N277" s="22">
        <f t="shared" si="18"/>
        <v>2.7196493069539942</v>
      </c>
      <c r="O277" s="23">
        <f t="shared" si="19"/>
        <v>1.3031471493632953</v>
      </c>
    </row>
    <row r="278" spans="1:15" x14ac:dyDescent="0.25">
      <c r="A278" s="14" t="s">
        <v>6015</v>
      </c>
      <c r="B278" s="14" t="s">
        <v>555</v>
      </c>
      <c r="C278" s="15" t="s">
        <v>556</v>
      </c>
      <c r="D278" s="16">
        <v>1.903E-3</v>
      </c>
      <c r="E278" s="17">
        <v>8.7129999999999992</v>
      </c>
      <c r="F278" s="17">
        <v>9.4220000000000006</v>
      </c>
      <c r="G278" s="18">
        <v>-0.70850000000000002</v>
      </c>
      <c r="H278" s="19">
        <v>0.13469999999999999</v>
      </c>
      <c r="I278" s="18">
        <v>5.2590000000000003</v>
      </c>
      <c r="J278" s="20">
        <v>6</v>
      </c>
      <c r="K278" s="19">
        <v>1.9014E-2</v>
      </c>
      <c r="L278" s="21">
        <f t="shared" si="16"/>
        <v>1.7209265104260556</v>
      </c>
      <c r="M278" s="21">
        <f t="shared" si="17"/>
        <v>-0.70900000000000141</v>
      </c>
      <c r="N278" s="22">
        <f t="shared" si="18"/>
        <v>2.7205612117129792</v>
      </c>
      <c r="O278" s="23">
        <f t="shared" si="19"/>
        <v>0.61174402056593258</v>
      </c>
    </row>
    <row r="279" spans="1:15" x14ac:dyDescent="0.25">
      <c r="A279" s="14" t="s">
        <v>6016</v>
      </c>
      <c r="B279" s="14" t="s">
        <v>561</v>
      </c>
      <c r="C279" s="15" t="s">
        <v>562</v>
      </c>
      <c r="D279" s="16">
        <v>1.926E-3</v>
      </c>
      <c r="E279" s="17">
        <v>9.9499999999999993</v>
      </c>
      <c r="F279" s="17">
        <v>10.43</v>
      </c>
      <c r="G279" s="18">
        <v>-0.48399999999999999</v>
      </c>
      <c r="H279" s="19">
        <v>9.2240000000000003E-2</v>
      </c>
      <c r="I279" s="18">
        <v>5.2469999999999999</v>
      </c>
      <c r="J279" s="20">
        <v>6</v>
      </c>
      <c r="K279" s="19">
        <v>1.907E-2</v>
      </c>
      <c r="L279" s="21">
        <f t="shared" si="16"/>
        <v>1.7196493069539942</v>
      </c>
      <c r="M279" s="21">
        <f t="shared" si="17"/>
        <v>-0.48000000000000048</v>
      </c>
      <c r="N279" s="22">
        <f t="shared" si="18"/>
        <v>2.7153437172114843</v>
      </c>
      <c r="O279" s="23">
        <f t="shared" si="19"/>
        <v>0.71697762400791343</v>
      </c>
    </row>
    <row r="280" spans="1:15" x14ac:dyDescent="0.25">
      <c r="A280" s="14" t="s">
        <v>6017</v>
      </c>
      <c r="B280" s="14" t="s">
        <v>559</v>
      </c>
      <c r="C280" s="15" t="s">
        <v>560</v>
      </c>
      <c r="D280" s="16">
        <v>1.923E-3</v>
      </c>
      <c r="E280" s="17">
        <v>14.51</v>
      </c>
      <c r="F280" s="17">
        <v>14.96</v>
      </c>
      <c r="G280" s="18">
        <v>-0.4506</v>
      </c>
      <c r="H280" s="19">
        <v>8.5849999999999996E-2</v>
      </c>
      <c r="I280" s="18">
        <v>5.2489999999999997</v>
      </c>
      <c r="J280" s="20">
        <v>6</v>
      </c>
      <c r="K280" s="19">
        <v>1.907E-2</v>
      </c>
      <c r="L280" s="21">
        <f t="shared" si="16"/>
        <v>1.7196493069539942</v>
      </c>
      <c r="M280" s="21">
        <f t="shared" si="17"/>
        <v>-0.45000000000000062</v>
      </c>
      <c r="N280" s="22">
        <f t="shared" si="18"/>
        <v>2.7160207157615202</v>
      </c>
      <c r="O280" s="23">
        <f t="shared" si="19"/>
        <v>0.73204284797281238</v>
      </c>
    </row>
    <row r="281" spans="1:15" x14ac:dyDescent="0.25">
      <c r="A281" s="14" t="s">
        <v>6018</v>
      </c>
      <c r="B281" s="14" t="s">
        <v>563</v>
      </c>
      <c r="C281" s="15" t="s">
        <v>564</v>
      </c>
      <c r="D281" s="16">
        <v>1.9550000000000001E-3</v>
      </c>
      <c r="E281" s="17">
        <v>10.59</v>
      </c>
      <c r="F281" s="17">
        <v>9.8930000000000007</v>
      </c>
      <c r="G281" s="18">
        <v>0.70109999999999995</v>
      </c>
      <c r="H281" s="19">
        <v>0.13400000000000001</v>
      </c>
      <c r="I281" s="18">
        <v>5.2309999999999999</v>
      </c>
      <c r="J281" s="20">
        <v>6</v>
      </c>
      <c r="K281" s="19">
        <v>1.9230000000000001E-2</v>
      </c>
      <c r="L281" s="21">
        <f t="shared" si="16"/>
        <v>1.7160207157615199</v>
      </c>
      <c r="M281" s="21">
        <f t="shared" si="17"/>
        <v>0.69699999999999884</v>
      </c>
      <c r="N281" s="22">
        <f t="shared" si="18"/>
        <v>2.7088532382681141</v>
      </c>
      <c r="O281" s="23">
        <f t="shared" si="19"/>
        <v>1.6211302397706169</v>
      </c>
    </row>
    <row r="282" spans="1:15" x14ac:dyDescent="0.25">
      <c r="A282" s="14" t="s">
        <v>6019</v>
      </c>
      <c r="B282" s="14" t="s">
        <v>565</v>
      </c>
      <c r="C282" s="15" t="s">
        <v>566</v>
      </c>
      <c r="D282" s="16">
        <v>1.9559999999999998E-3</v>
      </c>
      <c r="E282" s="17">
        <v>13.82</v>
      </c>
      <c r="F282" s="17">
        <v>14.34</v>
      </c>
      <c r="G282" s="18">
        <v>-0.52600000000000002</v>
      </c>
      <c r="H282" s="19">
        <v>0.10059999999999999</v>
      </c>
      <c r="I282" s="18">
        <v>5.2309999999999999</v>
      </c>
      <c r="J282" s="20">
        <v>6</v>
      </c>
      <c r="K282" s="19">
        <v>1.9230000000000001E-2</v>
      </c>
      <c r="L282" s="21">
        <f t="shared" si="16"/>
        <v>1.7160207157615199</v>
      </c>
      <c r="M282" s="21">
        <f t="shared" si="17"/>
        <v>-0.51999999999999968</v>
      </c>
      <c r="N282" s="22">
        <f t="shared" si="18"/>
        <v>2.7086311495484172</v>
      </c>
      <c r="O282" s="23">
        <f t="shared" si="19"/>
        <v>0.6973718331752029</v>
      </c>
    </row>
    <row r="283" spans="1:15" x14ac:dyDescent="0.25">
      <c r="A283" s="14" t="s">
        <v>6020</v>
      </c>
      <c r="B283" s="14" t="s">
        <v>567</v>
      </c>
      <c r="C283" s="15" t="s">
        <v>568</v>
      </c>
      <c r="D283" s="16">
        <v>1.9680000000000001E-3</v>
      </c>
      <c r="E283" s="17">
        <v>9.5169999999999995</v>
      </c>
      <c r="F283" s="17">
        <v>9.0380000000000003</v>
      </c>
      <c r="G283" s="18">
        <v>0.47970000000000002</v>
      </c>
      <c r="H283" s="19">
        <v>9.1829999999999995E-2</v>
      </c>
      <c r="I283" s="18">
        <v>5.2240000000000002</v>
      </c>
      <c r="J283" s="20">
        <v>6</v>
      </c>
      <c r="K283" s="19">
        <v>1.9282000000000001E-2</v>
      </c>
      <c r="L283" s="21">
        <f t="shared" si="16"/>
        <v>1.7148479214749084</v>
      </c>
      <c r="M283" s="21">
        <f t="shared" si="17"/>
        <v>0.47899999999999898</v>
      </c>
      <c r="N283" s="22">
        <f t="shared" si="18"/>
        <v>2.7059749059046769</v>
      </c>
      <c r="O283" s="23">
        <f t="shared" si="19"/>
        <v>1.3937772386874683</v>
      </c>
    </row>
    <row r="284" spans="1:15" x14ac:dyDescent="0.25">
      <c r="A284" s="14" t="s">
        <v>6021</v>
      </c>
      <c r="B284" s="14" t="s">
        <v>569</v>
      </c>
      <c r="C284" s="15" t="s">
        <v>570</v>
      </c>
      <c r="D284" s="16">
        <v>1.9980000000000002E-3</v>
      </c>
      <c r="E284" s="17">
        <v>10.26</v>
      </c>
      <c r="F284" s="17">
        <v>9.7479999999999993</v>
      </c>
      <c r="G284" s="18">
        <v>0.51580000000000004</v>
      </c>
      <c r="H284" s="19">
        <v>9.9030000000000007E-2</v>
      </c>
      <c r="I284" s="18">
        <v>5.2080000000000002</v>
      </c>
      <c r="J284" s="20">
        <v>6</v>
      </c>
      <c r="K284" s="19">
        <v>1.9507E-2</v>
      </c>
      <c r="L284" s="21">
        <f t="shared" si="16"/>
        <v>1.7098095160296956</v>
      </c>
      <c r="M284" s="21">
        <f t="shared" si="17"/>
        <v>0.51200000000000112</v>
      </c>
      <c r="N284" s="22">
        <f t="shared" si="18"/>
        <v>2.6994045161100364</v>
      </c>
      <c r="O284" s="23">
        <f t="shared" si="19"/>
        <v>1.426025717364142</v>
      </c>
    </row>
    <row r="285" spans="1:15" x14ac:dyDescent="0.25">
      <c r="A285" s="14" t="s">
        <v>6022</v>
      </c>
      <c r="B285" s="14" t="s">
        <v>571</v>
      </c>
      <c r="C285" s="15" t="s">
        <v>572</v>
      </c>
      <c r="D285" s="16">
        <v>2.0200000000000001E-3</v>
      </c>
      <c r="E285" s="17">
        <v>11.13</v>
      </c>
      <c r="F285" s="17">
        <v>10.58</v>
      </c>
      <c r="G285" s="18">
        <v>0.55310000000000004</v>
      </c>
      <c r="H285" s="19">
        <v>0.10639999999999999</v>
      </c>
      <c r="I285" s="18">
        <v>5.1970000000000001</v>
      </c>
      <c r="J285" s="20">
        <v>6</v>
      </c>
      <c r="K285" s="19">
        <v>1.9650000000000001E-2</v>
      </c>
      <c r="L285" s="21">
        <f t="shared" si="16"/>
        <v>1.7066374452885544</v>
      </c>
      <c r="M285" s="21">
        <f t="shared" si="17"/>
        <v>0.5500000000000006</v>
      </c>
      <c r="N285" s="22">
        <f t="shared" si="18"/>
        <v>2.6946486305533761</v>
      </c>
      <c r="O285" s="23">
        <f t="shared" si="19"/>
        <v>1.4640856959456261</v>
      </c>
    </row>
    <row r="286" spans="1:15" x14ac:dyDescent="0.25">
      <c r="A286" s="14" t="s">
        <v>6023</v>
      </c>
      <c r="B286" s="14" t="s">
        <v>581</v>
      </c>
      <c r="C286" s="15" t="s">
        <v>582</v>
      </c>
      <c r="D286" s="16">
        <v>2.0579999999999999E-3</v>
      </c>
      <c r="E286" s="17">
        <v>8.1769999999999996</v>
      </c>
      <c r="F286" s="17">
        <v>7.5250000000000004</v>
      </c>
      <c r="G286" s="18">
        <v>0.65249999999999997</v>
      </c>
      <c r="H286" s="19">
        <v>0.126</v>
      </c>
      <c r="I286" s="18">
        <v>5.1779999999999999</v>
      </c>
      <c r="J286" s="20">
        <v>6</v>
      </c>
      <c r="K286" s="19">
        <v>1.9665999999999999E-2</v>
      </c>
      <c r="L286" s="21">
        <f t="shared" si="16"/>
        <v>1.7062839651738908</v>
      </c>
      <c r="M286" s="21">
        <f t="shared" si="17"/>
        <v>0.65199999999999891</v>
      </c>
      <c r="N286" s="22">
        <f t="shared" si="18"/>
        <v>2.6865546295735858</v>
      </c>
      <c r="O286" s="23">
        <f t="shared" si="19"/>
        <v>1.5713450333351593</v>
      </c>
    </row>
    <row r="287" spans="1:15" x14ac:dyDescent="0.25">
      <c r="A287" s="14" t="s">
        <v>6024</v>
      </c>
      <c r="B287" s="14" t="s">
        <v>579</v>
      </c>
      <c r="C287" s="15" t="s">
        <v>580</v>
      </c>
      <c r="D287" s="16">
        <v>2.0530000000000001E-3</v>
      </c>
      <c r="E287" s="17">
        <v>9.2620000000000005</v>
      </c>
      <c r="F287" s="17">
        <v>8.7430000000000003</v>
      </c>
      <c r="G287" s="18">
        <v>0.51919999999999999</v>
      </c>
      <c r="H287" s="19">
        <v>0.1002</v>
      </c>
      <c r="I287" s="18">
        <v>5.181</v>
      </c>
      <c r="J287" s="20">
        <v>6</v>
      </c>
      <c r="K287" s="19">
        <v>1.9665999999999999E-2</v>
      </c>
      <c r="L287" s="21">
        <f t="shared" si="16"/>
        <v>1.7062839651738908</v>
      </c>
      <c r="M287" s="21">
        <f t="shared" si="17"/>
        <v>0.51900000000000057</v>
      </c>
      <c r="N287" s="22">
        <f t="shared" si="18"/>
        <v>2.6876110506294077</v>
      </c>
      <c r="O287" s="23">
        <f t="shared" si="19"/>
        <v>1.4329616503731004</v>
      </c>
    </row>
    <row r="288" spans="1:15" x14ac:dyDescent="0.25">
      <c r="A288" s="14" t="s">
        <v>6025</v>
      </c>
      <c r="B288" s="14" t="s">
        <v>575</v>
      </c>
      <c r="C288" s="15" t="s">
        <v>576</v>
      </c>
      <c r="D288" s="16">
        <v>2.0379999999999999E-3</v>
      </c>
      <c r="E288" s="17">
        <v>9.4619999999999997</v>
      </c>
      <c r="F288" s="17">
        <v>10.029999999999999</v>
      </c>
      <c r="G288" s="18">
        <v>-0.57069999999999999</v>
      </c>
      <c r="H288" s="19">
        <v>0.11</v>
      </c>
      <c r="I288" s="18">
        <v>5.1879999999999997</v>
      </c>
      <c r="J288" s="20">
        <v>6</v>
      </c>
      <c r="K288" s="19">
        <v>1.9665999999999999E-2</v>
      </c>
      <c r="L288" s="21">
        <f t="shared" si="16"/>
        <v>1.7062839651738908</v>
      </c>
      <c r="M288" s="21">
        <f t="shared" si="17"/>
        <v>-0.56799999999999939</v>
      </c>
      <c r="N288" s="22">
        <f t="shared" si="18"/>
        <v>2.6907958203295923</v>
      </c>
      <c r="O288" s="23">
        <f t="shared" si="19"/>
        <v>0.6745512671698497</v>
      </c>
    </row>
    <row r="289" spans="1:15" x14ac:dyDescent="0.25">
      <c r="A289" s="14" t="s">
        <v>6026</v>
      </c>
      <c r="B289" s="14" t="s">
        <v>573</v>
      </c>
      <c r="C289" s="15" t="s">
        <v>574</v>
      </c>
      <c r="D289" s="16">
        <v>2.0300000000000001E-3</v>
      </c>
      <c r="E289" s="17">
        <v>9.0950000000000006</v>
      </c>
      <c r="F289" s="17">
        <v>9.3770000000000007</v>
      </c>
      <c r="G289" s="18">
        <v>-0.28199999999999997</v>
      </c>
      <c r="H289" s="19">
        <v>5.4309999999999997E-2</v>
      </c>
      <c r="I289" s="18">
        <v>5.1920000000000002</v>
      </c>
      <c r="J289" s="20">
        <v>6</v>
      </c>
      <c r="K289" s="19">
        <v>1.9665999999999999E-2</v>
      </c>
      <c r="L289" s="21">
        <f t="shared" si="16"/>
        <v>1.7062839651738908</v>
      </c>
      <c r="M289" s="21">
        <f t="shared" si="17"/>
        <v>-0.28200000000000019</v>
      </c>
      <c r="N289" s="22">
        <f t="shared" si="18"/>
        <v>2.692503962086787</v>
      </c>
      <c r="O289" s="23">
        <f t="shared" si="19"/>
        <v>0.82245006871246418</v>
      </c>
    </row>
    <row r="290" spans="1:15" x14ac:dyDescent="0.25">
      <c r="A290" s="14" t="s">
        <v>6027</v>
      </c>
      <c r="B290" s="14" t="s">
        <v>577</v>
      </c>
      <c r="C290" s="15" t="s">
        <v>578</v>
      </c>
      <c r="D290" s="16">
        <v>2.0449999999999999E-3</v>
      </c>
      <c r="E290" s="17">
        <v>9.2799999999999994</v>
      </c>
      <c r="F290" s="17">
        <v>9.6310000000000002</v>
      </c>
      <c r="G290" s="18">
        <v>-0.3518</v>
      </c>
      <c r="H290" s="19">
        <v>6.7849999999999994E-2</v>
      </c>
      <c r="I290" s="18">
        <v>5.1849999999999996</v>
      </c>
      <c r="J290" s="20">
        <v>6</v>
      </c>
      <c r="K290" s="19">
        <v>1.9665999999999999E-2</v>
      </c>
      <c r="L290" s="21">
        <f t="shared" si="16"/>
        <v>1.7062839651738908</v>
      </c>
      <c r="M290" s="21">
        <f t="shared" si="17"/>
        <v>-0.35100000000000114</v>
      </c>
      <c r="N290" s="22">
        <f t="shared" si="18"/>
        <v>2.6893066876566389</v>
      </c>
      <c r="O290" s="23">
        <f t="shared" si="19"/>
        <v>0.78404045407573797</v>
      </c>
    </row>
    <row r="291" spans="1:15" x14ac:dyDescent="0.25">
      <c r="A291" s="14" t="s">
        <v>6028</v>
      </c>
      <c r="B291" s="14" t="s">
        <v>585</v>
      </c>
      <c r="C291" s="15" t="s">
        <v>586</v>
      </c>
      <c r="D291" s="16">
        <v>2.1050000000000001E-3</v>
      </c>
      <c r="E291" s="17">
        <v>8.3800000000000008</v>
      </c>
      <c r="F291" s="17">
        <v>8.8249999999999993</v>
      </c>
      <c r="G291" s="18">
        <v>-0.44529999999999997</v>
      </c>
      <c r="H291" s="19">
        <v>8.6389999999999995E-2</v>
      </c>
      <c r="I291" s="18">
        <v>5.1550000000000002</v>
      </c>
      <c r="J291" s="20">
        <v>6</v>
      </c>
      <c r="K291" s="19">
        <v>1.9914999999999999E-2</v>
      </c>
      <c r="L291" s="21">
        <f t="shared" si="16"/>
        <v>1.7008196892546532</v>
      </c>
      <c r="M291" s="21">
        <f t="shared" si="17"/>
        <v>-0.44499999999999851</v>
      </c>
      <c r="N291" s="22">
        <f t="shared" si="18"/>
        <v>2.6767478998283125</v>
      </c>
      <c r="O291" s="23">
        <f t="shared" si="19"/>
        <v>0.73458431663915524</v>
      </c>
    </row>
    <row r="292" spans="1:15" x14ac:dyDescent="0.25">
      <c r="A292" s="14" t="s">
        <v>6029</v>
      </c>
      <c r="B292" s="14" t="s">
        <v>583</v>
      </c>
      <c r="C292" s="15" t="s">
        <v>584</v>
      </c>
      <c r="D292" s="16">
        <v>2.1029999999999998E-3</v>
      </c>
      <c r="E292" s="17">
        <v>9.7750000000000004</v>
      </c>
      <c r="F292" s="17">
        <v>8.8450000000000006</v>
      </c>
      <c r="G292" s="18">
        <v>0.92989999999999995</v>
      </c>
      <c r="H292" s="19">
        <v>0.1804</v>
      </c>
      <c r="I292" s="18">
        <v>5.1559999999999997</v>
      </c>
      <c r="J292" s="20">
        <v>6</v>
      </c>
      <c r="K292" s="19">
        <v>1.9914999999999999E-2</v>
      </c>
      <c r="L292" s="21">
        <f t="shared" si="16"/>
        <v>1.7008196892546532</v>
      </c>
      <c r="M292" s="21">
        <f t="shared" si="17"/>
        <v>0.92999999999999872</v>
      </c>
      <c r="N292" s="22">
        <f t="shared" si="18"/>
        <v>2.6771607273136788</v>
      </c>
      <c r="O292" s="23">
        <f t="shared" si="19"/>
        <v>1.9052759960878731</v>
      </c>
    </row>
    <row r="293" spans="1:15" x14ac:dyDescent="0.25">
      <c r="A293" s="14" t="s">
        <v>6030</v>
      </c>
      <c r="B293" s="14" t="s">
        <v>587</v>
      </c>
      <c r="C293" s="15" t="s">
        <v>588</v>
      </c>
      <c r="D293" s="16">
        <v>2.1050000000000001E-3</v>
      </c>
      <c r="E293" s="17">
        <v>9.1440000000000001</v>
      </c>
      <c r="F293" s="17">
        <v>8.5190000000000001</v>
      </c>
      <c r="G293" s="18">
        <v>0.62519999999999998</v>
      </c>
      <c r="H293" s="19">
        <v>0.12130000000000001</v>
      </c>
      <c r="I293" s="18">
        <v>5.1550000000000002</v>
      </c>
      <c r="J293" s="20">
        <v>6</v>
      </c>
      <c r="K293" s="19">
        <v>1.9914999999999999E-2</v>
      </c>
      <c r="L293" s="21">
        <f t="shared" si="16"/>
        <v>1.7008196892546532</v>
      </c>
      <c r="M293" s="21">
        <f t="shared" si="17"/>
        <v>0.62499999999999911</v>
      </c>
      <c r="N293" s="22">
        <f t="shared" si="18"/>
        <v>2.6767478998283125</v>
      </c>
      <c r="O293" s="23">
        <f t="shared" si="19"/>
        <v>1.5422108254079399</v>
      </c>
    </row>
    <row r="294" spans="1:15" x14ac:dyDescent="0.25">
      <c r="A294" s="14" t="s">
        <v>6031</v>
      </c>
      <c r="B294" s="14" t="s">
        <v>589</v>
      </c>
      <c r="C294" s="15" t="s">
        <v>590</v>
      </c>
      <c r="D294" s="16">
        <v>2.1129999999999999E-3</v>
      </c>
      <c r="E294" s="17">
        <v>11.23</v>
      </c>
      <c r="F294" s="17">
        <v>10.79</v>
      </c>
      <c r="G294" s="18">
        <v>0.43959999999999999</v>
      </c>
      <c r="H294" s="19">
        <v>8.5339999999999999E-2</v>
      </c>
      <c r="I294" s="18">
        <v>5.1509999999999998</v>
      </c>
      <c r="J294" s="20">
        <v>6</v>
      </c>
      <c r="K294" s="19">
        <v>1.9921999999999999E-2</v>
      </c>
      <c r="L294" s="21">
        <f t="shared" si="16"/>
        <v>1.7006670642374775</v>
      </c>
      <c r="M294" s="21">
        <f t="shared" si="17"/>
        <v>0.44000000000000178</v>
      </c>
      <c r="N294" s="22">
        <f t="shared" si="18"/>
        <v>2.6751005029476862</v>
      </c>
      <c r="O294" s="23">
        <f t="shared" si="19"/>
        <v>1.3566043274476736</v>
      </c>
    </row>
    <row r="295" spans="1:15" x14ac:dyDescent="0.25">
      <c r="A295" s="14" t="s">
        <v>6032</v>
      </c>
      <c r="B295" s="14" t="s">
        <v>591</v>
      </c>
      <c r="C295" s="15" t="s">
        <v>592</v>
      </c>
      <c r="D295" s="16">
        <v>2.1489999999999999E-3</v>
      </c>
      <c r="E295" s="17">
        <v>12.21</v>
      </c>
      <c r="F295" s="17">
        <v>11.64</v>
      </c>
      <c r="G295" s="18">
        <v>0.56799999999999995</v>
      </c>
      <c r="H295" s="19">
        <v>0.1106</v>
      </c>
      <c r="I295" s="18">
        <v>5.1340000000000003</v>
      </c>
      <c r="J295" s="20">
        <v>6</v>
      </c>
      <c r="K295" s="19">
        <v>2.0192000000000002E-2</v>
      </c>
      <c r="L295" s="21">
        <f t="shared" si="16"/>
        <v>1.6948206624359596</v>
      </c>
      <c r="M295" s="21">
        <f t="shared" si="17"/>
        <v>0.57000000000000028</v>
      </c>
      <c r="N295" s="22">
        <f t="shared" si="18"/>
        <v>2.6677635845085561</v>
      </c>
      <c r="O295" s="23">
        <f t="shared" si="19"/>
        <v>1.4845235706290494</v>
      </c>
    </row>
    <row r="296" spans="1:15" x14ac:dyDescent="0.25">
      <c r="A296" s="14" t="s">
        <v>6033</v>
      </c>
      <c r="B296" s="14" t="s">
        <v>593</v>
      </c>
      <c r="C296" s="15" t="s">
        <v>594</v>
      </c>
      <c r="D296" s="16">
        <v>2.1779999999999998E-3</v>
      </c>
      <c r="E296" s="17">
        <v>8.3010000000000002</v>
      </c>
      <c r="F296" s="17">
        <v>7.4080000000000004</v>
      </c>
      <c r="G296" s="18">
        <v>0.89329999999999998</v>
      </c>
      <c r="H296" s="19">
        <v>0.17449999999999999</v>
      </c>
      <c r="I296" s="18">
        <v>5.12</v>
      </c>
      <c r="J296" s="20">
        <v>6</v>
      </c>
      <c r="K296" s="19">
        <v>2.0396000000000001E-2</v>
      </c>
      <c r="L296" s="21">
        <f t="shared" si="16"/>
        <v>1.6904549967045639</v>
      </c>
      <c r="M296" s="21">
        <f t="shared" si="17"/>
        <v>0.8929999999999999</v>
      </c>
      <c r="N296" s="22">
        <f t="shared" si="18"/>
        <v>2.6619421245802437</v>
      </c>
      <c r="O296" s="23">
        <f t="shared" si="19"/>
        <v>1.8570337046134577</v>
      </c>
    </row>
    <row r="297" spans="1:15" x14ac:dyDescent="0.25">
      <c r="A297" s="14" t="s">
        <v>6034</v>
      </c>
      <c r="B297" s="14" t="s">
        <v>605</v>
      </c>
      <c r="C297" s="15" t="s">
        <v>606</v>
      </c>
      <c r="D297" s="16">
        <v>2.2520000000000001E-3</v>
      </c>
      <c r="E297" s="17">
        <v>10.82</v>
      </c>
      <c r="F297" s="17">
        <v>10.050000000000001</v>
      </c>
      <c r="G297" s="18">
        <v>0.77990000000000004</v>
      </c>
      <c r="H297" s="19">
        <v>0.15329999999999999</v>
      </c>
      <c r="I297" s="18">
        <v>5.0860000000000003</v>
      </c>
      <c r="J297" s="20">
        <v>6</v>
      </c>
      <c r="K297" s="19">
        <v>2.0669E-2</v>
      </c>
      <c r="L297" s="21">
        <f t="shared" si="16"/>
        <v>1.684680534741249</v>
      </c>
      <c r="M297" s="21">
        <f t="shared" si="17"/>
        <v>0.7699999999999988</v>
      </c>
      <c r="N297" s="22">
        <f t="shared" si="18"/>
        <v>2.6474316138206913</v>
      </c>
      <c r="O297" s="23">
        <f t="shared" si="19"/>
        <v>1.7052697835359121</v>
      </c>
    </row>
    <row r="298" spans="1:15" x14ac:dyDescent="0.25">
      <c r="A298" s="14" t="s">
        <v>6035</v>
      </c>
      <c r="B298" s="14" t="s">
        <v>595</v>
      </c>
      <c r="C298" s="15" t="s">
        <v>596</v>
      </c>
      <c r="D298" s="16">
        <v>2.2200000000000002E-3</v>
      </c>
      <c r="E298" s="17">
        <v>8.0060000000000002</v>
      </c>
      <c r="F298" s="17">
        <v>7.5170000000000003</v>
      </c>
      <c r="G298" s="18">
        <v>0.4889</v>
      </c>
      <c r="H298" s="19">
        <v>9.5839999999999995E-2</v>
      </c>
      <c r="I298" s="18">
        <v>5.101</v>
      </c>
      <c r="J298" s="20">
        <v>6</v>
      </c>
      <c r="K298" s="19">
        <v>2.0669E-2</v>
      </c>
      <c r="L298" s="21">
        <f t="shared" si="16"/>
        <v>1.684680534741249</v>
      </c>
      <c r="M298" s="21">
        <f t="shared" si="17"/>
        <v>0.48899999999999927</v>
      </c>
      <c r="N298" s="22">
        <f t="shared" si="18"/>
        <v>2.6536470255493612</v>
      </c>
      <c r="O298" s="23">
        <f t="shared" si="19"/>
        <v>1.4034717260390746</v>
      </c>
    </row>
    <row r="299" spans="1:15" x14ac:dyDescent="0.25">
      <c r="A299" s="14" t="s">
        <v>6036</v>
      </c>
      <c r="B299" s="14" t="s">
        <v>603</v>
      </c>
      <c r="C299" s="15" t="s">
        <v>604</v>
      </c>
      <c r="D299" s="16">
        <v>2.2469999999999999E-3</v>
      </c>
      <c r="E299" s="17">
        <v>9.9770000000000003</v>
      </c>
      <c r="F299" s="17">
        <v>8.7149999999999999</v>
      </c>
      <c r="G299" s="18">
        <v>1.2609999999999999</v>
      </c>
      <c r="H299" s="19">
        <v>0.24790000000000001</v>
      </c>
      <c r="I299" s="18">
        <v>5.0880000000000001</v>
      </c>
      <c r="J299" s="20">
        <v>6</v>
      </c>
      <c r="K299" s="19">
        <v>2.0669E-2</v>
      </c>
      <c r="L299" s="21">
        <f t="shared" si="16"/>
        <v>1.684680534741249</v>
      </c>
      <c r="M299" s="21">
        <f t="shared" si="17"/>
        <v>1.2620000000000009</v>
      </c>
      <c r="N299" s="22">
        <f t="shared" si="18"/>
        <v>2.6483969275808712</v>
      </c>
      <c r="O299" s="23">
        <f t="shared" si="19"/>
        <v>2.3982798275822268</v>
      </c>
    </row>
    <row r="300" spans="1:15" x14ac:dyDescent="0.25">
      <c r="A300" s="14" t="s">
        <v>6037</v>
      </c>
      <c r="B300" s="14" t="s">
        <v>601</v>
      </c>
      <c r="C300" s="15" t="s">
        <v>602</v>
      </c>
      <c r="D300" s="16">
        <v>2.2409999999999999E-3</v>
      </c>
      <c r="E300" s="17">
        <v>11.03</v>
      </c>
      <c r="F300" s="17">
        <v>11.7</v>
      </c>
      <c r="G300" s="18">
        <v>-0.67200000000000004</v>
      </c>
      <c r="H300" s="19">
        <v>0.13200000000000001</v>
      </c>
      <c r="I300" s="18">
        <v>5.0910000000000002</v>
      </c>
      <c r="J300" s="20">
        <v>6</v>
      </c>
      <c r="K300" s="19">
        <v>2.0669E-2</v>
      </c>
      <c r="L300" s="21">
        <f t="shared" si="16"/>
        <v>1.684680534741249</v>
      </c>
      <c r="M300" s="21">
        <f t="shared" si="17"/>
        <v>-0.66999999999999893</v>
      </c>
      <c r="N300" s="22">
        <f t="shared" si="18"/>
        <v>2.6495581434649385</v>
      </c>
      <c r="O300" s="23">
        <f t="shared" si="19"/>
        <v>0.62850668726091463</v>
      </c>
    </row>
    <row r="301" spans="1:15" x14ac:dyDescent="0.25">
      <c r="A301" s="14" t="s">
        <v>6038</v>
      </c>
      <c r="B301" s="14" t="s">
        <v>597</v>
      </c>
      <c r="C301" s="15" t="s">
        <v>598</v>
      </c>
      <c r="D301" s="16">
        <v>2.2269999999999998E-3</v>
      </c>
      <c r="E301" s="17">
        <v>9.1739999999999995</v>
      </c>
      <c r="F301" s="17">
        <v>9.423</v>
      </c>
      <c r="G301" s="18">
        <v>-0.249</v>
      </c>
      <c r="H301" s="19">
        <v>4.8849999999999998E-2</v>
      </c>
      <c r="I301" s="18">
        <v>5.0979999999999999</v>
      </c>
      <c r="J301" s="20">
        <v>6</v>
      </c>
      <c r="K301" s="19">
        <v>2.0669E-2</v>
      </c>
      <c r="L301" s="21">
        <f t="shared" si="16"/>
        <v>1.684680534741249</v>
      </c>
      <c r="M301" s="21">
        <f t="shared" si="17"/>
        <v>-0.24900000000000014</v>
      </c>
      <c r="N301" s="22">
        <f t="shared" si="18"/>
        <v>2.6522797829659615</v>
      </c>
      <c r="O301" s="23">
        <f t="shared" si="19"/>
        <v>0.84147948228538039</v>
      </c>
    </row>
    <row r="302" spans="1:15" x14ac:dyDescent="0.25">
      <c r="A302" s="14" t="s">
        <v>6039</v>
      </c>
      <c r="B302" s="14" t="s">
        <v>599</v>
      </c>
      <c r="C302" s="15" t="s">
        <v>600</v>
      </c>
      <c r="D302" s="16">
        <v>2.2369999999999998E-3</v>
      </c>
      <c r="E302" s="17">
        <v>11.36</v>
      </c>
      <c r="F302" s="17">
        <v>12.1</v>
      </c>
      <c r="G302" s="18">
        <v>-0.74339999999999995</v>
      </c>
      <c r="H302" s="19">
        <v>0.14599999999999999</v>
      </c>
      <c r="I302" s="18">
        <v>5.093</v>
      </c>
      <c r="J302" s="20">
        <v>6</v>
      </c>
      <c r="K302" s="19">
        <v>2.0669E-2</v>
      </c>
      <c r="L302" s="21">
        <f t="shared" si="16"/>
        <v>1.684680534741249</v>
      </c>
      <c r="M302" s="21">
        <f t="shared" si="17"/>
        <v>-0.74000000000000166</v>
      </c>
      <c r="N302" s="22">
        <f t="shared" si="18"/>
        <v>2.6503340159033701</v>
      </c>
      <c r="O302" s="23">
        <f t="shared" si="19"/>
        <v>0.59873935230946362</v>
      </c>
    </row>
    <row r="303" spans="1:15" x14ac:dyDescent="0.25">
      <c r="A303" s="14" t="s">
        <v>6040</v>
      </c>
      <c r="B303" s="14" t="s">
        <v>607</v>
      </c>
      <c r="C303" s="15" t="s">
        <v>608</v>
      </c>
      <c r="D303" s="16">
        <v>2.2629999999999998E-3</v>
      </c>
      <c r="E303" s="17">
        <v>9.4</v>
      </c>
      <c r="F303" s="17">
        <v>9.0039999999999996</v>
      </c>
      <c r="G303" s="18">
        <v>0.39579999999999999</v>
      </c>
      <c r="H303" s="19">
        <v>7.7899999999999997E-2</v>
      </c>
      <c r="I303" s="18">
        <v>5.0810000000000004</v>
      </c>
      <c r="J303" s="20">
        <v>6</v>
      </c>
      <c r="K303" s="19">
        <v>2.0702000000000002E-2</v>
      </c>
      <c r="L303" s="21">
        <f t="shared" si="16"/>
        <v>1.6839876957505369</v>
      </c>
      <c r="M303" s="21">
        <f t="shared" si="17"/>
        <v>0.39600000000000118</v>
      </c>
      <c r="N303" s="22">
        <f t="shared" si="18"/>
        <v>2.645315446045271</v>
      </c>
      <c r="O303" s="23">
        <f t="shared" si="19"/>
        <v>1.3158545250290092</v>
      </c>
    </row>
    <row r="304" spans="1:15" x14ac:dyDescent="0.25">
      <c r="A304" s="14" t="s">
        <v>6041</v>
      </c>
      <c r="B304" s="14" t="s">
        <v>609</v>
      </c>
      <c r="C304" s="15" t="s">
        <v>610</v>
      </c>
      <c r="D304" s="16">
        <v>2.2769999999999999E-3</v>
      </c>
      <c r="E304" s="17">
        <v>12.14</v>
      </c>
      <c r="F304" s="17">
        <v>12.5</v>
      </c>
      <c r="G304" s="18">
        <v>-0.35870000000000002</v>
      </c>
      <c r="H304" s="19">
        <v>7.0680000000000007E-2</v>
      </c>
      <c r="I304" s="18">
        <v>5.0750000000000002</v>
      </c>
      <c r="J304" s="20">
        <v>6</v>
      </c>
      <c r="K304" s="19">
        <v>2.0757999999999999E-2</v>
      </c>
      <c r="L304" s="21">
        <f t="shared" si="16"/>
        <v>1.6828144923845643</v>
      </c>
      <c r="M304" s="21">
        <f t="shared" si="17"/>
        <v>-0.36000000000000099</v>
      </c>
      <c r="N304" s="22">
        <f t="shared" si="18"/>
        <v>2.6426369693848568</v>
      </c>
      <c r="O304" s="23">
        <f t="shared" si="19"/>
        <v>0.77916457966049935</v>
      </c>
    </row>
    <row r="305" spans="1:15" x14ac:dyDescent="0.25">
      <c r="A305" s="14" t="s">
        <v>6042</v>
      </c>
      <c r="B305" s="14" t="s">
        <v>611</v>
      </c>
      <c r="C305" s="15" t="s">
        <v>612</v>
      </c>
      <c r="D305" s="16">
        <v>2.3119999999999998E-3</v>
      </c>
      <c r="E305" s="17">
        <v>10.27</v>
      </c>
      <c r="F305" s="17">
        <v>9.5939999999999994</v>
      </c>
      <c r="G305" s="18">
        <v>0.6734</v>
      </c>
      <c r="H305" s="19">
        <v>0.1331</v>
      </c>
      <c r="I305" s="18">
        <v>5.0590000000000002</v>
      </c>
      <c r="J305" s="20">
        <v>6</v>
      </c>
      <c r="K305" s="19">
        <v>2.1009E-2</v>
      </c>
      <c r="L305" s="21">
        <f t="shared" si="16"/>
        <v>1.6775946189323461</v>
      </c>
      <c r="M305" s="21">
        <f t="shared" si="17"/>
        <v>0.67600000000000027</v>
      </c>
      <c r="N305" s="22">
        <f t="shared" si="18"/>
        <v>2.6360121702515085</v>
      </c>
      <c r="O305" s="23">
        <f t="shared" si="19"/>
        <v>1.5977038328982962</v>
      </c>
    </row>
    <row r="306" spans="1:15" x14ac:dyDescent="0.25">
      <c r="A306" s="14" t="s">
        <v>6043</v>
      </c>
      <c r="B306" s="14" t="s">
        <v>613</v>
      </c>
      <c r="C306" s="15" t="s">
        <v>614</v>
      </c>
      <c r="D306" s="16">
        <v>2.3649999999999999E-3</v>
      </c>
      <c r="E306" s="17">
        <v>9.5950000000000006</v>
      </c>
      <c r="F306" s="17">
        <v>10.4</v>
      </c>
      <c r="G306" s="18">
        <v>-0.8075</v>
      </c>
      <c r="H306" s="19">
        <v>0.1603</v>
      </c>
      <c r="I306" s="18">
        <v>5.0359999999999996</v>
      </c>
      <c r="J306" s="20">
        <v>6</v>
      </c>
      <c r="K306" s="19">
        <v>2.1422E-2</v>
      </c>
      <c r="L306" s="21">
        <f t="shared" si="16"/>
        <v>1.6691399850253601</v>
      </c>
      <c r="M306" s="21">
        <f t="shared" si="17"/>
        <v>-0.80499999999999983</v>
      </c>
      <c r="N306" s="22">
        <f t="shared" si="18"/>
        <v>2.6261688549261692</v>
      </c>
      <c r="O306" s="23">
        <f t="shared" si="19"/>
        <v>0.57236208029934244</v>
      </c>
    </row>
    <row r="307" spans="1:15" x14ac:dyDescent="0.25">
      <c r="A307" s="14" t="s">
        <v>6044</v>
      </c>
      <c r="B307" s="14" t="s">
        <v>615</v>
      </c>
      <c r="C307" s="15" t="s">
        <v>616</v>
      </c>
      <c r="D307" s="16">
        <v>2.3779999999999999E-3</v>
      </c>
      <c r="E307" s="17">
        <v>9.84</v>
      </c>
      <c r="F307" s="17">
        <v>9.1549999999999994</v>
      </c>
      <c r="G307" s="18">
        <v>0.68489999999999995</v>
      </c>
      <c r="H307" s="19">
        <v>0.1361</v>
      </c>
      <c r="I307" s="18">
        <v>5.0309999999999997</v>
      </c>
      <c r="J307" s="20">
        <v>6</v>
      </c>
      <c r="K307" s="19">
        <v>2.1467E-2</v>
      </c>
      <c r="L307" s="21">
        <f t="shared" si="16"/>
        <v>1.6682286437090725</v>
      </c>
      <c r="M307" s="21">
        <f t="shared" si="17"/>
        <v>0.68500000000000039</v>
      </c>
      <c r="N307" s="22">
        <f t="shared" si="18"/>
        <v>2.6237881497173268</v>
      </c>
      <c r="O307" s="23">
        <f t="shared" si="19"/>
        <v>1.6077019814863032</v>
      </c>
    </row>
    <row r="308" spans="1:15" x14ac:dyDescent="0.25">
      <c r="A308" s="14" t="s">
        <v>6045</v>
      </c>
      <c r="B308" s="14" t="s">
        <v>617</v>
      </c>
      <c r="C308" s="15" t="s">
        <v>618</v>
      </c>
      <c r="D308" s="16">
        <v>2.395E-3</v>
      </c>
      <c r="E308" s="17">
        <v>12.14</v>
      </c>
      <c r="F308" s="17">
        <v>11.38</v>
      </c>
      <c r="G308" s="18">
        <v>0.75880000000000003</v>
      </c>
      <c r="H308" s="19">
        <v>0.151</v>
      </c>
      <c r="I308" s="18">
        <v>5.024</v>
      </c>
      <c r="J308" s="20">
        <v>6</v>
      </c>
      <c r="K308" s="19">
        <v>2.1545999999999999E-2</v>
      </c>
      <c r="L308" s="21">
        <f t="shared" si="16"/>
        <v>1.6666333444902832</v>
      </c>
      <c r="M308" s="21">
        <f t="shared" si="17"/>
        <v>0.75999999999999879</v>
      </c>
      <c r="N308" s="22">
        <f t="shared" si="18"/>
        <v>2.6206944822494176</v>
      </c>
      <c r="O308" s="23">
        <f t="shared" si="19"/>
        <v>1.6934906247250527</v>
      </c>
    </row>
    <row r="309" spans="1:15" x14ac:dyDescent="0.25">
      <c r="A309" s="14" t="s">
        <v>6046</v>
      </c>
      <c r="B309" s="14" t="s">
        <v>619</v>
      </c>
      <c r="C309" s="15" t="s">
        <v>620</v>
      </c>
      <c r="D309" s="16">
        <v>2.4020000000000001E-3</v>
      </c>
      <c r="E309" s="17">
        <v>10.1</v>
      </c>
      <c r="F309" s="17">
        <v>9.2829999999999995</v>
      </c>
      <c r="G309" s="18">
        <v>0.82099999999999995</v>
      </c>
      <c r="H309" s="19">
        <v>0.16350000000000001</v>
      </c>
      <c r="I309" s="18">
        <v>5.0209999999999999</v>
      </c>
      <c r="J309" s="20">
        <v>6</v>
      </c>
      <c r="K309" s="19">
        <v>2.1545999999999999E-2</v>
      </c>
      <c r="L309" s="21">
        <f t="shared" si="16"/>
        <v>1.6666333444902832</v>
      </c>
      <c r="M309" s="21">
        <f t="shared" si="17"/>
        <v>0.81699999999999962</v>
      </c>
      <c r="N309" s="22">
        <f t="shared" si="18"/>
        <v>2.6194269969331128</v>
      </c>
      <c r="O309" s="23">
        <f t="shared" si="19"/>
        <v>1.7617387482539579</v>
      </c>
    </row>
    <row r="310" spans="1:15" x14ac:dyDescent="0.25">
      <c r="A310" s="14" t="s">
        <v>6047</v>
      </c>
      <c r="B310" s="14" t="s">
        <v>621</v>
      </c>
      <c r="C310" s="15" t="s">
        <v>622</v>
      </c>
      <c r="D310" s="16">
        <v>2.418E-3</v>
      </c>
      <c r="E310" s="17">
        <v>9.3149999999999995</v>
      </c>
      <c r="F310" s="17">
        <v>10.11</v>
      </c>
      <c r="G310" s="18">
        <v>-0.79569999999999996</v>
      </c>
      <c r="H310" s="19">
        <v>0.15870000000000001</v>
      </c>
      <c r="I310" s="18">
        <v>5.0140000000000002</v>
      </c>
      <c r="J310" s="20">
        <v>6</v>
      </c>
      <c r="K310" s="19">
        <v>2.1611999999999999E-2</v>
      </c>
      <c r="L310" s="21">
        <f t="shared" si="16"/>
        <v>1.6653050411328416</v>
      </c>
      <c r="M310" s="21">
        <f t="shared" si="17"/>
        <v>-0.79500000000000071</v>
      </c>
      <c r="N310" s="22">
        <f t="shared" si="18"/>
        <v>2.616543703475247</v>
      </c>
      <c r="O310" s="23">
        <f t="shared" si="19"/>
        <v>0.57634317339943186</v>
      </c>
    </row>
    <row r="311" spans="1:15" x14ac:dyDescent="0.25">
      <c r="A311" s="14" t="s">
        <v>6048</v>
      </c>
      <c r="B311" s="14" t="s">
        <v>623</v>
      </c>
      <c r="C311" s="15" t="s">
        <v>624</v>
      </c>
      <c r="D311" s="16">
        <v>2.47E-3</v>
      </c>
      <c r="E311" s="17">
        <v>9.8219999999999992</v>
      </c>
      <c r="F311" s="17">
        <v>9.2070000000000007</v>
      </c>
      <c r="G311" s="18">
        <v>0.61480000000000001</v>
      </c>
      <c r="H311" s="19">
        <v>0.1231</v>
      </c>
      <c r="I311" s="18">
        <v>4.9930000000000003</v>
      </c>
      <c r="J311" s="20">
        <v>6</v>
      </c>
      <c r="K311" s="19">
        <v>2.2008E-2</v>
      </c>
      <c r="L311" s="21">
        <f t="shared" si="16"/>
        <v>1.6574194226183727</v>
      </c>
      <c r="M311" s="21">
        <f t="shared" si="17"/>
        <v>0.61499999999999899</v>
      </c>
      <c r="N311" s="22">
        <f t="shared" si="18"/>
        <v>2.6073030467403342</v>
      </c>
      <c r="O311" s="23">
        <f t="shared" si="19"/>
        <v>1.5315579970943818</v>
      </c>
    </row>
    <row r="312" spans="1:15" x14ac:dyDescent="0.25">
      <c r="A312" s="14" t="s">
        <v>6049</v>
      </c>
      <c r="B312" s="14" t="s">
        <v>627</v>
      </c>
      <c r="C312" s="15" t="s">
        <v>628</v>
      </c>
      <c r="D312" s="16">
        <v>2.5249999999999999E-3</v>
      </c>
      <c r="E312" s="17">
        <v>9.6110000000000007</v>
      </c>
      <c r="F312" s="17">
        <v>9.2639999999999993</v>
      </c>
      <c r="G312" s="18">
        <v>0.34610000000000002</v>
      </c>
      <c r="H312" s="19">
        <v>6.9629999999999997E-2</v>
      </c>
      <c r="I312" s="18">
        <v>4.9710000000000001</v>
      </c>
      <c r="J312" s="20">
        <v>6</v>
      </c>
      <c r="K312" s="19">
        <v>2.2329999999999999E-2</v>
      </c>
      <c r="L312" s="21">
        <f t="shared" si="16"/>
        <v>1.6511112769285621</v>
      </c>
      <c r="M312" s="21">
        <f t="shared" si="17"/>
        <v>0.34700000000000208</v>
      </c>
      <c r="N312" s="22">
        <f t="shared" si="18"/>
        <v>2.5977386175453194</v>
      </c>
      <c r="O312" s="23">
        <f t="shared" si="19"/>
        <v>1.2719130067435755</v>
      </c>
    </row>
    <row r="313" spans="1:15" x14ac:dyDescent="0.25">
      <c r="A313" s="14" t="s">
        <v>6050</v>
      </c>
      <c r="B313" s="14" t="s">
        <v>625</v>
      </c>
      <c r="C313" s="15" t="s">
        <v>626</v>
      </c>
      <c r="D313" s="16">
        <v>2.5170000000000001E-3</v>
      </c>
      <c r="E313" s="17">
        <v>10.39</v>
      </c>
      <c r="F313" s="17">
        <v>9.8949999999999996</v>
      </c>
      <c r="G313" s="18">
        <v>0.49220000000000003</v>
      </c>
      <c r="H313" s="19">
        <v>9.894E-2</v>
      </c>
      <c r="I313" s="18">
        <v>4.9740000000000002</v>
      </c>
      <c r="J313" s="20">
        <v>6</v>
      </c>
      <c r="K313" s="19">
        <v>2.2329999999999999E-2</v>
      </c>
      <c r="L313" s="21">
        <f t="shared" si="16"/>
        <v>1.6511112769285621</v>
      </c>
      <c r="M313" s="21">
        <f t="shared" si="17"/>
        <v>0.49500000000000055</v>
      </c>
      <c r="N313" s="22">
        <f t="shared" si="18"/>
        <v>2.599116784451637</v>
      </c>
      <c r="O313" s="23">
        <f t="shared" si="19"/>
        <v>1.4093207551420199</v>
      </c>
    </row>
    <row r="314" spans="1:15" x14ac:dyDescent="0.25">
      <c r="A314" s="14" t="s">
        <v>6051</v>
      </c>
      <c r="B314" s="14" t="s">
        <v>629</v>
      </c>
      <c r="C314" s="15" t="s">
        <v>630</v>
      </c>
      <c r="D314" s="16">
        <v>2.5300000000000001E-3</v>
      </c>
      <c r="E314" s="17">
        <v>10.68</v>
      </c>
      <c r="F314" s="17">
        <v>10.96</v>
      </c>
      <c r="G314" s="18">
        <v>-0.27360000000000001</v>
      </c>
      <c r="H314" s="19">
        <v>5.5070000000000001E-2</v>
      </c>
      <c r="I314" s="18">
        <v>4.9690000000000003</v>
      </c>
      <c r="J314" s="20">
        <v>6</v>
      </c>
      <c r="K314" s="19">
        <v>2.2329999999999999E-2</v>
      </c>
      <c r="L314" s="21">
        <f t="shared" si="16"/>
        <v>1.6511112769285621</v>
      </c>
      <c r="M314" s="21">
        <f t="shared" si="17"/>
        <v>-0.28000000000000064</v>
      </c>
      <c r="N314" s="22">
        <f t="shared" si="18"/>
        <v>2.596879478824182</v>
      </c>
      <c r="O314" s="23">
        <f t="shared" si="19"/>
        <v>0.82359101726757278</v>
      </c>
    </row>
    <row r="315" spans="1:15" x14ac:dyDescent="0.25">
      <c r="A315" s="14" t="s">
        <v>6052</v>
      </c>
      <c r="B315" s="14" t="s">
        <v>635</v>
      </c>
      <c r="C315" s="15" t="s">
        <v>636</v>
      </c>
      <c r="D315" s="16">
        <v>2.5820000000000001E-3</v>
      </c>
      <c r="E315" s="17">
        <v>9.2949999999999999</v>
      </c>
      <c r="F315" s="17">
        <v>8.6869999999999994</v>
      </c>
      <c r="G315" s="18">
        <v>0.60829999999999995</v>
      </c>
      <c r="H315" s="19">
        <v>0.1229</v>
      </c>
      <c r="I315" s="18">
        <v>4.9480000000000004</v>
      </c>
      <c r="J315" s="20">
        <v>6</v>
      </c>
      <c r="K315" s="19">
        <v>2.2477E-2</v>
      </c>
      <c r="L315" s="21">
        <f t="shared" si="16"/>
        <v>1.6482616544192406</v>
      </c>
      <c r="M315" s="21">
        <f t="shared" si="17"/>
        <v>0.60799999999999965</v>
      </c>
      <c r="N315" s="22">
        <f t="shared" si="18"/>
        <v>2.5880437620695984</v>
      </c>
      <c r="O315" s="23">
        <f t="shared" si="19"/>
        <v>1.5241448303397689</v>
      </c>
    </row>
    <row r="316" spans="1:15" x14ac:dyDescent="0.25">
      <c r="A316" s="14" t="s">
        <v>6053</v>
      </c>
      <c r="B316" s="14" t="s">
        <v>639</v>
      </c>
      <c r="C316" s="15" t="s">
        <v>640</v>
      </c>
      <c r="D316" s="16">
        <v>2.591E-3</v>
      </c>
      <c r="E316" s="17">
        <v>12.1</v>
      </c>
      <c r="F316" s="17">
        <v>12.76</v>
      </c>
      <c r="G316" s="18">
        <v>-0.66669999999999996</v>
      </c>
      <c r="H316" s="19">
        <v>0.1348</v>
      </c>
      <c r="I316" s="18">
        <v>4.9450000000000003</v>
      </c>
      <c r="J316" s="20">
        <v>6</v>
      </c>
      <c r="K316" s="19">
        <v>2.2477E-2</v>
      </c>
      <c r="L316" s="21">
        <f t="shared" si="16"/>
        <v>1.6482616544192406</v>
      </c>
      <c r="M316" s="21">
        <f t="shared" si="17"/>
        <v>-0.66</v>
      </c>
      <c r="N316" s="22">
        <f t="shared" si="18"/>
        <v>2.5865325870141747</v>
      </c>
      <c r="O316" s="23">
        <f t="shared" si="19"/>
        <v>0.63287829698513998</v>
      </c>
    </row>
    <row r="317" spans="1:15" x14ac:dyDescent="0.25">
      <c r="A317" s="14" t="s">
        <v>6054</v>
      </c>
      <c r="B317" s="14" t="s">
        <v>637</v>
      </c>
      <c r="C317" s="15" t="s">
        <v>638</v>
      </c>
      <c r="D317" s="16">
        <v>2.5829999999999998E-3</v>
      </c>
      <c r="E317" s="17">
        <v>12.08</v>
      </c>
      <c r="F317" s="17">
        <v>11.52</v>
      </c>
      <c r="G317" s="18">
        <v>0.55720000000000003</v>
      </c>
      <c r="H317" s="19">
        <v>0.11260000000000001</v>
      </c>
      <c r="I317" s="18">
        <v>4.9480000000000004</v>
      </c>
      <c r="J317" s="20">
        <v>6</v>
      </c>
      <c r="K317" s="19">
        <v>2.2477E-2</v>
      </c>
      <c r="L317" s="21">
        <f t="shared" si="16"/>
        <v>1.6482616544192406</v>
      </c>
      <c r="M317" s="21">
        <f t="shared" si="17"/>
        <v>0.55999999999999994</v>
      </c>
      <c r="N317" s="22">
        <f t="shared" si="18"/>
        <v>2.5878755938266829</v>
      </c>
      <c r="O317" s="23">
        <f t="shared" si="19"/>
        <v>1.4742692172911012</v>
      </c>
    </row>
    <row r="318" spans="1:15" x14ac:dyDescent="0.25">
      <c r="A318" s="14" t="s">
        <v>6055</v>
      </c>
      <c r="B318" s="14" t="s">
        <v>643</v>
      </c>
      <c r="C318" s="15" t="s">
        <v>644</v>
      </c>
      <c r="D318" s="16">
        <v>2.604E-3</v>
      </c>
      <c r="E318" s="17">
        <v>12.08</v>
      </c>
      <c r="F318" s="17">
        <v>12.47</v>
      </c>
      <c r="G318" s="18">
        <v>-0.39800000000000002</v>
      </c>
      <c r="H318" s="19">
        <v>8.0560000000000007E-2</v>
      </c>
      <c r="I318" s="18">
        <v>4.9400000000000004</v>
      </c>
      <c r="J318" s="20">
        <v>6</v>
      </c>
      <c r="K318" s="19">
        <v>2.2477E-2</v>
      </c>
      <c r="L318" s="21">
        <f t="shared" si="16"/>
        <v>1.6482616544192406</v>
      </c>
      <c r="M318" s="21">
        <f t="shared" si="17"/>
        <v>-0.3900000000000009</v>
      </c>
      <c r="N318" s="22">
        <f t="shared" si="18"/>
        <v>2.5843590201038453</v>
      </c>
      <c r="O318" s="23">
        <f t="shared" si="19"/>
        <v>0.76312960448027911</v>
      </c>
    </row>
    <row r="319" spans="1:15" x14ac:dyDescent="0.25">
      <c r="A319" s="14" t="s">
        <v>6056</v>
      </c>
      <c r="B319" s="14" t="s">
        <v>633</v>
      </c>
      <c r="C319" s="15" t="s">
        <v>634</v>
      </c>
      <c r="D319" s="16">
        <v>2.5690000000000001E-3</v>
      </c>
      <c r="E319" s="17">
        <v>10.49</v>
      </c>
      <c r="F319" s="17">
        <v>11.13</v>
      </c>
      <c r="G319" s="18">
        <v>-0.63649999999999995</v>
      </c>
      <c r="H319" s="19">
        <v>0.1285</v>
      </c>
      <c r="I319" s="18">
        <v>4.9539999999999997</v>
      </c>
      <c r="J319" s="20">
        <v>6</v>
      </c>
      <c r="K319" s="19">
        <v>2.2477E-2</v>
      </c>
      <c r="L319" s="21">
        <f t="shared" si="16"/>
        <v>1.6482616544192406</v>
      </c>
      <c r="M319" s="21">
        <f t="shared" si="17"/>
        <v>-0.64000000000000024</v>
      </c>
      <c r="N319" s="22">
        <f t="shared" si="18"/>
        <v>2.5902358957336538</v>
      </c>
      <c r="O319" s="23">
        <f t="shared" si="19"/>
        <v>0.64171294878145202</v>
      </c>
    </row>
    <row r="320" spans="1:15" x14ac:dyDescent="0.25">
      <c r="A320" s="14" t="s">
        <v>6057</v>
      </c>
      <c r="B320" s="14" t="s">
        <v>641</v>
      </c>
      <c r="C320" s="15" t="s">
        <v>642</v>
      </c>
      <c r="D320" s="16">
        <v>2.5969999999999999E-3</v>
      </c>
      <c r="E320" s="17">
        <v>7.8330000000000002</v>
      </c>
      <c r="F320" s="17">
        <v>7.3129999999999997</v>
      </c>
      <c r="G320" s="18">
        <v>0.51910000000000001</v>
      </c>
      <c r="H320" s="19">
        <v>0.105</v>
      </c>
      <c r="I320" s="18">
        <v>4.9429999999999996</v>
      </c>
      <c r="J320" s="20">
        <v>6</v>
      </c>
      <c r="K320" s="19">
        <v>2.2477E-2</v>
      </c>
      <c r="L320" s="21">
        <f t="shared" si="16"/>
        <v>1.6482616544192406</v>
      </c>
      <c r="M320" s="21">
        <f t="shared" si="17"/>
        <v>0.51999999999999968</v>
      </c>
      <c r="N320" s="22">
        <f t="shared" si="18"/>
        <v>2.5855280503706974</v>
      </c>
      <c r="O320" s="23">
        <f t="shared" si="19"/>
        <v>1.4339552480158271</v>
      </c>
    </row>
    <row r="321" spans="1:15" x14ac:dyDescent="0.25">
      <c r="A321" s="14" t="s">
        <v>6058</v>
      </c>
      <c r="B321" s="14" t="s">
        <v>631</v>
      </c>
      <c r="C321" s="15" t="s">
        <v>632</v>
      </c>
      <c r="D321" s="16">
        <v>2.5609999999999999E-3</v>
      </c>
      <c r="E321" s="17">
        <v>9.3710000000000004</v>
      </c>
      <c r="F321" s="17">
        <v>7.9039999999999999</v>
      </c>
      <c r="G321" s="18">
        <v>1.4670000000000001</v>
      </c>
      <c r="H321" s="19">
        <v>0.29599999999999999</v>
      </c>
      <c r="I321" s="18">
        <v>4.9569999999999999</v>
      </c>
      <c r="J321" s="20">
        <v>6</v>
      </c>
      <c r="K321" s="19">
        <v>2.2477E-2</v>
      </c>
      <c r="L321" s="21">
        <f t="shared" si="16"/>
        <v>1.6482616544192406</v>
      </c>
      <c r="M321" s="21">
        <f t="shared" si="17"/>
        <v>1.4670000000000007</v>
      </c>
      <c r="N321" s="22">
        <f t="shared" si="18"/>
        <v>2.5915904215315702</v>
      </c>
      <c r="O321" s="23">
        <f t="shared" si="19"/>
        <v>2.7644644130571665</v>
      </c>
    </row>
    <row r="322" spans="1:15" x14ac:dyDescent="0.25">
      <c r="A322" s="14" t="s">
        <v>6059</v>
      </c>
      <c r="B322" s="14" t="s">
        <v>651</v>
      </c>
      <c r="C322" s="15" t="s">
        <v>652</v>
      </c>
      <c r="D322" s="16">
        <v>2.6440000000000001E-3</v>
      </c>
      <c r="E322" s="17">
        <v>11.47</v>
      </c>
      <c r="F322" s="17">
        <v>11.87</v>
      </c>
      <c r="G322" s="18">
        <v>-0.39429999999999998</v>
      </c>
      <c r="H322" s="19">
        <v>8.0060000000000006E-2</v>
      </c>
      <c r="I322" s="18">
        <v>4.9249999999999998</v>
      </c>
      <c r="J322" s="20">
        <v>6</v>
      </c>
      <c r="K322" s="19">
        <v>2.2488000000000001E-2</v>
      </c>
      <c r="L322" s="21">
        <f t="shared" ref="L322:L385" si="20">-LOG(K322,10)</f>
        <v>1.6480491674006155</v>
      </c>
      <c r="M322" s="21">
        <f t="shared" ref="M322:M385" si="21">LOG(O322,2)</f>
        <v>-0.39999999999999758</v>
      </c>
      <c r="N322" s="22">
        <f t="shared" ref="N322:N385" si="22">-LOG(D322,10)</f>
        <v>2.5777385491863969</v>
      </c>
      <c r="O322" s="23">
        <f t="shared" ref="O322:O385" si="23">((2^E322)/(2^F322))</f>
        <v>0.75785828325520033</v>
      </c>
    </row>
    <row r="323" spans="1:15" x14ac:dyDescent="0.25">
      <c r="A323" s="14" t="s">
        <v>6060</v>
      </c>
      <c r="B323" s="14" t="s">
        <v>645</v>
      </c>
      <c r="C323" s="15" t="s">
        <v>646</v>
      </c>
      <c r="D323" s="16">
        <v>2.6159999999999998E-3</v>
      </c>
      <c r="E323" s="17">
        <v>10.57</v>
      </c>
      <c r="F323" s="17">
        <v>11.18</v>
      </c>
      <c r="G323" s="18">
        <v>-0.61360000000000003</v>
      </c>
      <c r="H323" s="19">
        <v>0.12429999999999999</v>
      </c>
      <c r="I323" s="18">
        <v>4.9359999999999999</v>
      </c>
      <c r="J323" s="20">
        <v>6</v>
      </c>
      <c r="K323" s="19">
        <v>2.2488000000000001E-2</v>
      </c>
      <c r="L323" s="21">
        <f t="shared" si="20"/>
        <v>1.6480491674006155</v>
      </c>
      <c r="M323" s="21">
        <f t="shared" si="21"/>
        <v>-0.60999999999999921</v>
      </c>
      <c r="N323" s="22">
        <f t="shared" si="22"/>
        <v>2.5823622603477703</v>
      </c>
      <c r="O323" s="23">
        <f t="shared" si="23"/>
        <v>0.655196701929182</v>
      </c>
    </row>
    <row r="324" spans="1:15" x14ac:dyDescent="0.25">
      <c r="A324" s="14" t="s">
        <v>6061</v>
      </c>
      <c r="B324" s="14" t="s">
        <v>653</v>
      </c>
      <c r="C324" s="15" t="s">
        <v>654</v>
      </c>
      <c r="D324" s="16">
        <v>2.6459999999999999E-3</v>
      </c>
      <c r="E324" s="17">
        <v>9.6549999999999994</v>
      </c>
      <c r="F324" s="17">
        <v>8.9809999999999999</v>
      </c>
      <c r="G324" s="18">
        <v>0.67400000000000004</v>
      </c>
      <c r="H324" s="19">
        <v>0.13689999999999999</v>
      </c>
      <c r="I324" s="18">
        <v>4.9240000000000004</v>
      </c>
      <c r="J324" s="20">
        <v>6</v>
      </c>
      <c r="K324" s="19">
        <v>2.2488000000000001E-2</v>
      </c>
      <c r="L324" s="21">
        <f t="shared" si="20"/>
        <v>1.6480491674006155</v>
      </c>
      <c r="M324" s="21">
        <f t="shared" si="21"/>
        <v>0.67399999999999938</v>
      </c>
      <c r="N324" s="22">
        <f t="shared" si="22"/>
        <v>2.5774101601485175</v>
      </c>
      <c r="O324" s="23">
        <f t="shared" si="23"/>
        <v>1.5954904796180651</v>
      </c>
    </row>
    <row r="325" spans="1:15" x14ac:dyDescent="0.25">
      <c r="A325" s="14" t="s">
        <v>6062</v>
      </c>
      <c r="B325" s="14" t="s">
        <v>647</v>
      </c>
      <c r="C325" s="15" t="s">
        <v>648</v>
      </c>
      <c r="D325" s="16">
        <v>2.627E-3</v>
      </c>
      <c r="E325" s="17">
        <v>10.62</v>
      </c>
      <c r="F325" s="17">
        <v>9.9039999999999999</v>
      </c>
      <c r="G325" s="18">
        <v>0.7137</v>
      </c>
      <c r="H325" s="19">
        <v>0.1447</v>
      </c>
      <c r="I325" s="18">
        <v>4.931</v>
      </c>
      <c r="J325" s="20">
        <v>6</v>
      </c>
      <c r="K325" s="19">
        <v>2.2488000000000001E-2</v>
      </c>
      <c r="L325" s="21">
        <f t="shared" si="20"/>
        <v>1.6480491674006155</v>
      </c>
      <c r="M325" s="21">
        <f t="shared" si="21"/>
        <v>0.71599999999999919</v>
      </c>
      <c r="N325" s="22">
        <f t="shared" si="22"/>
        <v>2.5805399272139296</v>
      </c>
      <c r="O325" s="23">
        <f t="shared" si="23"/>
        <v>1.6426214015041307</v>
      </c>
    </row>
    <row r="326" spans="1:15" x14ac:dyDescent="0.25">
      <c r="A326" s="14" t="s">
        <v>6063</v>
      </c>
      <c r="B326" s="14" t="s">
        <v>649</v>
      </c>
      <c r="C326" s="15" t="s">
        <v>650</v>
      </c>
      <c r="D326" s="16">
        <v>2.6359999999999999E-3</v>
      </c>
      <c r="E326" s="17">
        <v>7.6920000000000002</v>
      </c>
      <c r="F326" s="17">
        <v>8.2520000000000007</v>
      </c>
      <c r="G326" s="18">
        <v>-0.56030000000000002</v>
      </c>
      <c r="H326" s="19">
        <v>0.1137</v>
      </c>
      <c r="I326" s="18">
        <v>4.9279999999999999</v>
      </c>
      <c r="J326" s="20">
        <v>6</v>
      </c>
      <c r="K326" s="19">
        <v>2.2488000000000001E-2</v>
      </c>
      <c r="L326" s="21">
        <f t="shared" si="20"/>
        <v>1.6480491674006155</v>
      </c>
      <c r="M326" s="21">
        <f t="shared" si="21"/>
        <v>-0.55999999999999994</v>
      </c>
      <c r="N326" s="22">
        <f t="shared" si="22"/>
        <v>2.5790545940780278</v>
      </c>
      <c r="O326" s="23">
        <f t="shared" si="23"/>
        <v>0.678302163723836</v>
      </c>
    </row>
    <row r="327" spans="1:15" x14ac:dyDescent="0.25">
      <c r="A327" s="14" t="s">
        <v>6064</v>
      </c>
      <c r="B327" s="14" t="s">
        <v>661</v>
      </c>
      <c r="C327" s="15" t="s">
        <v>662</v>
      </c>
      <c r="D327" s="16">
        <v>2.6840000000000002E-3</v>
      </c>
      <c r="E327" s="17">
        <v>10.93</v>
      </c>
      <c r="F327" s="17">
        <v>11.46</v>
      </c>
      <c r="G327" s="18">
        <v>-0.53359999999999996</v>
      </c>
      <c r="H327" s="19">
        <v>0.1087</v>
      </c>
      <c r="I327" s="18">
        <v>4.91</v>
      </c>
      <c r="J327" s="20">
        <v>6</v>
      </c>
      <c r="K327" s="19">
        <v>2.2532E-2</v>
      </c>
      <c r="L327" s="21">
        <f t="shared" si="20"/>
        <v>1.6472002574366869</v>
      </c>
      <c r="M327" s="21">
        <f t="shared" si="21"/>
        <v>-0.52999999999999992</v>
      </c>
      <c r="N327" s="22">
        <f t="shared" si="22"/>
        <v>2.5712174885030454</v>
      </c>
      <c r="O327" s="23">
        <f t="shared" si="23"/>
        <v>0.69255473405546242</v>
      </c>
    </row>
    <row r="328" spans="1:15" x14ac:dyDescent="0.25">
      <c r="A328" s="14" t="s">
        <v>6065</v>
      </c>
      <c r="B328" s="14" t="s">
        <v>657</v>
      </c>
      <c r="C328" s="15" t="s">
        <v>658</v>
      </c>
      <c r="D328" s="16">
        <v>2.6749999999999999E-3</v>
      </c>
      <c r="E328" s="17">
        <v>9.343</v>
      </c>
      <c r="F328" s="17">
        <v>8.9659999999999993</v>
      </c>
      <c r="G328" s="18">
        <v>0.37680000000000002</v>
      </c>
      <c r="H328" s="19">
        <v>7.6700000000000004E-2</v>
      </c>
      <c r="I328" s="18">
        <v>4.9130000000000003</v>
      </c>
      <c r="J328" s="20">
        <v>6</v>
      </c>
      <c r="K328" s="19">
        <v>2.2532E-2</v>
      </c>
      <c r="L328" s="21">
        <f t="shared" si="20"/>
        <v>1.6472002574366869</v>
      </c>
      <c r="M328" s="21">
        <f t="shared" si="21"/>
        <v>0.37700000000000067</v>
      </c>
      <c r="N328" s="22">
        <f t="shared" si="22"/>
        <v>2.5726762136427523</v>
      </c>
      <c r="O328" s="23">
        <f t="shared" si="23"/>
        <v>1.2986386027298844</v>
      </c>
    </row>
    <row r="329" spans="1:15" x14ac:dyDescent="0.25">
      <c r="A329" s="14" t="s">
        <v>6066</v>
      </c>
      <c r="B329" s="14" t="s">
        <v>659</v>
      </c>
      <c r="C329" s="15" t="s">
        <v>660</v>
      </c>
      <c r="D329" s="16">
        <v>2.6809999999999998E-3</v>
      </c>
      <c r="E329" s="17">
        <v>9.9640000000000004</v>
      </c>
      <c r="F329" s="17">
        <v>9.5909999999999993</v>
      </c>
      <c r="G329" s="18">
        <v>0.37340000000000001</v>
      </c>
      <c r="H329" s="19">
        <v>7.603E-2</v>
      </c>
      <c r="I329" s="18">
        <v>4.9109999999999996</v>
      </c>
      <c r="J329" s="20">
        <v>6</v>
      </c>
      <c r="K329" s="19">
        <v>2.2532E-2</v>
      </c>
      <c r="L329" s="21">
        <f t="shared" si="20"/>
        <v>1.6472002574366869</v>
      </c>
      <c r="M329" s="21">
        <f t="shared" si="21"/>
        <v>0.37300000000000139</v>
      </c>
      <c r="N329" s="22">
        <f t="shared" si="22"/>
        <v>2.5717031860171202</v>
      </c>
      <c r="O329" s="23">
        <f t="shared" si="23"/>
        <v>1.2950429988544263</v>
      </c>
    </row>
    <row r="330" spans="1:15" x14ac:dyDescent="0.25">
      <c r="A330" s="14" t="s">
        <v>6067</v>
      </c>
      <c r="B330" s="14" t="s">
        <v>655</v>
      </c>
      <c r="C330" s="15" t="s">
        <v>656</v>
      </c>
      <c r="D330" s="16">
        <v>2.673E-3</v>
      </c>
      <c r="E330" s="17">
        <v>8.6880000000000006</v>
      </c>
      <c r="F330" s="17">
        <v>8.2070000000000007</v>
      </c>
      <c r="G330" s="18">
        <v>0.48060000000000003</v>
      </c>
      <c r="H330" s="19">
        <v>9.7799999999999998E-2</v>
      </c>
      <c r="I330" s="18">
        <v>4.9139999999999997</v>
      </c>
      <c r="J330" s="20">
        <v>6</v>
      </c>
      <c r="K330" s="19">
        <v>2.2532E-2</v>
      </c>
      <c r="L330" s="21">
        <f t="shared" si="20"/>
        <v>1.6472002574366869</v>
      </c>
      <c r="M330" s="21">
        <f t="shared" si="21"/>
        <v>0.48099999999999965</v>
      </c>
      <c r="N330" s="22">
        <f t="shared" si="22"/>
        <v>2.5730010412434625</v>
      </c>
      <c r="O330" s="23">
        <f t="shared" si="23"/>
        <v>1.3957107641221662</v>
      </c>
    </row>
    <row r="331" spans="1:15" x14ac:dyDescent="0.25">
      <c r="A331" s="14" t="s">
        <v>6068</v>
      </c>
      <c r="B331" s="14" t="s">
        <v>663</v>
      </c>
      <c r="C331" s="15" t="s">
        <v>664</v>
      </c>
      <c r="D331" s="16">
        <v>2.7200000000000002E-3</v>
      </c>
      <c r="E331" s="17">
        <v>12.46</v>
      </c>
      <c r="F331" s="17">
        <v>13.97</v>
      </c>
      <c r="G331" s="18">
        <v>-1.5109999999999999</v>
      </c>
      <c r="H331" s="19">
        <v>0.30859999999999999</v>
      </c>
      <c r="I331" s="18">
        <v>4.8970000000000002</v>
      </c>
      <c r="J331" s="20">
        <v>6</v>
      </c>
      <c r="K331" s="19">
        <v>2.2772000000000001E-2</v>
      </c>
      <c r="L331" s="21">
        <f t="shared" si="20"/>
        <v>1.6425988248604897</v>
      </c>
      <c r="M331" s="21">
        <f t="shared" si="21"/>
        <v>-1.509999999999998</v>
      </c>
      <c r="N331" s="22">
        <f t="shared" si="22"/>
        <v>2.5654310959658009</v>
      </c>
      <c r="O331" s="23">
        <f t="shared" si="23"/>
        <v>0.35111121893449976</v>
      </c>
    </row>
    <row r="332" spans="1:15" x14ac:dyDescent="0.25">
      <c r="A332" s="14" t="s">
        <v>6069</v>
      </c>
      <c r="B332" s="14" t="s">
        <v>665</v>
      </c>
      <c r="C332" s="15" t="s">
        <v>666</v>
      </c>
      <c r="D332" s="16">
        <v>2.7409999999999999E-3</v>
      </c>
      <c r="E332" s="17">
        <v>7.5039999999999996</v>
      </c>
      <c r="F332" s="17">
        <v>7.0789999999999997</v>
      </c>
      <c r="G332" s="18">
        <v>0.42520000000000002</v>
      </c>
      <c r="H332" s="19">
        <v>8.6959999999999996E-2</v>
      </c>
      <c r="I332" s="18">
        <v>4.8890000000000002</v>
      </c>
      <c r="J332" s="20">
        <v>6</v>
      </c>
      <c r="K332" s="19">
        <v>2.2873999999999999E-2</v>
      </c>
      <c r="L332" s="21">
        <f t="shared" si="20"/>
        <v>1.6406578832276324</v>
      </c>
      <c r="M332" s="21">
        <f t="shared" si="21"/>
        <v>0.4249999999999991</v>
      </c>
      <c r="N332" s="22">
        <f t="shared" si="22"/>
        <v>2.5620909644605017</v>
      </c>
      <c r="O332" s="23">
        <f t="shared" si="23"/>
        <v>1.3425725027802626</v>
      </c>
    </row>
    <row r="333" spans="1:15" x14ac:dyDescent="0.25">
      <c r="A333" s="14" t="s">
        <v>6070</v>
      </c>
      <c r="B333" s="14" t="s">
        <v>667</v>
      </c>
      <c r="C333" s="15" t="s">
        <v>668</v>
      </c>
      <c r="D333" s="16">
        <v>2.771E-3</v>
      </c>
      <c r="E333" s="17">
        <v>9.609</v>
      </c>
      <c r="F333" s="17">
        <v>10.199999999999999</v>
      </c>
      <c r="G333" s="18">
        <v>-0.59409999999999996</v>
      </c>
      <c r="H333" s="19">
        <v>0.12180000000000001</v>
      </c>
      <c r="I333" s="18">
        <v>4.8780000000000001</v>
      </c>
      <c r="J333" s="20">
        <v>6</v>
      </c>
      <c r="K333" s="19">
        <v>2.2998000000000001E-2</v>
      </c>
      <c r="L333" s="21">
        <f t="shared" si="20"/>
        <v>1.6383099303620041</v>
      </c>
      <c r="M333" s="21">
        <f t="shared" si="21"/>
        <v>-0.59099999999999897</v>
      </c>
      <c r="N333" s="22">
        <f t="shared" si="22"/>
        <v>2.5573634742177682</v>
      </c>
      <c r="O333" s="23">
        <f t="shared" si="23"/>
        <v>0.6638825791912194</v>
      </c>
    </row>
    <row r="334" spans="1:15" x14ac:dyDescent="0.25">
      <c r="A334" s="14" t="s">
        <v>6071</v>
      </c>
      <c r="B334" s="14" t="s">
        <v>671</v>
      </c>
      <c r="C334" s="15" t="s">
        <v>672</v>
      </c>
      <c r="D334" s="16">
        <v>2.7929999999999999E-3</v>
      </c>
      <c r="E334" s="17">
        <v>11.66</v>
      </c>
      <c r="F334" s="17">
        <v>12.06</v>
      </c>
      <c r="G334" s="18">
        <v>-0.40129999999999999</v>
      </c>
      <c r="H334" s="19">
        <v>8.2390000000000005E-2</v>
      </c>
      <c r="I334" s="18">
        <v>4.8710000000000004</v>
      </c>
      <c r="J334" s="20">
        <v>6</v>
      </c>
      <c r="K334" s="19">
        <v>2.2998000000000001E-2</v>
      </c>
      <c r="L334" s="21">
        <f t="shared" si="20"/>
        <v>1.6383099303620041</v>
      </c>
      <c r="M334" s="21">
        <f t="shared" si="21"/>
        <v>-0.40000000000000263</v>
      </c>
      <c r="N334" s="22">
        <f t="shared" si="22"/>
        <v>2.5539290642989947</v>
      </c>
      <c r="O334" s="23">
        <f t="shared" si="23"/>
        <v>0.75785828325519766</v>
      </c>
    </row>
    <row r="335" spans="1:15" x14ac:dyDescent="0.25">
      <c r="A335" s="14" t="s">
        <v>6072</v>
      </c>
      <c r="B335" s="14" t="s">
        <v>669</v>
      </c>
      <c r="C335" s="15" t="s">
        <v>670</v>
      </c>
      <c r="D335" s="16">
        <v>2.787E-3</v>
      </c>
      <c r="E335" s="17">
        <v>11.53</v>
      </c>
      <c r="F335" s="17">
        <v>10.88</v>
      </c>
      <c r="G335" s="18">
        <v>0.6482</v>
      </c>
      <c r="H335" s="19">
        <v>0.13300000000000001</v>
      </c>
      <c r="I335" s="18">
        <v>4.8730000000000002</v>
      </c>
      <c r="J335" s="20">
        <v>6</v>
      </c>
      <c r="K335" s="19">
        <v>2.2998000000000001E-2</v>
      </c>
      <c r="L335" s="21">
        <f t="shared" si="20"/>
        <v>1.6383099303620041</v>
      </c>
      <c r="M335" s="21">
        <f t="shared" si="21"/>
        <v>0.64999999999999802</v>
      </c>
      <c r="N335" s="22">
        <f t="shared" si="22"/>
        <v>2.5548630312866956</v>
      </c>
      <c r="O335" s="23">
        <f t="shared" si="23"/>
        <v>1.5691681957934993</v>
      </c>
    </row>
    <row r="336" spans="1:15" x14ac:dyDescent="0.25">
      <c r="A336" s="14" t="s">
        <v>6073</v>
      </c>
      <c r="B336" s="14" t="s">
        <v>673</v>
      </c>
      <c r="C336" s="15" t="s">
        <v>674</v>
      </c>
      <c r="D336" s="16">
        <v>2.797E-3</v>
      </c>
      <c r="E336" s="17">
        <v>8.8130000000000006</v>
      </c>
      <c r="F336" s="17">
        <v>8.3309999999999995</v>
      </c>
      <c r="G336" s="18">
        <v>0.48159999999999997</v>
      </c>
      <c r="H336" s="19">
        <v>9.8919999999999994E-2</v>
      </c>
      <c r="I336" s="18">
        <v>4.8689999999999998</v>
      </c>
      <c r="J336" s="20">
        <v>6</v>
      </c>
      <c r="K336" s="19">
        <v>2.2998000000000001E-2</v>
      </c>
      <c r="L336" s="21">
        <f t="shared" si="20"/>
        <v>1.6383099303620041</v>
      </c>
      <c r="M336" s="21">
        <f t="shared" si="21"/>
        <v>0.48200000000000126</v>
      </c>
      <c r="N336" s="22">
        <f t="shared" si="22"/>
        <v>2.5533075336284723</v>
      </c>
      <c r="O336" s="23">
        <f t="shared" si="23"/>
        <v>1.3966785324673989</v>
      </c>
    </row>
    <row r="337" spans="1:15" x14ac:dyDescent="0.25">
      <c r="A337" s="14" t="s">
        <v>6074</v>
      </c>
      <c r="B337" s="14" t="s">
        <v>675</v>
      </c>
      <c r="C337" s="15" t="s">
        <v>676</v>
      </c>
      <c r="D337" s="16">
        <v>2.797E-3</v>
      </c>
      <c r="E337" s="17">
        <v>9.0169999999999995</v>
      </c>
      <c r="F337" s="17">
        <v>8.4209999999999994</v>
      </c>
      <c r="G337" s="18">
        <v>0.59619999999999995</v>
      </c>
      <c r="H337" s="19">
        <v>0.12239999999999999</v>
      </c>
      <c r="I337" s="18">
        <v>4.8689999999999998</v>
      </c>
      <c r="J337" s="20">
        <v>6</v>
      </c>
      <c r="K337" s="19">
        <v>2.2998000000000001E-2</v>
      </c>
      <c r="L337" s="21">
        <f t="shared" si="20"/>
        <v>1.6383099303620041</v>
      </c>
      <c r="M337" s="21">
        <f t="shared" si="21"/>
        <v>0.59599999999999964</v>
      </c>
      <c r="N337" s="22">
        <f t="shared" si="22"/>
        <v>2.5533075336284723</v>
      </c>
      <c r="O337" s="23">
        <f t="shared" si="23"/>
        <v>1.5115199283162262</v>
      </c>
    </row>
    <row r="338" spans="1:15" x14ac:dyDescent="0.25">
      <c r="A338" s="14" t="s">
        <v>6075</v>
      </c>
      <c r="B338" s="14" t="s">
        <v>681</v>
      </c>
      <c r="C338" s="15" t="s">
        <v>682</v>
      </c>
      <c r="D338" s="16">
        <v>2.8319999999999999E-3</v>
      </c>
      <c r="E338" s="17">
        <v>12.26</v>
      </c>
      <c r="F338" s="17">
        <v>12.8</v>
      </c>
      <c r="G338" s="18">
        <v>-0.53800000000000003</v>
      </c>
      <c r="H338" s="19">
        <v>0.1108</v>
      </c>
      <c r="I338" s="18">
        <v>4.8570000000000002</v>
      </c>
      <c r="J338" s="20">
        <v>6</v>
      </c>
      <c r="K338" s="19">
        <v>2.3078999999999999E-2</v>
      </c>
      <c r="L338" s="21">
        <f t="shared" si="20"/>
        <v>1.63678301284259</v>
      </c>
      <c r="M338" s="21">
        <f t="shared" si="21"/>
        <v>-0.54000000000000015</v>
      </c>
      <c r="N338" s="22">
        <f t="shared" si="22"/>
        <v>2.5479067509822686</v>
      </c>
      <c r="O338" s="23">
        <f t="shared" si="23"/>
        <v>0.68777090906987182</v>
      </c>
    </row>
    <row r="339" spans="1:15" x14ac:dyDescent="0.25">
      <c r="A339" s="14" t="s">
        <v>6076</v>
      </c>
      <c r="B339" s="14" t="s">
        <v>679</v>
      </c>
      <c r="C339" s="15" t="s">
        <v>680</v>
      </c>
      <c r="D339" s="16">
        <v>2.8240000000000001E-3</v>
      </c>
      <c r="E339" s="17">
        <v>9.8160000000000007</v>
      </c>
      <c r="F339" s="17">
        <v>9.5749999999999993</v>
      </c>
      <c r="G339" s="18">
        <v>0.2414</v>
      </c>
      <c r="H339" s="19">
        <v>4.9669999999999999E-2</v>
      </c>
      <c r="I339" s="18">
        <v>4.8600000000000003</v>
      </c>
      <c r="J339" s="20">
        <v>6</v>
      </c>
      <c r="K339" s="19">
        <v>2.3078999999999999E-2</v>
      </c>
      <c r="L339" s="21">
        <f t="shared" si="20"/>
        <v>1.63678301284259</v>
      </c>
      <c r="M339" s="21">
        <f t="shared" si="21"/>
        <v>0.2410000000000018</v>
      </c>
      <c r="N339" s="22">
        <f t="shared" si="22"/>
        <v>2.5491353076202339</v>
      </c>
      <c r="O339" s="23">
        <f t="shared" si="23"/>
        <v>1.1818115469343669</v>
      </c>
    </row>
    <row r="340" spans="1:15" x14ac:dyDescent="0.25">
      <c r="A340" s="14" t="s">
        <v>6077</v>
      </c>
      <c r="B340" s="14" t="s">
        <v>677</v>
      </c>
      <c r="C340" s="15" t="s">
        <v>678</v>
      </c>
      <c r="D340" s="16">
        <v>2.8170000000000001E-3</v>
      </c>
      <c r="E340" s="17">
        <v>11.61</v>
      </c>
      <c r="F340" s="17">
        <v>10.89</v>
      </c>
      <c r="G340" s="18">
        <v>0.71660000000000001</v>
      </c>
      <c r="H340" s="19">
        <v>0.1474</v>
      </c>
      <c r="I340" s="18">
        <v>4.8620000000000001</v>
      </c>
      <c r="J340" s="20">
        <v>6</v>
      </c>
      <c r="K340" s="19">
        <v>2.3078999999999999E-2</v>
      </c>
      <c r="L340" s="21">
        <f t="shared" si="20"/>
        <v>1.63678301284259</v>
      </c>
      <c r="M340" s="21">
        <f t="shared" si="21"/>
        <v>0.71999999999999842</v>
      </c>
      <c r="N340" s="22">
        <f t="shared" si="22"/>
        <v>2.5502131530142265</v>
      </c>
      <c r="O340" s="23">
        <f t="shared" si="23"/>
        <v>1.6471820345351444</v>
      </c>
    </row>
    <row r="341" spans="1:15" x14ac:dyDescent="0.25">
      <c r="A341" s="14" t="s">
        <v>6078</v>
      </c>
      <c r="B341" s="14" t="s">
        <v>683</v>
      </c>
      <c r="C341" s="15" t="s">
        <v>684</v>
      </c>
      <c r="D341" s="16">
        <v>2.856E-3</v>
      </c>
      <c r="E341" s="17">
        <v>10.119999999999999</v>
      </c>
      <c r="F341" s="17">
        <v>9.6739999999999995</v>
      </c>
      <c r="G341" s="18">
        <v>0.4415</v>
      </c>
      <c r="H341" s="19">
        <v>9.1050000000000006E-2</v>
      </c>
      <c r="I341" s="18">
        <v>4.8479999999999999</v>
      </c>
      <c r="J341" s="20">
        <v>6</v>
      </c>
      <c r="K341" s="19">
        <v>2.3206999999999998E-2</v>
      </c>
      <c r="L341" s="21">
        <f t="shared" si="20"/>
        <v>1.6343809977454964</v>
      </c>
      <c r="M341" s="21">
        <f t="shared" si="21"/>
        <v>0.44600000000000056</v>
      </c>
      <c r="N341" s="22">
        <f t="shared" si="22"/>
        <v>2.5442417968958626</v>
      </c>
      <c r="O341" s="23">
        <f t="shared" si="23"/>
        <v>1.3622580346404887</v>
      </c>
    </row>
    <row r="342" spans="1:15" x14ac:dyDescent="0.25">
      <c r="A342" s="14" t="s">
        <v>6079</v>
      </c>
      <c r="B342" s="14" t="s">
        <v>685</v>
      </c>
      <c r="C342" s="15" t="s">
        <v>686</v>
      </c>
      <c r="D342" s="16">
        <v>2.928E-3</v>
      </c>
      <c r="E342" s="17">
        <v>11.32</v>
      </c>
      <c r="F342" s="17">
        <v>12</v>
      </c>
      <c r="G342" s="18">
        <v>-0.68610000000000004</v>
      </c>
      <c r="H342" s="19">
        <v>0.14219999999999999</v>
      </c>
      <c r="I342" s="18">
        <v>4.8239999999999998</v>
      </c>
      <c r="J342" s="20">
        <v>6</v>
      </c>
      <c r="K342" s="19">
        <v>2.3696999999999999E-2</v>
      </c>
      <c r="L342" s="21">
        <f t="shared" si="20"/>
        <v>1.6253066314546067</v>
      </c>
      <c r="M342" s="21">
        <f t="shared" si="21"/>
        <v>-0.68000000000000027</v>
      </c>
      <c r="N342" s="22">
        <f t="shared" si="22"/>
        <v>2.5334289276136452</v>
      </c>
      <c r="O342" s="23">
        <f t="shared" si="23"/>
        <v>0.62416527445080583</v>
      </c>
    </row>
    <row r="343" spans="1:15" x14ac:dyDescent="0.25">
      <c r="A343" s="14" t="s">
        <v>6080</v>
      </c>
      <c r="B343" s="14" t="s">
        <v>687</v>
      </c>
      <c r="C343" s="15" t="s">
        <v>688</v>
      </c>
      <c r="D343" s="16">
        <v>2.934E-3</v>
      </c>
      <c r="E343" s="17">
        <v>10.01</v>
      </c>
      <c r="F343" s="17">
        <v>9.2159999999999993</v>
      </c>
      <c r="G343" s="18">
        <v>0.79459999999999997</v>
      </c>
      <c r="H343" s="19">
        <v>0.1648</v>
      </c>
      <c r="I343" s="18">
        <v>4.8220000000000001</v>
      </c>
      <c r="J343" s="20">
        <v>6</v>
      </c>
      <c r="K343" s="19">
        <v>2.3696999999999999E-2</v>
      </c>
      <c r="L343" s="21">
        <f t="shared" si="20"/>
        <v>1.6253066314546067</v>
      </c>
      <c r="M343" s="21">
        <f t="shared" si="21"/>
        <v>0.79400000000000026</v>
      </c>
      <c r="N343" s="22">
        <f t="shared" si="22"/>
        <v>2.5325398904927359</v>
      </c>
      <c r="O343" s="23">
        <f t="shared" si="23"/>
        <v>1.7338751270293737</v>
      </c>
    </row>
    <row r="344" spans="1:15" x14ac:dyDescent="0.25">
      <c r="A344" s="14" t="s">
        <v>6081</v>
      </c>
      <c r="B344" s="14" t="s">
        <v>691</v>
      </c>
      <c r="C344" s="15" t="s">
        <v>692</v>
      </c>
      <c r="D344" s="16">
        <v>2.96E-3</v>
      </c>
      <c r="E344" s="17">
        <v>11.2</v>
      </c>
      <c r="F344" s="17">
        <v>11.81</v>
      </c>
      <c r="G344" s="18">
        <v>-0.60940000000000005</v>
      </c>
      <c r="H344" s="19">
        <v>0.12659999999999999</v>
      </c>
      <c r="I344" s="18">
        <v>4.8129999999999997</v>
      </c>
      <c r="J344" s="20">
        <v>6</v>
      </c>
      <c r="K344" s="19">
        <v>2.3701E-2</v>
      </c>
      <c r="L344" s="21">
        <f t="shared" si="20"/>
        <v>1.6252333297147976</v>
      </c>
      <c r="M344" s="21">
        <f t="shared" si="21"/>
        <v>-0.61000000000000187</v>
      </c>
      <c r="N344" s="22">
        <f t="shared" si="22"/>
        <v>2.5287082889410608</v>
      </c>
      <c r="O344" s="23">
        <f t="shared" si="23"/>
        <v>0.65519670192918078</v>
      </c>
    </row>
    <row r="345" spans="1:15" x14ac:dyDescent="0.25">
      <c r="A345" s="14" t="s">
        <v>6082</v>
      </c>
      <c r="B345" s="14" t="s">
        <v>693</v>
      </c>
      <c r="C345" s="15" t="s">
        <v>694</v>
      </c>
      <c r="D345" s="16">
        <v>2.9619999999999998E-3</v>
      </c>
      <c r="E345" s="17">
        <v>10.01</v>
      </c>
      <c r="F345" s="17">
        <v>9.5739999999999998</v>
      </c>
      <c r="G345" s="18">
        <v>0.43269999999999997</v>
      </c>
      <c r="H345" s="19">
        <v>8.9899999999999994E-2</v>
      </c>
      <c r="I345" s="18">
        <v>4.8129999999999997</v>
      </c>
      <c r="J345" s="20">
        <v>6</v>
      </c>
      <c r="K345" s="19">
        <v>2.3701E-2</v>
      </c>
      <c r="L345" s="21">
        <f t="shared" si="20"/>
        <v>1.6252333297147976</v>
      </c>
      <c r="M345" s="21">
        <f t="shared" si="21"/>
        <v>0.43600000000000005</v>
      </c>
      <c r="N345" s="22">
        <f t="shared" si="22"/>
        <v>2.5284149458148102</v>
      </c>
      <c r="O345" s="23">
        <f t="shared" si="23"/>
        <v>1.3528482310502745</v>
      </c>
    </row>
    <row r="346" spans="1:15" x14ac:dyDescent="0.25">
      <c r="A346" s="14" t="s">
        <v>6083</v>
      </c>
      <c r="B346" s="14" t="s">
        <v>697</v>
      </c>
      <c r="C346" s="15" t="s">
        <v>698</v>
      </c>
      <c r="D346" s="16">
        <v>2.977E-3</v>
      </c>
      <c r="E346" s="17">
        <v>8.7680000000000007</v>
      </c>
      <c r="F346" s="17">
        <v>8.4079999999999995</v>
      </c>
      <c r="G346" s="18">
        <v>0.36030000000000001</v>
      </c>
      <c r="H346" s="19">
        <v>7.4950000000000003E-2</v>
      </c>
      <c r="I346" s="18">
        <v>4.8079999999999998</v>
      </c>
      <c r="J346" s="20">
        <v>6</v>
      </c>
      <c r="K346" s="19">
        <v>2.3701E-2</v>
      </c>
      <c r="L346" s="21">
        <f t="shared" si="20"/>
        <v>1.6252333297147976</v>
      </c>
      <c r="M346" s="21">
        <f t="shared" si="21"/>
        <v>0.3600000000000011</v>
      </c>
      <c r="N346" s="22">
        <f t="shared" si="22"/>
        <v>2.5262211653532747</v>
      </c>
      <c r="O346" s="23">
        <f t="shared" si="23"/>
        <v>1.2834258975629051</v>
      </c>
    </row>
    <row r="347" spans="1:15" x14ac:dyDescent="0.25">
      <c r="A347" s="14" t="s">
        <v>6084</v>
      </c>
      <c r="B347" s="14" t="s">
        <v>689</v>
      </c>
      <c r="C347" s="15" t="s">
        <v>690</v>
      </c>
      <c r="D347" s="16">
        <v>2.9550000000000002E-3</v>
      </c>
      <c r="E347" s="17">
        <v>9.2309999999999999</v>
      </c>
      <c r="F347" s="17">
        <v>9.7789999999999999</v>
      </c>
      <c r="G347" s="18">
        <v>-0.54800000000000004</v>
      </c>
      <c r="H347" s="19">
        <v>0.1138</v>
      </c>
      <c r="I347" s="18">
        <v>4.8150000000000004</v>
      </c>
      <c r="J347" s="20">
        <v>6</v>
      </c>
      <c r="K347" s="19">
        <v>2.3701E-2</v>
      </c>
      <c r="L347" s="21">
        <f t="shared" si="20"/>
        <v>1.6252333297147976</v>
      </c>
      <c r="M347" s="21">
        <f t="shared" si="21"/>
        <v>-0.5479999999999996</v>
      </c>
      <c r="N347" s="22">
        <f t="shared" si="22"/>
        <v>2.5294425147827257</v>
      </c>
      <c r="O347" s="23">
        <f t="shared" si="23"/>
        <v>0.68396765195124565</v>
      </c>
    </row>
    <row r="348" spans="1:15" x14ac:dyDescent="0.25">
      <c r="A348" s="14" t="s">
        <v>6085</v>
      </c>
      <c r="B348" s="14" t="s">
        <v>695</v>
      </c>
      <c r="C348" s="15" t="s">
        <v>696</v>
      </c>
      <c r="D348" s="16">
        <v>2.9729999999999999E-3</v>
      </c>
      <c r="E348" s="17">
        <v>9.1489999999999991</v>
      </c>
      <c r="F348" s="17">
        <v>8.907</v>
      </c>
      <c r="G348" s="18">
        <v>0.24260000000000001</v>
      </c>
      <c r="H348" s="19">
        <v>5.0459999999999998E-2</v>
      </c>
      <c r="I348" s="18">
        <v>4.8090000000000002</v>
      </c>
      <c r="J348" s="20">
        <v>6</v>
      </c>
      <c r="K348" s="19">
        <v>2.3701E-2</v>
      </c>
      <c r="L348" s="21">
        <f t="shared" si="20"/>
        <v>1.6252333297147976</v>
      </c>
      <c r="M348" s="21">
        <f t="shared" si="21"/>
        <v>0.24199999999999866</v>
      </c>
      <c r="N348" s="22">
        <f t="shared" si="22"/>
        <v>2.5268050907950621</v>
      </c>
      <c r="O348" s="23">
        <f t="shared" si="23"/>
        <v>1.1826310002441416</v>
      </c>
    </row>
    <row r="349" spans="1:15" x14ac:dyDescent="0.25">
      <c r="A349" s="14" t="s">
        <v>6086</v>
      </c>
      <c r="B349" s="14" t="s">
        <v>699</v>
      </c>
      <c r="C349" s="15" t="s">
        <v>700</v>
      </c>
      <c r="D349" s="16">
        <v>2.993E-3</v>
      </c>
      <c r="E349" s="17">
        <v>10.33</v>
      </c>
      <c r="F349" s="17">
        <v>10.57</v>
      </c>
      <c r="G349" s="18">
        <v>-0.23569999999999999</v>
      </c>
      <c r="H349" s="19">
        <v>4.9079999999999999E-2</v>
      </c>
      <c r="I349" s="18">
        <v>4.8019999999999996</v>
      </c>
      <c r="J349" s="20">
        <v>6</v>
      </c>
      <c r="K349" s="19">
        <v>2.3758999999999999E-2</v>
      </c>
      <c r="L349" s="21">
        <f t="shared" si="20"/>
        <v>1.6241718424627865</v>
      </c>
      <c r="M349" s="21">
        <f t="shared" si="21"/>
        <v>-0.24000000000000021</v>
      </c>
      <c r="N349" s="22">
        <f t="shared" si="22"/>
        <v>2.5238932831598082</v>
      </c>
      <c r="O349" s="23">
        <f t="shared" si="23"/>
        <v>0.84674531236252704</v>
      </c>
    </row>
    <row r="350" spans="1:15" x14ac:dyDescent="0.25">
      <c r="A350" s="14" t="s">
        <v>6087</v>
      </c>
      <c r="B350" s="14" t="s">
        <v>701</v>
      </c>
      <c r="C350" s="15" t="s">
        <v>702</v>
      </c>
      <c r="D350" s="16">
        <v>3.0479999999999999E-3</v>
      </c>
      <c r="E350" s="17">
        <v>9.1910000000000007</v>
      </c>
      <c r="F350" s="17">
        <v>8.7210000000000001</v>
      </c>
      <c r="G350" s="18">
        <v>0.46960000000000002</v>
      </c>
      <c r="H350" s="19">
        <v>9.8140000000000005E-2</v>
      </c>
      <c r="I350" s="18">
        <v>4.7850000000000001</v>
      </c>
      <c r="J350" s="20">
        <v>6</v>
      </c>
      <c r="K350" s="19">
        <v>2.4126000000000002E-2</v>
      </c>
      <c r="L350" s="21">
        <f t="shared" si="20"/>
        <v>1.6175146765134452</v>
      </c>
      <c r="M350" s="21">
        <f t="shared" si="21"/>
        <v>0.46999999999999986</v>
      </c>
      <c r="N350" s="22">
        <f t="shared" si="22"/>
        <v>2.5159850373324368</v>
      </c>
      <c r="O350" s="23">
        <f t="shared" si="23"/>
        <v>1.3851094681109246</v>
      </c>
    </row>
    <row r="351" spans="1:15" x14ac:dyDescent="0.25">
      <c r="A351" s="14" t="s">
        <v>6088</v>
      </c>
      <c r="B351" s="14" t="s">
        <v>703</v>
      </c>
      <c r="C351" s="15" t="s">
        <v>704</v>
      </c>
      <c r="D351" s="16">
        <v>3.075E-3</v>
      </c>
      <c r="E351" s="17">
        <v>9.9169999999999998</v>
      </c>
      <c r="F351" s="17">
        <v>9.2390000000000008</v>
      </c>
      <c r="G351" s="18">
        <v>0.67820000000000003</v>
      </c>
      <c r="H351" s="19">
        <v>0.14199999999999999</v>
      </c>
      <c r="I351" s="18">
        <v>4.7759999999999998</v>
      </c>
      <c r="J351" s="20">
        <v>6</v>
      </c>
      <c r="K351" s="19">
        <v>2.4265999999999999E-2</v>
      </c>
      <c r="L351" s="21">
        <f t="shared" si="20"/>
        <v>1.6150018067376029</v>
      </c>
      <c r="M351" s="21">
        <f t="shared" si="21"/>
        <v>0.67799999999999838</v>
      </c>
      <c r="N351" s="22">
        <f t="shared" si="22"/>
        <v>2.512154879888564</v>
      </c>
      <c r="O351" s="23">
        <f t="shared" si="23"/>
        <v>1.5999202566655033</v>
      </c>
    </row>
    <row r="352" spans="1:15" x14ac:dyDescent="0.25">
      <c r="A352" s="14" t="s">
        <v>6089</v>
      </c>
      <c r="B352" s="14" t="s">
        <v>705</v>
      </c>
      <c r="C352" s="15" t="s">
        <v>706</v>
      </c>
      <c r="D352" s="16">
        <v>3.1210000000000001E-3</v>
      </c>
      <c r="E352" s="17">
        <v>13.24</v>
      </c>
      <c r="F352" s="17">
        <v>13.68</v>
      </c>
      <c r="G352" s="18">
        <v>-0.44</v>
      </c>
      <c r="H352" s="19">
        <v>9.2399999999999996E-2</v>
      </c>
      <c r="I352" s="18">
        <v>4.7619999999999996</v>
      </c>
      <c r="J352" s="20">
        <v>6</v>
      </c>
      <c r="K352" s="19">
        <v>2.4565E-2</v>
      </c>
      <c r="L352" s="21">
        <f t="shared" si="20"/>
        <v>1.6096832315291594</v>
      </c>
      <c r="M352" s="21">
        <f t="shared" si="21"/>
        <v>-0.43999999999999895</v>
      </c>
      <c r="N352" s="22">
        <f t="shared" si="22"/>
        <v>2.505706231334667</v>
      </c>
      <c r="O352" s="23">
        <f t="shared" si="23"/>
        <v>0.73713460864555114</v>
      </c>
    </row>
    <row r="353" spans="1:15" x14ac:dyDescent="0.25">
      <c r="A353" s="14" t="s">
        <v>6090</v>
      </c>
      <c r="B353" s="14" t="s">
        <v>707</v>
      </c>
      <c r="C353" s="15" t="s">
        <v>708</v>
      </c>
      <c r="D353" s="16">
        <v>3.13E-3</v>
      </c>
      <c r="E353" s="17">
        <v>11.46</v>
      </c>
      <c r="F353" s="17">
        <v>10.82</v>
      </c>
      <c r="G353" s="18">
        <v>0.63719999999999999</v>
      </c>
      <c r="H353" s="19">
        <v>0.13389999999999999</v>
      </c>
      <c r="I353" s="18">
        <v>4.7590000000000003</v>
      </c>
      <c r="J353" s="20">
        <v>6</v>
      </c>
      <c r="K353" s="19">
        <v>2.4566000000000001E-2</v>
      </c>
      <c r="L353" s="21">
        <f t="shared" si="20"/>
        <v>1.609665552488148</v>
      </c>
      <c r="M353" s="21">
        <f t="shared" si="21"/>
        <v>0.64000000000000024</v>
      </c>
      <c r="N353" s="22">
        <f t="shared" si="22"/>
        <v>2.5044556624535512</v>
      </c>
      <c r="O353" s="23">
        <f t="shared" si="23"/>
        <v>1.558329159321</v>
      </c>
    </row>
    <row r="354" spans="1:15" x14ac:dyDescent="0.25">
      <c r="A354" s="14" t="s">
        <v>6091</v>
      </c>
      <c r="B354" s="14" t="s">
        <v>709</v>
      </c>
      <c r="C354" s="15" t="s">
        <v>710</v>
      </c>
      <c r="D354" s="16">
        <v>3.1570000000000001E-3</v>
      </c>
      <c r="E354" s="17">
        <v>13.03</v>
      </c>
      <c r="F354" s="17">
        <v>12.29</v>
      </c>
      <c r="G354" s="18">
        <v>0.73699999999999999</v>
      </c>
      <c r="H354" s="19">
        <v>0.15509999999999999</v>
      </c>
      <c r="I354" s="18">
        <v>4.7510000000000003</v>
      </c>
      <c r="J354" s="20">
        <v>6</v>
      </c>
      <c r="K354" s="19">
        <v>2.4667000000000001E-2</v>
      </c>
      <c r="L354" s="21">
        <f t="shared" si="20"/>
        <v>1.6078836661839899</v>
      </c>
      <c r="M354" s="21">
        <f t="shared" si="21"/>
        <v>0.74000000000000032</v>
      </c>
      <c r="N354" s="22">
        <f t="shared" si="22"/>
        <v>2.5007254181077823</v>
      </c>
      <c r="O354" s="23">
        <f t="shared" si="23"/>
        <v>1.6701758388567391</v>
      </c>
    </row>
    <row r="355" spans="1:15" x14ac:dyDescent="0.25">
      <c r="A355" s="14" t="s">
        <v>6092</v>
      </c>
      <c r="B355" s="14" t="s">
        <v>711</v>
      </c>
      <c r="C355" s="15" t="s">
        <v>712</v>
      </c>
      <c r="D355" s="16">
        <v>3.1610000000000002E-3</v>
      </c>
      <c r="E355" s="17">
        <v>11.09</v>
      </c>
      <c r="F355" s="17">
        <v>10.72</v>
      </c>
      <c r="G355" s="18">
        <v>0.37690000000000001</v>
      </c>
      <c r="H355" s="19">
        <v>7.9350000000000004E-2</v>
      </c>
      <c r="I355" s="18">
        <v>4.7489999999999997</v>
      </c>
      <c r="J355" s="20">
        <v>6</v>
      </c>
      <c r="K355" s="19">
        <v>2.4667000000000001E-2</v>
      </c>
      <c r="L355" s="21">
        <f t="shared" si="20"/>
        <v>1.6078836661839899</v>
      </c>
      <c r="M355" s="21">
        <f t="shared" si="21"/>
        <v>0.36999999999999883</v>
      </c>
      <c r="N355" s="22">
        <f t="shared" si="22"/>
        <v>2.5001755041604201</v>
      </c>
      <c r="O355" s="23">
        <f t="shared" si="23"/>
        <v>1.2923528306374912</v>
      </c>
    </row>
    <row r="356" spans="1:15" x14ac:dyDescent="0.25">
      <c r="A356" s="14" t="s">
        <v>6093</v>
      </c>
      <c r="B356" s="14" t="s">
        <v>713</v>
      </c>
      <c r="C356" s="15" t="s">
        <v>714</v>
      </c>
      <c r="D356" s="16">
        <v>3.1809999999999998E-3</v>
      </c>
      <c r="E356" s="17">
        <v>9.3230000000000004</v>
      </c>
      <c r="F356" s="17">
        <v>8.9740000000000002</v>
      </c>
      <c r="G356" s="18">
        <v>0.3488</v>
      </c>
      <c r="H356" s="19">
        <v>7.3550000000000004E-2</v>
      </c>
      <c r="I356" s="18">
        <v>4.7430000000000003</v>
      </c>
      <c r="J356" s="20">
        <v>6</v>
      </c>
      <c r="K356" s="19">
        <v>2.4742E-2</v>
      </c>
      <c r="L356" s="21">
        <f t="shared" si="20"/>
        <v>1.6065651974370108</v>
      </c>
      <c r="M356" s="21">
        <f t="shared" si="21"/>
        <v>0.34900000000000031</v>
      </c>
      <c r="N356" s="22">
        <f t="shared" si="22"/>
        <v>2.4974363308926364</v>
      </c>
      <c r="O356" s="23">
        <f t="shared" si="23"/>
        <v>1.2736774753264997</v>
      </c>
    </row>
    <row r="357" spans="1:15" x14ac:dyDescent="0.25">
      <c r="A357" s="14" t="s">
        <v>6094</v>
      </c>
      <c r="B357" s="14" t="s">
        <v>715</v>
      </c>
      <c r="C357" s="15" t="s">
        <v>716</v>
      </c>
      <c r="D357" s="16">
        <v>3.189E-3</v>
      </c>
      <c r="E357" s="17">
        <v>10.31</v>
      </c>
      <c r="F357" s="17">
        <v>9.952</v>
      </c>
      <c r="G357" s="18">
        <v>0.35849999999999999</v>
      </c>
      <c r="H357" s="19">
        <v>7.5620000000000007E-2</v>
      </c>
      <c r="I357" s="18">
        <v>4.7409999999999997</v>
      </c>
      <c r="J357" s="20">
        <v>6</v>
      </c>
      <c r="K357" s="19">
        <v>2.4742E-2</v>
      </c>
      <c r="L357" s="21">
        <f t="shared" si="20"/>
        <v>1.6065651974370108</v>
      </c>
      <c r="M357" s="21">
        <f t="shared" si="21"/>
        <v>0.3580000000000001</v>
      </c>
      <c r="N357" s="22">
        <f t="shared" si="22"/>
        <v>2.4963454807570407</v>
      </c>
      <c r="O357" s="23">
        <f t="shared" si="23"/>
        <v>1.281647924160193</v>
      </c>
    </row>
    <row r="358" spans="1:15" x14ac:dyDescent="0.25">
      <c r="A358" s="14" t="s">
        <v>6095</v>
      </c>
      <c r="B358" s="14" t="s">
        <v>717</v>
      </c>
      <c r="C358" s="15" t="s">
        <v>718</v>
      </c>
      <c r="D358" s="16">
        <v>3.228E-3</v>
      </c>
      <c r="E358" s="17">
        <v>14.74</v>
      </c>
      <c r="F358" s="17">
        <v>15.44</v>
      </c>
      <c r="G358" s="18">
        <v>-0.69969999999999999</v>
      </c>
      <c r="H358" s="19">
        <v>0.14799999999999999</v>
      </c>
      <c r="I358" s="18">
        <v>4.7290000000000001</v>
      </c>
      <c r="J358" s="20">
        <v>6</v>
      </c>
      <c r="K358" s="19">
        <v>2.4981E-2</v>
      </c>
      <c r="L358" s="21">
        <f t="shared" si="20"/>
        <v>1.6023901806220395</v>
      </c>
      <c r="M358" s="21">
        <f t="shared" si="21"/>
        <v>-0.69999999999999896</v>
      </c>
      <c r="N358" s="22">
        <f t="shared" si="22"/>
        <v>2.4910664739499668</v>
      </c>
      <c r="O358" s="23">
        <f t="shared" si="23"/>
        <v>0.6155722066724586</v>
      </c>
    </row>
    <row r="359" spans="1:15" x14ac:dyDescent="0.25">
      <c r="A359" s="14" t="s">
        <v>6096</v>
      </c>
      <c r="B359" s="14" t="s">
        <v>719</v>
      </c>
      <c r="C359" s="15" t="s">
        <v>720</v>
      </c>
      <c r="D359" s="16">
        <v>3.2720000000000002E-3</v>
      </c>
      <c r="E359" s="17">
        <v>8.0530000000000008</v>
      </c>
      <c r="F359" s="17">
        <v>7.37</v>
      </c>
      <c r="G359" s="18">
        <v>0.68310000000000004</v>
      </c>
      <c r="H359" s="19">
        <v>0.14480000000000001</v>
      </c>
      <c r="I359" s="18">
        <v>4.7160000000000002</v>
      </c>
      <c r="J359" s="20">
        <v>6</v>
      </c>
      <c r="K359" s="19">
        <v>2.5243000000000002E-2</v>
      </c>
      <c r="L359" s="21">
        <f t="shared" si="20"/>
        <v>1.5978590327075322</v>
      </c>
      <c r="M359" s="21">
        <f t="shared" si="21"/>
        <v>0.68300000000000061</v>
      </c>
      <c r="N359" s="22">
        <f t="shared" si="22"/>
        <v>2.4851867050007144</v>
      </c>
      <c r="O359" s="23">
        <f t="shared" si="23"/>
        <v>1.6054747774319076</v>
      </c>
    </row>
    <row r="360" spans="1:15" x14ac:dyDescent="0.25">
      <c r="A360" s="14" t="s">
        <v>6097</v>
      </c>
      <c r="B360" s="14" t="s">
        <v>727</v>
      </c>
      <c r="C360" s="15" t="s">
        <v>728</v>
      </c>
      <c r="D360" s="16">
        <v>3.3270000000000001E-3</v>
      </c>
      <c r="E360" s="17">
        <v>11.69</v>
      </c>
      <c r="F360" s="17">
        <v>12.18</v>
      </c>
      <c r="G360" s="18">
        <v>-0.48649999999999999</v>
      </c>
      <c r="H360" s="19">
        <v>0.10349999999999999</v>
      </c>
      <c r="I360" s="18">
        <v>4.7</v>
      </c>
      <c r="J360" s="20">
        <v>6</v>
      </c>
      <c r="K360" s="19">
        <v>2.53E-2</v>
      </c>
      <c r="L360" s="21">
        <f t="shared" si="20"/>
        <v>1.5968794788241818</v>
      </c>
      <c r="M360" s="21">
        <f t="shared" si="21"/>
        <v>-0.48999999999999988</v>
      </c>
      <c r="N360" s="22">
        <f t="shared" si="22"/>
        <v>2.4779471991311772</v>
      </c>
      <c r="O360" s="23">
        <f t="shared" si="23"/>
        <v>0.71202509779853596</v>
      </c>
    </row>
    <row r="361" spans="1:15" x14ac:dyDescent="0.25">
      <c r="A361" s="14" t="s">
        <v>6098</v>
      </c>
      <c r="B361" s="14" t="s">
        <v>723</v>
      </c>
      <c r="C361" s="15" t="s">
        <v>724</v>
      </c>
      <c r="D361" s="16">
        <v>3.32E-3</v>
      </c>
      <c r="E361" s="17">
        <v>8.7530000000000001</v>
      </c>
      <c r="F361" s="17">
        <v>9.2799999999999994</v>
      </c>
      <c r="G361" s="18">
        <v>-0.52659999999999996</v>
      </c>
      <c r="H361" s="19">
        <v>0.112</v>
      </c>
      <c r="I361" s="18">
        <v>4.702</v>
      </c>
      <c r="J361" s="20">
        <v>6</v>
      </c>
      <c r="K361" s="19">
        <v>2.53E-2</v>
      </c>
      <c r="L361" s="21">
        <f t="shared" si="20"/>
        <v>1.5968794788241818</v>
      </c>
      <c r="M361" s="21">
        <f t="shared" si="21"/>
        <v>-0.52699999999999869</v>
      </c>
      <c r="N361" s="22">
        <f t="shared" si="22"/>
        <v>2.4788619162959633</v>
      </c>
      <c r="O361" s="23">
        <f t="shared" si="23"/>
        <v>0.69399635950779659</v>
      </c>
    </row>
    <row r="362" spans="1:15" x14ac:dyDescent="0.25">
      <c r="A362" s="14" t="s">
        <v>6099</v>
      </c>
      <c r="B362" s="14" t="s">
        <v>721</v>
      </c>
      <c r="C362" s="15" t="s">
        <v>722</v>
      </c>
      <c r="D362" s="16">
        <v>3.2929999999999999E-3</v>
      </c>
      <c r="E362" s="17">
        <v>8.1180000000000003</v>
      </c>
      <c r="F362" s="17">
        <v>8.7539999999999996</v>
      </c>
      <c r="G362" s="18">
        <v>-0.63549999999999995</v>
      </c>
      <c r="H362" s="19">
        <v>0.13489999999999999</v>
      </c>
      <c r="I362" s="18">
        <v>4.71</v>
      </c>
      <c r="J362" s="20">
        <v>6</v>
      </c>
      <c r="K362" s="19">
        <v>2.53E-2</v>
      </c>
      <c r="L362" s="21">
        <f t="shared" si="20"/>
        <v>1.5968794788241818</v>
      </c>
      <c r="M362" s="21">
        <f t="shared" si="21"/>
        <v>-0.63599999999999968</v>
      </c>
      <c r="N362" s="22">
        <f t="shared" si="22"/>
        <v>2.4824082692880922</v>
      </c>
      <c r="O362" s="23">
        <f t="shared" si="23"/>
        <v>0.64349462365063548</v>
      </c>
    </row>
    <row r="363" spans="1:15" x14ac:dyDescent="0.25">
      <c r="A363" s="14" t="s">
        <v>6100</v>
      </c>
      <c r="B363" s="14" t="s">
        <v>729</v>
      </c>
      <c r="C363" s="15" t="s">
        <v>730</v>
      </c>
      <c r="D363" s="16">
        <v>3.3319999999999999E-3</v>
      </c>
      <c r="E363" s="17">
        <v>9.0939999999999994</v>
      </c>
      <c r="F363" s="17">
        <v>8.5329999999999995</v>
      </c>
      <c r="G363" s="18">
        <v>0.56089999999999995</v>
      </c>
      <c r="H363" s="19">
        <v>0.11940000000000001</v>
      </c>
      <c r="I363" s="18">
        <v>4.6980000000000004</v>
      </c>
      <c r="J363" s="20">
        <v>6</v>
      </c>
      <c r="K363" s="19">
        <v>2.53E-2</v>
      </c>
      <c r="L363" s="21">
        <f t="shared" si="20"/>
        <v>1.5968794788241818</v>
      </c>
      <c r="M363" s="21">
        <f t="shared" si="21"/>
        <v>0.56099999999999894</v>
      </c>
      <c r="N363" s="22">
        <f t="shared" si="22"/>
        <v>2.4772950072652495</v>
      </c>
      <c r="O363" s="23">
        <f t="shared" si="23"/>
        <v>1.4752914570828384</v>
      </c>
    </row>
    <row r="364" spans="1:15" x14ac:dyDescent="0.25">
      <c r="A364" s="14" t="s">
        <v>6101</v>
      </c>
      <c r="B364" s="14" t="s">
        <v>731</v>
      </c>
      <c r="C364" s="15" t="s">
        <v>732</v>
      </c>
      <c r="D364" s="16">
        <v>3.3340000000000002E-3</v>
      </c>
      <c r="E364" s="17">
        <v>13.41</v>
      </c>
      <c r="F364" s="17">
        <v>13.84</v>
      </c>
      <c r="G364" s="18">
        <v>-0.43230000000000002</v>
      </c>
      <c r="H364" s="19">
        <v>9.2009999999999995E-2</v>
      </c>
      <c r="I364" s="18">
        <v>4.6980000000000004</v>
      </c>
      <c r="J364" s="20">
        <v>6</v>
      </c>
      <c r="K364" s="19">
        <v>2.53E-2</v>
      </c>
      <c r="L364" s="21">
        <f t="shared" si="20"/>
        <v>1.5968794788241818</v>
      </c>
      <c r="M364" s="21">
        <f t="shared" si="21"/>
        <v>-0.42999999999999738</v>
      </c>
      <c r="N364" s="22">
        <f t="shared" si="22"/>
        <v>2.4770344045080135</v>
      </c>
      <c r="O364" s="23">
        <f t="shared" si="23"/>
        <v>0.74226178531452591</v>
      </c>
    </row>
    <row r="365" spans="1:15" x14ac:dyDescent="0.25">
      <c r="A365" s="14" t="s">
        <v>6102</v>
      </c>
      <c r="B365" s="14" t="s">
        <v>725</v>
      </c>
      <c r="C365" s="15" t="s">
        <v>726</v>
      </c>
      <c r="D365" s="16">
        <v>3.323E-3</v>
      </c>
      <c r="E365" s="17">
        <v>9.1010000000000009</v>
      </c>
      <c r="F365" s="17">
        <v>9.4190000000000005</v>
      </c>
      <c r="G365" s="18">
        <v>-0.31859999999999999</v>
      </c>
      <c r="H365" s="19">
        <v>6.7760000000000001E-2</v>
      </c>
      <c r="I365" s="18">
        <v>4.7009999999999996</v>
      </c>
      <c r="J365" s="20">
        <v>6</v>
      </c>
      <c r="K365" s="19">
        <v>2.53E-2</v>
      </c>
      <c r="L365" s="21">
        <f t="shared" si="20"/>
        <v>1.5968794788241818</v>
      </c>
      <c r="M365" s="21">
        <f t="shared" si="21"/>
        <v>-0.31799999999999973</v>
      </c>
      <c r="N365" s="22">
        <f t="shared" si="22"/>
        <v>2.4784696587212887</v>
      </c>
      <c r="O365" s="23">
        <f t="shared" si="23"/>
        <v>0.80218116635248649</v>
      </c>
    </row>
    <row r="366" spans="1:15" x14ac:dyDescent="0.25">
      <c r="A366" s="14" t="s">
        <v>6103</v>
      </c>
      <c r="B366" s="14" t="s">
        <v>733</v>
      </c>
      <c r="C366" s="15" t="s">
        <v>734</v>
      </c>
      <c r="D366" s="16">
        <v>3.3449999999999999E-3</v>
      </c>
      <c r="E366" s="17">
        <v>16</v>
      </c>
      <c r="F366" s="17">
        <v>16.63</v>
      </c>
      <c r="G366" s="18">
        <v>-0.63839999999999997</v>
      </c>
      <c r="H366" s="19">
        <v>0.13600000000000001</v>
      </c>
      <c r="I366" s="18">
        <v>4.6950000000000003</v>
      </c>
      <c r="J366" s="20">
        <v>6</v>
      </c>
      <c r="K366" s="19">
        <v>2.5314E-2</v>
      </c>
      <c r="L366" s="21">
        <f t="shared" si="20"/>
        <v>1.5966392242344751</v>
      </c>
      <c r="M366" s="21">
        <f t="shared" si="21"/>
        <v>-0.62999999999999945</v>
      </c>
      <c r="N366" s="22">
        <f t="shared" si="22"/>
        <v>2.475603877896158</v>
      </c>
      <c r="O366" s="23">
        <f t="shared" si="23"/>
        <v>0.64617641531874637</v>
      </c>
    </row>
    <row r="367" spans="1:15" x14ac:dyDescent="0.25">
      <c r="A367" s="14" t="s">
        <v>6104</v>
      </c>
      <c r="B367" s="14" t="s">
        <v>735</v>
      </c>
      <c r="C367" s="15" t="s">
        <v>736</v>
      </c>
      <c r="D367" s="16">
        <v>3.3549999999999999E-3</v>
      </c>
      <c r="E367" s="17">
        <v>11.19</v>
      </c>
      <c r="F367" s="17">
        <v>11.52</v>
      </c>
      <c r="G367" s="18">
        <v>-0.33069999999999999</v>
      </c>
      <c r="H367" s="19">
        <v>7.0489999999999997E-2</v>
      </c>
      <c r="I367" s="18">
        <v>4.6920000000000002</v>
      </c>
      <c r="J367" s="20">
        <v>6</v>
      </c>
      <c r="K367" s="19">
        <v>2.5321E-2</v>
      </c>
      <c r="L367" s="21">
        <f t="shared" si="20"/>
        <v>1.5965191467626598</v>
      </c>
      <c r="M367" s="21">
        <f t="shared" si="21"/>
        <v>-0.32999999999999996</v>
      </c>
      <c r="N367" s="22">
        <f t="shared" si="22"/>
        <v>2.4743074754949888</v>
      </c>
      <c r="O367" s="23">
        <f t="shared" si="23"/>
        <v>0.7955364837549187</v>
      </c>
    </row>
    <row r="368" spans="1:15" x14ac:dyDescent="0.25">
      <c r="A368" s="14" t="s">
        <v>6105</v>
      </c>
      <c r="B368" s="14" t="s">
        <v>737</v>
      </c>
      <c r="C368" s="15" t="s">
        <v>738</v>
      </c>
      <c r="D368" s="16">
        <v>3.3779999999999999E-3</v>
      </c>
      <c r="E368" s="17">
        <v>10.74</v>
      </c>
      <c r="F368" s="17">
        <v>12.1</v>
      </c>
      <c r="G368" s="18">
        <v>-1.365</v>
      </c>
      <c r="H368" s="19">
        <v>0.29139999999999999</v>
      </c>
      <c r="I368" s="18">
        <v>4.6849999999999996</v>
      </c>
      <c r="J368" s="20">
        <v>6</v>
      </c>
      <c r="K368" s="19">
        <v>2.5425E-2</v>
      </c>
      <c r="L368" s="21">
        <f t="shared" si="20"/>
        <v>1.5947390384052178</v>
      </c>
      <c r="M368" s="21">
        <f t="shared" si="21"/>
        <v>-1.3599999999999999</v>
      </c>
      <c r="N368" s="22">
        <f t="shared" si="22"/>
        <v>2.4713403547650099</v>
      </c>
      <c r="O368" s="23">
        <f t="shared" si="23"/>
        <v>0.38958228983024995</v>
      </c>
    </row>
    <row r="369" spans="1:15" x14ac:dyDescent="0.25">
      <c r="A369" s="14" t="s">
        <v>6106</v>
      </c>
      <c r="B369" s="14" t="s">
        <v>739</v>
      </c>
      <c r="C369" s="15" t="s">
        <v>740</v>
      </c>
      <c r="D369" s="16">
        <v>3.392E-3</v>
      </c>
      <c r="E369" s="17">
        <v>9.3230000000000004</v>
      </c>
      <c r="F369" s="17">
        <v>9.86</v>
      </c>
      <c r="G369" s="18">
        <v>-0.53749999999999998</v>
      </c>
      <c r="H369" s="19">
        <v>0.1148</v>
      </c>
      <c r="I369" s="18">
        <v>4.681</v>
      </c>
      <c r="J369" s="20">
        <v>6</v>
      </c>
      <c r="K369" s="19">
        <v>2.5465000000000002E-2</v>
      </c>
      <c r="L369" s="21">
        <f t="shared" si="20"/>
        <v>1.594056319487803</v>
      </c>
      <c r="M369" s="21">
        <f t="shared" si="21"/>
        <v>-0.53699999999999914</v>
      </c>
      <c r="N369" s="22">
        <f t="shared" si="22"/>
        <v>2.4695441564153238</v>
      </c>
      <c r="O369" s="23">
        <f t="shared" si="23"/>
        <v>0.6892025764878158</v>
      </c>
    </row>
    <row r="370" spans="1:15" x14ac:dyDescent="0.25">
      <c r="A370" s="14" t="s">
        <v>6107</v>
      </c>
      <c r="B370" s="14" t="s">
        <v>741</v>
      </c>
      <c r="C370" s="15" t="s">
        <v>742</v>
      </c>
      <c r="D370" s="16">
        <v>3.424E-3</v>
      </c>
      <c r="E370" s="17">
        <v>10.88</v>
      </c>
      <c r="F370" s="17">
        <v>11.18</v>
      </c>
      <c r="G370" s="18">
        <v>-0.30199999999999999</v>
      </c>
      <c r="H370" s="19">
        <v>6.4649999999999999E-2</v>
      </c>
      <c r="I370" s="18">
        <v>4.6719999999999997</v>
      </c>
      <c r="J370" s="20">
        <v>6</v>
      </c>
      <c r="K370" s="19">
        <v>2.5631999999999999E-2</v>
      </c>
      <c r="L370" s="21">
        <f t="shared" si="20"/>
        <v>1.5912175055958562</v>
      </c>
      <c r="M370" s="21">
        <f t="shared" si="21"/>
        <v>-0.29999999999999871</v>
      </c>
      <c r="N370" s="22">
        <f t="shared" si="22"/>
        <v>2.4654662439948845</v>
      </c>
      <c r="O370" s="23">
        <f t="shared" si="23"/>
        <v>0.81225239635623625</v>
      </c>
    </row>
    <row r="371" spans="1:15" x14ac:dyDescent="0.25">
      <c r="A371" s="14" t="s">
        <v>6108</v>
      </c>
      <c r="B371" s="14" t="s">
        <v>745</v>
      </c>
      <c r="C371" s="15" t="s">
        <v>746</v>
      </c>
      <c r="D371" s="16">
        <v>3.48E-3</v>
      </c>
      <c r="E371" s="17">
        <v>11.45</v>
      </c>
      <c r="F371" s="17">
        <v>10.86</v>
      </c>
      <c r="G371" s="18">
        <v>0.59530000000000005</v>
      </c>
      <c r="H371" s="19">
        <v>0.1278</v>
      </c>
      <c r="I371" s="18">
        <v>4.657</v>
      </c>
      <c r="J371" s="20">
        <v>6</v>
      </c>
      <c r="K371" s="19">
        <v>2.5911E-2</v>
      </c>
      <c r="L371" s="21">
        <f t="shared" si="20"/>
        <v>1.5865158256825929</v>
      </c>
      <c r="M371" s="21">
        <f t="shared" si="21"/>
        <v>0.59000000000000075</v>
      </c>
      <c r="N371" s="22">
        <f t="shared" si="22"/>
        <v>2.4584207560534188</v>
      </c>
      <c r="O371" s="23">
        <f t="shared" si="23"/>
        <v>1.505246747411068</v>
      </c>
    </row>
    <row r="372" spans="1:15" x14ac:dyDescent="0.25">
      <c r="A372" s="14" t="s">
        <v>6109</v>
      </c>
      <c r="B372" s="14" t="s">
        <v>743</v>
      </c>
      <c r="C372" s="15" t="s">
        <v>744</v>
      </c>
      <c r="D372" s="16">
        <v>3.4789999999999999E-3</v>
      </c>
      <c r="E372" s="17">
        <v>9.8940000000000001</v>
      </c>
      <c r="F372" s="17">
        <v>9.3350000000000009</v>
      </c>
      <c r="G372" s="18">
        <v>0.55830000000000002</v>
      </c>
      <c r="H372" s="19">
        <v>0.11990000000000001</v>
      </c>
      <c r="I372" s="18">
        <v>4.657</v>
      </c>
      <c r="J372" s="20">
        <v>6</v>
      </c>
      <c r="K372" s="19">
        <v>2.5911E-2</v>
      </c>
      <c r="L372" s="21">
        <f t="shared" si="20"/>
        <v>1.5865158256825929</v>
      </c>
      <c r="M372" s="21">
        <f t="shared" si="21"/>
        <v>0.5589999999999995</v>
      </c>
      <c r="N372" s="22">
        <f t="shared" si="22"/>
        <v>2.4585455712524107</v>
      </c>
      <c r="O372" s="23">
        <f t="shared" si="23"/>
        <v>1.4732476858164796</v>
      </c>
    </row>
    <row r="373" spans="1:15" x14ac:dyDescent="0.25">
      <c r="A373" s="14" t="s">
        <v>6110</v>
      </c>
      <c r="B373" s="14" t="s">
        <v>747</v>
      </c>
      <c r="C373" s="15" t="s">
        <v>748</v>
      </c>
      <c r="D373" s="16">
        <v>3.522E-3</v>
      </c>
      <c r="E373" s="17">
        <v>8.6579999999999995</v>
      </c>
      <c r="F373" s="17">
        <v>8.3870000000000005</v>
      </c>
      <c r="G373" s="18">
        <v>0.27100000000000002</v>
      </c>
      <c r="H373" s="19">
        <v>5.8340000000000003E-2</v>
      </c>
      <c r="I373" s="18">
        <v>4.6449999999999996</v>
      </c>
      <c r="J373" s="20">
        <v>6</v>
      </c>
      <c r="K373" s="19">
        <v>2.6152000000000002E-2</v>
      </c>
      <c r="L373" s="21">
        <f t="shared" si="20"/>
        <v>1.5824950924276873</v>
      </c>
      <c r="M373" s="21">
        <f t="shared" si="21"/>
        <v>0.27099999999999819</v>
      </c>
      <c r="N373" s="22">
        <f t="shared" si="22"/>
        <v>2.4532106483687417</v>
      </c>
      <c r="O373" s="23">
        <f t="shared" si="23"/>
        <v>1.2066439197207612</v>
      </c>
    </row>
    <row r="374" spans="1:15" x14ac:dyDescent="0.25">
      <c r="A374" s="14" t="s">
        <v>6111</v>
      </c>
      <c r="B374" s="14" t="s">
        <v>749</v>
      </c>
      <c r="C374" s="15" t="s">
        <v>750</v>
      </c>
      <c r="D374" s="16">
        <v>3.5400000000000002E-3</v>
      </c>
      <c r="E374" s="17">
        <v>12.7</v>
      </c>
      <c r="F374" s="17">
        <v>13.38</v>
      </c>
      <c r="G374" s="18">
        <v>-0.68189999999999995</v>
      </c>
      <c r="H374" s="19">
        <v>0.14699999999999999</v>
      </c>
      <c r="I374" s="18">
        <v>4.6399999999999997</v>
      </c>
      <c r="J374" s="20">
        <v>6</v>
      </c>
      <c r="K374" s="19">
        <v>2.6218000000000002E-2</v>
      </c>
      <c r="L374" s="21">
        <f t="shared" si="20"/>
        <v>1.5814004408721911</v>
      </c>
      <c r="M374" s="21">
        <f t="shared" si="21"/>
        <v>-0.68000000000000338</v>
      </c>
      <c r="N374" s="22">
        <f t="shared" si="22"/>
        <v>2.4509967379742119</v>
      </c>
      <c r="O374" s="23">
        <f t="shared" si="23"/>
        <v>0.6241652744508045</v>
      </c>
    </row>
    <row r="375" spans="1:15" x14ac:dyDescent="0.25">
      <c r="A375" s="14" t="s">
        <v>6112</v>
      </c>
      <c r="B375" s="14" t="s">
        <v>753</v>
      </c>
      <c r="C375" s="15" t="s">
        <v>754</v>
      </c>
      <c r="D375" s="16">
        <v>3.5739999999999999E-3</v>
      </c>
      <c r="E375" s="17">
        <v>9.7050000000000001</v>
      </c>
      <c r="F375" s="17">
        <v>10.25</v>
      </c>
      <c r="G375" s="18">
        <v>-0.54379999999999995</v>
      </c>
      <c r="H375" s="19">
        <v>0.1174</v>
      </c>
      <c r="I375" s="18">
        <v>4.6310000000000002</v>
      </c>
      <c r="J375" s="20">
        <v>6</v>
      </c>
      <c r="K375" s="19">
        <v>2.6327E-2</v>
      </c>
      <c r="L375" s="21">
        <f t="shared" si="20"/>
        <v>1.5795986265633439</v>
      </c>
      <c r="M375" s="21">
        <f t="shared" si="21"/>
        <v>-0.54499999999999993</v>
      </c>
      <c r="N375" s="22">
        <f t="shared" si="22"/>
        <v>2.4468454518303742</v>
      </c>
      <c r="O375" s="23">
        <f t="shared" si="23"/>
        <v>0.68539140248985175</v>
      </c>
    </row>
    <row r="376" spans="1:15" x14ac:dyDescent="0.25">
      <c r="A376" s="14" t="s">
        <v>6113</v>
      </c>
      <c r="B376" s="14" t="s">
        <v>751</v>
      </c>
      <c r="C376" s="15" t="s">
        <v>752</v>
      </c>
      <c r="D376" s="16">
        <v>3.5660000000000002E-3</v>
      </c>
      <c r="E376" s="17">
        <v>9.5640000000000001</v>
      </c>
      <c r="F376" s="17">
        <v>10.07</v>
      </c>
      <c r="G376" s="18">
        <v>-0.50109999999999999</v>
      </c>
      <c r="H376" s="19">
        <v>0.1081</v>
      </c>
      <c r="I376" s="18">
        <v>4.633</v>
      </c>
      <c r="J376" s="20">
        <v>6</v>
      </c>
      <c r="K376" s="19">
        <v>2.6327E-2</v>
      </c>
      <c r="L376" s="21">
        <f t="shared" si="20"/>
        <v>1.5795986265633439</v>
      </c>
      <c r="M376" s="21">
        <f t="shared" si="21"/>
        <v>-0.50600000000000001</v>
      </c>
      <c r="N376" s="22">
        <f t="shared" si="22"/>
        <v>2.4478186611606638</v>
      </c>
      <c r="O376" s="23">
        <f t="shared" si="23"/>
        <v>0.70417211345604036</v>
      </c>
    </row>
    <row r="377" spans="1:15" x14ac:dyDescent="0.25">
      <c r="A377" s="14" t="s">
        <v>6114</v>
      </c>
      <c r="B377" s="14" t="s">
        <v>755</v>
      </c>
      <c r="C377" s="15" t="s">
        <v>756</v>
      </c>
      <c r="D377" s="16">
        <v>3.604E-3</v>
      </c>
      <c r="E377" s="17">
        <v>10.33</v>
      </c>
      <c r="F377" s="17">
        <v>9.7149999999999999</v>
      </c>
      <c r="G377" s="18">
        <v>0.61560000000000004</v>
      </c>
      <c r="H377" s="19">
        <v>0.13320000000000001</v>
      </c>
      <c r="I377" s="18">
        <v>4.6230000000000002</v>
      </c>
      <c r="J377" s="20">
        <v>6</v>
      </c>
      <c r="K377" s="19">
        <v>2.6478000000000002E-2</v>
      </c>
      <c r="L377" s="21">
        <f t="shared" si="20"/>
        <v>1.5771148221691638</v>
      </c>
      <c r="M377" s="21">
        <f t="shared" si="21"/>
        <v>0.61499999999999999</v>
      </c>
      <c r="N377" s="22">
        <f t="shared" si="22"/>
        <v>2.4432152176929742</v>
      </c>
      <c r="O377" s="23">
        <f t="shared" si="23"/>
        <v>1.5315579970943829</v>
      </c>
    </row>
    <row r="378" spans="1:15" x14ac:dyDescent="0.25">
      <c r="A378" s="14" t="s">
        <v>6115</v>
      </c>
      <c r="B378" s="14" t="s">
        <v>757</v>
      </c>
      <c r="C378" s="15" t="s">
        <v>758</v>
      </c>
      <c r="D378" s="16">
        <v>3.6229999999999999E-3</v>
      </c>
      <c r="E378" s="17">
        <v>8.9659999999999993</v>
      </c>
      <c r="F378" s="17">
        <v>8.6059999999999999</v>
      </c>
      <c r="G378" s="18">
        <v>0.3604</v>
      </c>
      <c r="H378" s="19">
        <v>7.8049999999999994E-2</v>
      </c>
      <c r="I378" s="18">
        <v>4.6180000000000003</v>
      </c>
      <c r="J378" s="20">
        <v>6</v>
      </c>
      <c r="K378" s="19">
        <v>2.6530000000000001E-2</v>
      </c>
      <c r="L378" s="21">
        <f t="shared" si="20"/>
        <v>1.5762627500176707</v>
      </c>
      <c r="M378" s="21">
        <f t="shared" si="21"/>
        <v>0.35999999999999982</v>
      </c>
      <c r="N378" s="22">
        <f t="shared" si="22"/>
        <v>2.4409316659654632</v>
      </c>
      <c r="O378" s="23">
        <f t="shared" si="23"/>
        <v>1.283425897562904</v>
      </c>
    </row>
    <row r="379" spans="1:15" x14ac:dyDescent="0.25">
      <c r="A379" s="14" t="s">
        <v>6116</v>
      </c>
      <c r="B379" s="14" t="s">
        <v>759</v>
      </c>
      <c r="C379" s="15" t="s">
        <v>760</v>
      </c>
      <c r="D379" s="16">
        <v>3.63E-3</v>
      </c>
      <c r="E379" s="17">
        <v>10.47</v>
      </c>
      <c r="F379" s="17">
        <v>10.09</v>
      </c>
      <c r="G379" s="18">
        <v>0.3805</v>
      </c>
      <c r="H379" s="19">
        <v>8.2439999999999999E-2</v>
      </c>
      <c r="I379" s="18">
        <v>4.6159999999999997</v>
      </c>
      <c r="J379" s="20">
        <v>6</v>
      </c>
      <c r="K379" s="19">
        <v>2.6530000000000001E-2</v>
      </c>
      <c r="L379" s="21">
        <f t="shared" si="20"/>
        <v>1.5762627500176707</v>
      </c>
      <c r="M379" s="21">
        <f t="shared" si="21"/>
        <v>0.38000000000000056</v>
      </c>
      <c r="N379" s="22">
        <f t="shared" si="22"/>
        <v>2.4400933749638871</v>
      </c>
      <c r="O379" s="23">
        <f t="shared" si="23"/>
        <v>1.301341855441934</v>
      </c>
    </row>
    <row r="380" spans="1:15" x14ac:dyDescent="0.25">
      <c r="A380" s="14" t="s">
        <v>6117</v>
      </c>
      <c r="B380" s="14" t="s">
        <v>761</v>
      </c>
      <c r="C380" s="15" t="s">
        <v>762</v>
      </c>
      <c r="D380" s="16">
        <v>3.6480000000000002E-3</v>
      </c>
      <c r="E380" s="17">
        <v>14.22</v>
      </c>
      <c r="F380" s="17">
        <v>14.69</v>
      </c>
      <c r="G380" s="18">
        <v>-0.47460000000000002</v>
      </c>
      <c r="H380" s="19">
        <v>0.10290000000000001</v>
      </c>
      <c r="I380" s="18">
        <v>4.6109999999999998</v>
      </c>
      <c r="J380" s="20">
        <v>6</v>
      </c>
      <c r="K380" s="19">
        <v>2.6588000000000001E-2</v>
      </c>
      <c r="L380" s="21">
        <f t="shared" si="20"/>
        <v>1.5753143298978967</v>
      </c>
      <c r="M380" s="21">
        <f t="shared" si="21"/>
        <v>-0.46999999999999875</v>
      </c>
      <c r="N380" s="22">
        <f t="shared" si="22"/>
        <v>2.437945170343621</v>
      </c>
      <c r="O380" s="23">
        <f t="shared" si="23"/>
        <v>0.72196459776124866</v>
      </c>
    </row>
    <row r="381" spans="1:15" x14ac:dyDescent="0.25">
      <c r="A381" s="14" t="s">
        <v>6118</v>
      </c>
      <c r="B381" s="14" t="s">
        <v>763</v>
      </c>
      <c r="C381" s="15" t="s">
        <v>764</v>
      </c>
      <c r="D381" s="16">
        <v>3.6800000000000001E-3</v>
      </c>
      <c r="E381" s="17">
        <v>14.37</v>
      </c>
      <c r="F381" s="17">
        <v>14.73</v>
      </c>
      <c r="G381" s="18">
        <v>-0.35830000000000001</v>
      </c>
      <c r="H381" s="19">
        <v>7.7840000000000006E-2</v>
      </c>
      <c r="I381" s="18">
        <v>4.6029999999999998</v>
      </c>
      <c r="J381" s="20">
        <v>6</v>
      </c>
      <c r="K381" s="19">
        <v>2.6749999999999999E-2</v>
      </c>
      <c r="L381" s="21">
        <f t="shared" si="20"/>
        <v>1.5726762136427526</v>
      </c>
      <c r="M381" s="21">
        <f t="shared" si="21"/>
        <v>-0.36000000000000115</v>
      </c>
      <c r="N381" s="22">
        <f t="shared" si="22"/>
        <v>2.4341521813264819</v>
      </c>
      <c r="O381" s="23">
        <f t="shared" si="23"/>
        <v>0.77916457966049923</v>
      </c>
    </row>
    <row r="382" spans="1:15" x14ac:dyDescent="0.25">
      <c r="A382" s="14" t="s">
        <v>6119</v>
      </c>
      <c r="B382" s="14" t="s">
        <v>767</v>
      </c>
      <c r="C382" s="15" t="s">
        <v>768</v>
      </c>
      <c r="D382" s="16">
        <v>3.7339999999999999E-3</v>
      </c>
      <c r="E382" s="17">
        <v>10.4</v>
      </c>
      <c r="F382" s="17">
        <v>10.85</v>
      </c>
      <c r="G382" s="18">
        <v>-0.4511</v>
      </c>
      <c r="H382" s="19">
        <v>9.8299999999999998E-2</v>
      </c>
      <c r="I382" s="18">
        <v>4.5890000000000004</v>
      </c>
      <c r="J382" s="20">
        <v>6</v>
      </c>
      <c r="K382" s="19">
        <v>2.6932999999999999E-2</v>
      </c>
      <c r="L382" s="21">
        <f t="shared" si="20"/>
        <v>1.569715268910044</v>
      </c>
      <c r="M382" s="21">
        <f t="shared" si="21"/>
        <v>-0.44999999999999957</v>
      </c>
      <c r="N382" s="22">
        <f t="shared" si="22"/>
        <v>2.4278256863869401</v>
      </c>
      <c r="O382" s="23">
        <f t="shared" si="23"/>
        <v>0.73204284797281294</v>
      </c>
    </row>
    <row r="383" spans="1:15" x14ac:dyDescent="0.25">
      <c r="A383" s="14" t="s">
        <v>6120</v>
      </c>
      <c r="B383" s="14" t="s">
        <v>765</v>
      </c>
      <c r="C383" s="15" t="s">
        <v>766</v>
      </c>
      <c r="D383" s="16">
        <v>3.728E-3</v>
      </c>
      <c r="E383" s="17">
        <v>9.9760000000000009</v>
      </c>
      <c r="F383" s="17">
        <v>9.3759999999999994</v>
      </c>
      <c r="G383" s="18">
        <v>0.60029999999999994</v>
      </c>
      <c r="H383" s="19">
        <v>0.1308</v>
      </c>
      <c r="I383" s="18">
        <v>4.5910000000000002</v>
      </c>
      <c r="J383" s="20">
        <v>6</v>
      </c>
      <c r="K383" s="19">
        <v>2.6932999999999999E-2</v>
      </c>
      <c r="L383" s="21">
        <f t="shared" si="20"/>
        <v>1.569715268910044</v>
      </c>
      <c r="M383" s="21">
        <f t="shared" si="21"/>
        <v>0.6000000000000012</v>
      </c>
      <c r="N383" s="22">
        <f t="shared" si="22"/>
        <v>2.4285240963180557</v>
      </c>
      <c r="O383" s="23">
        <f t="shared" si="23"/>
        <v>1.5157165665103993</v>
      </c>
    </row>
    <row r="384" spans="1:15" x14ac:dyDescent="0.25">
      <c r="A384" s="14" t="s">
        <v>6121</v>
      </c>
      <c r="B384" s="14" t="s">
        <v>769</v>
      </c>
      <c r="C384" s="15" t="s">
        <v>770</v>
      </c>
      <c r="D384" s="16">
        <v>3.7339999999999999E-3</v>
      </c>
      <c r="E384" s="17">
        <v>14.72</v>
      </c>
      <c r="F384" s="17">
        <v>15.24</v>
      </c>
      <c r="G384" s="18">
        <v>-0.5111</v>
      </c>
      <c r="H384" s="19">
        <v>0.1114</v>
      </c>
      <c r="I384" s="18">
        <v>4.5890000000000004</v>
      </c>
      <c r="J384" s="20">
        <v>6</v>
      </c>
      <c r="K384" s="19">
        <v>2.6932999999999999E-2</v>
      </c>
      <c r="L384" s="21">
        <f t="shared" si="20"/>
        <v>1.569715268910044</v>
      </c>
      <c r="M384" s="21">
        <f t="shared" si="21"/>
        <v>-0.51999999999999968</v>
      </c>
      <c r="N384" s="22">
        <f t="shared" si="22"/>
        <v>2.4278256863869401</v>
      </c>
      <c r="O384" s="23">
        <f t="shared" si="23"/>
        <v>0.6973718331752029</v>
      </c>
    </row>
    <row r="385" spans="1:15" x14ac:dyDescent="0.25">
      <c r="A385" s="14" t="s">
        <v>6122</v>
      </c>
      <c r="B385" s="14" t="s">
        <v>771</v>
      </c>
      <c r="C385" s="15" t="s">
        <v>772</v>
      </c>
      <c r="D385" s="16">
        <v>3.7810000000000001E-3</v>
      </c>
      <c r="E385" s="17">
        <v>9.9280000000000008</v>
      </c>
      <c r="F385" s="17">
        <v>10.38</v>
      </c>
      <c r="G385" s="18">
        <v>-0.45540000000000003</v>
      </c>
      <c r="H385" s="19">
        <v>9.9479999999999999E-2</v>
      </c>
      <c r="I385" s="18">
        <v>4.577</v>
      </c>
      <c r="J385" s="20">
        <v>6</v>
      </c>
      <c r="K385" s="19">
        <v>2.7200999999999999E-2</v>
      </c>
      <c r="L385" s="21">
        <f t="shared" si="20"/>
        <v>1.5654151295504062</v>
      </c>
      <c r="M385" s="21">
        <f t="shared" si="21"/>
        <v>-0.45200000000000029</v>
      </c>
      <c r="N385" s="22">
        <f t="shared" si="22"/>
        <v>2.4223933226374643</v>
      </c>
      <c r="O385" s="23">
        <f t="shared" si="23"/>
        <v>0.73102872420001652</v>
      </c>
    </row>
    <row r="386" spans="1:15" x14ac:dyDescent="0.25">
      <c r="A386" s="14" t="s">
        <v>6123</v>
      </c>
      <c r="B386" s="14" t="s">
        <v>775</v>
      </c>
      <c r="C386" s="15" t="s">
        <v>776</v>
      </c>
      <c r="D386" s="16">
        <v>3.8539999999999998E-3</v>
      </c>
      <c r="E386" s="17">
        <v>13.26</v>
      </c>
      <c r="F386" s="17">
        <v>13.79</v>
      </c>
      <c r="G386" s="18">
        <v>-0.53269999999999995</v>
      </c>
      <c r="H386" s="19">
        <v>0.1168</v>
      </c>
      <c r="I386" s="18">
        <v>4.5590000000000002</v>
      </c>
      <c r="J386" s="20">
        <v>6</v>
      </c>
      <c r="K386" s="19">
        <v>2.7581999999999999E-2</v>
      </c>
      <c r="L386" s="21">
        <f t="shared" ref="L386:L449" si="24">-LOG(K386,10)</f>
        <v>1.5593742458660467</v>
      </c>
      <c r="M386" s="21">
        <f t="shared" ref="M386:M449" si="25">LOG(O386,2)</f>
        <v>-0.52999999999999881</v>
      </c>
      <c r="N386" s="22">
        <f t="shared" ref="N386:N449" si="26">-LOG(D386,10)</f>
        <v>2.4140882896805658</v>
      </c>
      <c r="O386" s="23">
        <f t="shared" ref="O386:O449" si="27">((2^E386)/(2^F386))</f>
        <v>0.69255473405546297</v>
      </c>
    </row>
    <row r="387" spans="1:15" x14ac:dyDescent="0.25">
      <c r="A387" s="14" t="s">
        <v>6124</v>
      </c>
      <c r="B387" s="14" t="s">
        <v>773</v>
      </c>
      <c r="C387" s="15" t="s">
        <v>774</v>
      </c>
      <c r="D387" s="16">
        <v>3.852E-3</v>
      </c>
      <c r="E387" s="17">
        <v>12.58</v>
      </c>
      <c r="F387" s="17">
        <v>11.83</v>
      </c>
      <c r="G387" s="18">
        <v>0.74780000000000002</v>
      </c>
      <c r="H387" s="19">
        <v>0.16400000000000001</v>
      </c>
      <c r="I387" s="18">
        <v>4.5599999999999996</v>
      </c>
      <c r="J387" s="20">
        <v>6</v>
      </c>
      <c r="K387" s="19">
        <v>2.7581999999999999E-2</v>
      </c>
      <c r="L387" s="21">
        <f t="shared" si="24"/>
        <v>1.5593742458660467</v>
      </c>
      <c r="M387" s="21">
        <f t="shared" si="25"/>
        <v>0.75000000000000189</v>
      </c>
      <c r="N387" s="22">
        <f t="shared" si="26"/>
        <v>2.414313721547503</v>
      </c>
      <c r="O387" s="23">
        <f t="shared" si="27"/>
        <v>1.6817928305074312</v>
      </c>
    </row>
    <row r="388" spans="1:15" x14ac:dyDescent="0.25">
      <c r="A388" s="14" t="s">
        <v>6125</v>
      </c>
      <c r="B388" s="14" t="s">
        <v>777</v>
      </c>
      <c r="C388" s="15" t="s">
        <v>778</v>
      </c>
      <c r="D388" s="16">
        <v>3.875E-3</v>
      </c>
      <c r="E388" s="17">
        <v>8.8369999999999997</v>
      </c>
      <c r="F388" s="17">
        <v>8.4339999999999993</v>
      </c>
      <c r="G388" s="18">
        <v>0.40339999999999998</v>
      </c>
      <c r="H388" s="19">
        <v>8.8580000000000006E-2</v>
      </c>
      <c r="I388" s="18">
        <v>4.5540000000000003</v>
      </c>
      <c r="J388" s="20">
        <v>6</v>
      </c>
      <c r="K388" s="19">
        <v>2.7656E-2</v>
      </c>
      <c r="L388" s="21">
        <f t="shared" si="24"/>
        <v>1.5582106334656496</v>
      </c>
      <c r="M388" s="21">
        <f t="shared" si="25"/>
        <v>0.40299999999999997</v>
      </c>
      <c r="N388" s="22">
        <f t="shared" si="26"/>
        <v>2.4117282931576707</v>
      </c>
      <c r="O388" s="23">
        <f t="shared" si="27"/>
        <v>1.3222546051425748</v>
      </c>
    </row>
    <row r="389" spans="1:15" x14ac:dyDescent="0.25">
      <c r="A389" s="14" t="s">
        <v>6126</v>
      </c>
      <c r="B389" s="14" t="s">
        <v>781</v>
      </c>
      <c r="C389" s="15" t="s">
        <v>782</v>
      </c>
      <c r="D389" s="16">
        <v>3.9129999999999998E-3</v>
      </c>
      <c r="E389" s="17">
        <v>14.76</v>
      </c>
      <c r="F389" s="17">
        <v>15.16</v>
      </c>
      <c r="G389" s="18">
        <v>-0.40079999999999999</v>
      </c>
      <c r="H389" s="19">
        <v>8.8190000000000004E-2</v>
      </c>
      <c r="I389" s="18">
        <v>4.5449999999999999</v>
      </c>
      <c r="J389" s="20">
        <v>6</v>
      </c>
      <c r="K389" s="19">
        <v>2.7786000000000002E-2</v>
      </c>
      <c r="L389" s="21">
        <f t="shared" si="24"/>
        <v>1.5561739686224627</v>
      </c>
      <c r="M389" s="21">
        <f t="shared" si="25"/>
        <v>-0.40000000000000008</v>
      </c>
      <c r="N389" s="22">
        <f t="shared" si="26"/>
        <v>2.4074901520993199</v>
      </c>
      <c r="O389" s="23">
        <f t="shared" si="27"/>
        <v>0.75785828325519899</v>
      </c>
    </row>
    <row r="390" spans="1:15" x14ac:dyDescent="0.25">
      <c r="A390" s="14" t="s">
        <v>6127</v>
      </c>
      <c r="B390" s="14" t="s">
        <v>779</v>
      </c>
      <c r="C390" s="15" t="s">
        <v>780</v>
      </c>
      <c r="D390" s="16">
        <v>3.9110000000000004E-3</v>
      </c>
      <c r="E390" s="17">
        <v>9.2629999999999999</v>
      </c>
      <c r="F390" s="17">
        <v>8.76</v>
      </c>
      <c r="G390" s="18">
        <v>0.50290000000000001</v>
      </c>
      <c r="H390" s="19">
        <v>0.1106</v>
      </c>
      <c r="I390" s="18">
        <v>4.5449999999999999</v>
      </c>
      <c r="J390" s="20">
        <v>6</v>
      </c>
      <c r="K390" s="19">
        <v>2.7786000000000002E-2</v>
      </c>
      <c r="L390" s="21">
        <f t="shared" si="24"/>
        <v>1.5561739686224627</v>
      </c>
      <c r="M390" s="21">
        <f t="shared" si="25"/>
        <v>0.503</v>
      </c>
      <c r="N390" s="22">
        <f t="shared" si="26"/>
        <v>2.407712184047869</v>
      </c>
      <c r="O390" s="23">
        <f t="shared" si="27"/>
        <v>1.4171573965082165</v>
      </c>
    </row>
    <row r="391" spans="1:15" x14ac:dyDescent="0.25">
      <c r="A391" s="14" t="s">
        <v>6128</v>
      </c>
      <c r="B391" s="14" t="s">
        <v>783</v>
      </c>
      <c r="C391" s="15" t="s">
        <v>784</v>
      </c>
      <c r="D391" s="16">
        <v>3.9300000000000003E-3</v>
      </c>
      <c r="E391" s="17">
        <v>11.24</v>
      </c>
      <c r="F391" s="17">
        <v>10.99</v>
      </c>
      <c r="G391" s="18">
        <v>0.25069999999999998</v>
      </c>
      <c r="H391" s="19">
        <v>5.5199999999999999E-2</v>
      </c>
      <c r="I391" s="18">
        <v>4.5410000000000004</v>
      </c>
      <c r="J391" s="20">
        <v>6</v>
      </c>
      <c r="K391" s="19">
        <v>2.7833E-2</v>
      </c>
      <c r="L391" s="21">
        <f t="shared" si="24"/>
        <v>1.5554399803987247</v>
      </c>
      <c r="M391" s="21">
        <f t="shared" si="25"/>
        <v>0.25000000000000078</v>
      </c>
      <c r="N391" s="22">
        <f t="shared" si="26"/>
        <v>2.4056074496245734</v>
      </c>
      <c r="O391" s="23">
        <f t="shared" si="27"/>
        <v>1.1892071150027217</v>
      </c>
    </row>
    <row r="392" spans="1:15" x14ac:dyDescent="0.25">
      <c r="A392" s="14" t="s">
        <v>6129</v>
      </c>
      <c r="B392" s="14" t="s">
        <v>785</v>
      </c>
      <c r="C392" s="15" t="s">
        <v>786</v>
      </c>
      <c r="D392" s="16">
        <v>4.0390000000000001E-3</v>
      </c>
      <c r="E392" s="17">
        <v>12.15</v>
      </c>
      <c r="F392" s="17">
        <v>12.55</v>
      </c>
      <c r="G392" s="18">
        <v>-0.39989999999999998</v>
      </c>
      <c r="H392" s="19">
        <v>8.8569999999999996E-2</v>
      </c>
      <c r="I392" s="18">
        <v>4.5149999999999997</v>
      </c>
      <c r="J392" s="20">
        <v>6</v>
      </c>
      <c r="K392" s="19">
        <v>2.8531999999999998E-2</v>
      </c>
      <c r="L392" s="21">
        <f t="shared" si="24"/>
        <v>1.5446677846513541</v>
      </c>
      <c r="M392" s="21">
        <f t="shared" si="25"/>
        <v>-0.39999999999999991</v>
      </c>
      <c r="N392" s="22">
        <f t="shared" si="26"/>
        <v>2.3937261468300117</v>
      </c>
      <c r="O392" s="23">
        <f t="shared" si="27"/>
        <v>0.75785828325519911</v>
      </c>
    </row>
    <row r="393" spans="1:15" x14ac:dyDescent="0.25">
      <c r="A393" s="14" t="s">
        <v>6130</v>
      </c>
      <c r="B393" s="14" t="s">
        <v>787</v>
      </c>
      <c r="C393" s="15" t="s">
        <v>788</v>
      </c>
      <c r="D393" s="16">
        <v>4.0489999999999996E-3</v>
      </c>
      <c r="E393" s="17">
        <v>9.6839999999999993</v>
      </c>
      <c r="F393" s="17">
        <v>8.9280000000000008</v>
      </c>
      <c r="G393" s="18">
        <v>0.75539999999999996</v>
      </c>
      <c r="H393" s="19">
        <v>0.16739999999999999</v>
      </c>
      <c r="I393" s="18">
        <v>4.5129999999999999</v>
      </c>
      <c r="J393" s="20">
        <v>6</v>
      </c>
      <c r="K393" s="19">
        <v>2.8532999999999999E-2</v>
      </c>
      <c r="L393" s="21">
        <f t="shared" si="24"/>
        <v>1.5446525636058115</v>
      </c>
      <c r="M393" s="21">
        <f t="shared" si="25"/>
        <v>0.75599999999999945</v>
      </c>
      <c r="N393" s="22">
        <f t="shared" si="26"/>
        <v>2.3926522232315866</v>
      </c>
      <c r="O393" s="23">
        <f t="shared" si="27"/>
        <v>1.6888017748475632</v>
      </c>
    </row>
    <row r="394" spans="1:15" x14ac:dyDescent="0.25">
      <c r="A394" s="14" t="s">
        <v>6131</v>
      </c>
      <c r="B394" s="14" t="s">
        <v>789</v>
      </c>
      <c r="C394" s="15" t="s">
        <v>790</v>
      </c>
      <c r="D394" s="16">
        <v>4.0699999999999998E-3</v>
      </c>
      <c r="E394" s="17">
        <v>10.39</v>
      </c>
      <c r="F394" s="17">
        <v>10.050000000000001</v>
      </c>
      <c r="G394" s="18">
        <v>0.34720000000000001</v>
      </c>
      <c r="H394" s="19">
        <v>7.7020000000000005E-2</v>
      </c>
      <c r="I394" s="18">
        <v>4.508</v>
      </c>
      <c r="J394" s="20">
        <v>6</v>
      </c>
      <c r="K394" s="19">
        <v>2.861E-2</v>
      </c>
      <c r="L394" s="21">
        <f t="shared" si="24"/>
        <v>1.5434821421947371</v>
      </c>
      <c r="M394" s="21">
        <f t="shared" si="25"/>
        <v>0.33999999999999897</v>
      </c>
      <c r="N394" s="22">
        <f t="shared" si="26"/>
        <v>2.3904055907747797</v>
      </c>
      <c r="O394" s="23">
        <f t="shared" si="27"/>
        <v>1.2657565939702791</v>
      </c>
    </row>
    <row r="395" spans="1:15" x14ac:dyDescent="0.25">
      <c r="A395" s="14" t="s">
        <v>6132</v>
      </c>
      <c r="B395" s="14" t="s">
        <v>791</v>
      </c>
      <c r="C395" s="15" t="s">
        <v>792</v>
      </c>
      <c r="D395" s="16">
        <v>4.1399999999999996E-3</v>
      </c>
      <c r="E395" s="17">
        <v>8.1620000000000008</v>
      </c>
      <c r="F395" s="17">
        <v>8.4860000000000007</v>
      </c>
      <c r="G395" s="18">
        <v>-0.32400000000000001</v>
      </c>
      <c r="H395" s="19">
        <v>7.2139999999999996E-2</v>
      </c>
      <c r="I395" s="18">
        <v>4.492</v>
      </c>
      <c r="J395" s="20">
        <v>6</v>
      </c>
      <c r="K395" s="19">
        <v>2.9028999999999999E-2</v>
      </c>
      <c r="L395" s="21">
        <f t="shared" si="24"/>
        <v>1.5371679246217251</v>
      </c>
      <c r="M395" s="21">
        <f t="shared" si="25"/>
        <v>-0.32400000000000018</v>
      </c>
      <c r="N395" s="22">
        <f t="shared" si="26"/>
        <v>2.3829996588791009</v>
      </c>
      <c r="O395" s="23">
        <f t="shared" si="27"/>
        <v>0.79885191644914788</v>
      </c>
    </row>
    <row r="396" spans="1:15" x14ac:dyDescent="0.25">
      <c r="A396" s="14" t="s">
        <v>6133</v>
      </c>
      <c r="B396" s="14" t="s">
        <v>795</v>
      </c>
      <c r="C396" s="15" t="s">
        <v>796</v>
      </c>
      <c r="D396" s="16">
        <v>4.176E-3</v>
      </c>
      <c r="E396" s="17">
        <v>8.484</v>
      </c>
      <c r="F396" s="17">
        <v>7.97</v>
      </c>
      <c r="G396" s="18">
        <v>0.51439999999999997</v>
      </c>
      <c r="H396" s="19">
        <v>0.1147</v>
      </c>
      <c r="I396" s="18">
        <v>4.484</v>
      </c>
      <c r="J396" s="20">
        <v>6</v>
      </c>
      <c r="K396" s="19">
        <v>2.9132999999999999E-2</v>
      </c>
      <c r="L396" s="21">
        <f t="shared" si="24"/>
        <v>1.535614791158102</v>
      </c>
      <c r="M396" s="21">
        <f t="shared" si="25"/>
        <v>0.51399999999999979</v>
      </c>
      <c r="N396" s="22">
        <f t="shared" si="26"/>
        <v>2.3792395100057941</v>
      </c>
      <c r="O396" s="23">
        <f t="shared" si="27"/>
        <v>1.4280039796850639</v>
      </c>
    </row>
    <row r="397" spans="1:15" x14ac:dyDescent="0.25">
      <c r="A397" s="14" t="s">
        <v>6134</v>
      </c>
      <c r="B397" s="14" t="s">
        <v>793</v>
      </c>
      <c r="C397" s="15" t="s">
        <v>794</v>
      </c>
      <c r="D397" s="16">
        <v>4.1739999999999998E-3</v>
      </c>
      <c r="E397" s="17">
        <v>10.71</v>
      </c>
      <c r="F397" s="17">
        <v>10.199999999999999</v>
      </c>
      <c r="G397" s="18">
        <v>0.51329999999999998</v>
      </c>
      <c r="H397" s="19">
        <v>0.1145</v>
      </c>
      <c r="I397" s="18">
        <v>4.484</v>
      </c>
      <c r="J397" s="20">
        <v>6</v>
      </c>
      <c r="K397" s="19">
        <v>2.9132999999999999E-2</v>
      </c>
      <c r="L397" s="21">
        <f t="shared" si="24"/>
        <v>1.535614791158102</v>
      </c>
      <c r="M397" s="21">
        <f t="shared" si="25"/>
        <v>0.51000000000000179</v>
      </c>
      <c r="N397" s="22">
        <f t="shared" si="26"/>
        <v>2.3794475552705645</v>
      </c>
      <c r="O397" s="23">
        <f t="shared" si="27"/>
        <v>1.4240501955970735</v>
      </c>
    </row>
    <row r="398" spans="1:15" x14ac:dyDescent="0.25">
      <c r="A398" s="14" t="s">
        <v>6135</v>
      </c>
      <c r="B398" s="14" t="s">
        <v>797</v>
      </c>
      <c r="C398" s="15" t="s">
        <v>798</v>
      </c>
      <c r="D398" s="16">
        <v>4.215E-3</v>
      </c>
      <c r="E398" s="17">
        <v>10.02</v>
      </c>
      <c r="F398" s="17">
        <v>10.32</v>
      </c>
      <c r="G398" s="18">
        <v>-0.29770000000000002</v>
      </c>
      <c r="H398" s="19">
        <v>6.6540000000000002E-2</v>
      </c>
      <c r="I398" s="18">
        <v>4.4749999999999996</v>
      </c>
      <c r="J398" s="20">
        <v>6</v>
      </c>
      <c r="K398" s="19">
        <v>2.9329000000000001E-2</v>
      </c>
      <c r="L398" s="21">
        <f t="shared" si="24"/>
        <v>1.5327027444482122</v>
      </c>
      <c r="M398" s="21">
        <f t="shared" si="25"/>
        <v>-0.29999999999999988</v>
      </c>
      <c r="N398" s="22">
        <f t="shared" si="26"/>
        <v>2.3752024210392388</v>
      </c>
      <c r="O398" s="23">
        <f t="shared" si="27"/>
        <v>0.81225239635623558</v>
      </c>
    </row>
    <row r="399" spans="1:15" x14ac:dyDescent="0.25">
      <c r="A399" s="14" t="s">
        <v>6136</v>
      </c>
      <c r="B399" s="14" t="s">
        <v>801</v>
      </c>
      <c r="C399" s="15" t="s">
        <v>802</v>
      </c>
      <c r="D399" s="16">
        <v>4.2529999999999998E-3</v>
      </c>
      <c r="E399" s="17">
        <v>9.7089999999999996</v>
      </c>
      <c r="F399" s="17">
        <v>10.01</v>
      </c>
      <c r="G399" s="18">
        <v>-0.30520000000000003</v>
      </c>
      <c r="H399" s="19">
        <v>6.8339999999999998E-2</v>
      </c>
      <c r="I399" s="18">
        <v>4.4669999999999996</v>
      </c>
      <c r="J399" s="20">
        <v>6</v>
      </c>
      <c r="K399" s="19">
        <v>2.9447000000000001E-2</v>
      </c>
      <c r="L399" s="21">
        <f t="shared" si="24"/>
        <v>1.5309589436548423</v>
      </c>
      <c r="M399" s="21">
        <f t="shared" si="25"/>
        <v>-0.30099999999999932</v>
      </c>
      <c r="N399" s="22">
        <f t="shared" si="26"/>
        <v>2.3713046172859764</v>
      </c>
      <c r="O399" s="23">
        <f t="shared" si="27"/>
        <v>0.81168958097727895</v>
      </c>
    </row>
    <row r="400" spans="1:15" x14ac:dyDescent="0.25">
      <c r="A400" s="14" t="s">
        <v>6137</v>
      </c>
      <c r="B400" s="14" t="s">
        <v>799</v>
      </c>
      <c r="C400" s="15" t="s">
        <v>800</v>
      </c>
      <c r="D400" s="16">
        <v>4.2490000000000002E-3</v>
      </c>
      <c r="E400" s="17">
        <v>8.7590000000000003</v>
      </c>
      <c r="F400" s="17">
        <v>8.0419999999999998</v>
      </c>
      <c r="G400" s="18">
        <v>0.71709999999999996</v>
      </c>
      <c r="H400" s="19">
        <v>0.1605</v>
      </c>
      <c r="I400" s="18">
        <v>4.4669999999999996</v>
      </c>
      <c r="J400" s="20">
        <v>6</v>
      </c>
      <c r="K400" s="19">
        <v>2.9447000000000001E-2</v>
      </c>
      <c r="L400" s="21">
        <f t="shared" si="24"/>
        <v>1.5309589436548423</v>
      </c>
      <c r="M400" s="21">
        <f t="shared" si="25"/>
        <v>0.71700000000000086</v>
      </c>
      <c r="N400" s="22">
        <f t="shared" si="26"/>
        <v>2.3717132689104856</v>
      </c>
      <c r="O400" s="23">
        <f t="shared" si="27"/>
        <v>1.6437603745897023</v>
      </c>
    </row>
    <row r="401" spans="1:15" x14ac:dyDescent="0.25">
      <c r="A401" s="14" t="s">
        <v>6138</v>
      </c>
      <c r="B401" s="14" t="s">
        <v>803</v>
      </c>
      <c r="C401" s="15" t="s">
        <v>804</v>
      </c>
      <c r="D401" s="16">
        <v>4.3090000000000003E-3</v>
      </c>
      <c r="E401" s="17">
        <v>11.58</v>
      </c>
      <c r="F401" s="17">
        <v>11.83</v>
      </c>
      <c r="G401" s="18">
        <v>-0.24640000000000001</v>
      </c>
      <c r="H401" s="19">
        <v>5.5320000000000001E-2</v>
      </c>
      <c r="I401" s="18">
        <v>4.4539999999999997</v>
      </c>
      <c r="J401" s="20">
        <v>6</v>
      </c>
      <c r="K401" s="19">
        <v>2.9759000000000001E-2</v>
      </c>
      <c r="L401" s="21">
        <f t="shared" si="24"/>
        <v>1.5263816665999046</v>
      </c>
      <c r="M401" s="21">
        <f t="shared" si="25"/>
        <v>-0.24999999999999817</v>
      </c>
      <c r="N401" s="22">
        <f t="shared" si="26"/>
        <v>2.365623505911632</v>
      </c>
      <c r="O401" s="23">
        <f t="shared" si="27"/>
        <v>0.84089641525371561</v>
      </c>
    </row>
    <row r="402" spans="1:15" x14ac:dyDescent="0.25">
      <c r="A402" s="14" t="s">
        <v>6139</v>
      </c>
      <c r="B402" s="14" t="s">
        <v>807</v>
      </c>
      <c r="C402" s="15" t="s">
        <v>808</v>
      </c>
      <c r="D402" s="16">
        <v>4.3359999999999996E-3</v>
      </c>
      <c r="E402" s="17">
        <v>10.33</v>
      </c>
      <c r="F402" s="17">
        <v>10.050000000000001</v>
      </c>
      <c r="G402" s="18">
        <v>0.28060000000000002</v>
      </c>
      <c r="H402" s="19">
        <v>6.3079999999999997E-2</v>
      </c>
      <c r="I402" s="18">
        <v>4.4489999999999998</v>
      </c>
      <c r="J402" s="20">
        <v>6</v>
      </c>
      <c r="K402" s="19">
        <v>2.9793E-2</v>
      </c>
      <c r="L402" s="21">
        <f t="shared" si="24"/>
        <v>1.5258857633896317</v>
      </c>
      <c r="M402" s="21">
        <f t="shared" si="25"/>
        <v>0.27999999999999936</v>
      </c>
      <c r="N402" s="22">
        <f t="shared" si="26"/>
        <v>2.3629107264696692</v>
      </c>
      <c r="O402" s="23">
        <f t="shared" si="27"/>
        <v>1.2141948843950463</v>
      </c>
    </row>
    <row r="403" spans="1:15" x14ac:dyDescent="0.25">
      <c r="A403" s="14" t="s">
        <v>6140</v>
      </c>
      <c r="B403" s="14" t="s">
        <v>805</v>
      </c>
      <c r="C403" s="15" t="s">
        <v>806</v>
      </c>
      <c r="D403" s="16">
        <v>4.3319999999999999E-3</v>
      </c>
      <c r="E403" s="17">
        <v>7.9459999999999997</v>
      </c>
      <c r="F403" s="17">
        <v>8.3979999999999997</v>
      </c>
      <c r="G403" s="18">
        <v>-0.45269999999999999</v>
      </c>
      <c r="H403" s="19">
        <v>0.1017</v>
      </c>
      <c r="I403" s="18">
        <v>4.4489999999999998</v>
      </c>
      <c r="J403" s="20">
        <v>6</v>
      </c>
      <c r="K403" s="19">
        <v>2.9793E-2</v>
      </c>
      <c r="L403" s="21">
        <f t="shared" si="24"/>
        <v>1.5258857633896317</v>
      </c>
      <c r="M403" s="21">
        <f t="shared" si="25"/>
        <v>-0.4519999999999989</v>
      </c>
      <c r="N403" s="22">
        <f t="shared" si="26"/>
        <v>2.3633115520467172</v>
      </c>
      <c r="O403" s="23">
        <f t="shared" si="27"/>
        <v>0.73102872420001719</v>
      </c>
    </row>
    <row r="404" spans="1:15" x14ac:dyDescent="0.25">
      <c r="A404" s="14" t="s">
        <v>6141</v>
      </c>
      <c r="B404" s="14" t="s">
        <v>809</v>
      </c>
      <c r="C404" s="15" t="s">
        <v>810</v>
      </c>
      <c r="D404" s="16">
        <v>4.3550000000000004E-3</v>
      </c>
      <c r="E404" s="17">
        <v>8.8550000000000004</v>
      </c>
      <c r="F404" s="17">
        <v>9.2270000000000003</v>
      </c>
      <c r="G404" s="18">
        <v>-0.37209999999999999</v>
      </c>
      <c r="H404" s="19">
        <v>8.3720000000000003E-2</v>
      </c>
      <c r="I404" s="18">
        <v>4.444</v>
      </c>
      <c r="J404" s="20">
        <v>6</v>
      </c>
      <c r="K404" s="19">
        <v>2.9850000000000002E-2</v>
      </c>
      <c r="L404" s="21">
        <f t="shared" si="24"/>
        <v>1.5250556645346118</v>
      </c>
      <c r="M404" s="21">
        <f t="shared" si="25"/>
        <v>-0.37199999999999978</v>
      </c>
      <c r="N404" s="22">
        <f t="shared" si="26"/>
        <v>2.3610118406563179</v>
      </c>
      <c r="O404" s="23">
        <f t="shared" si="27"/>
        <v>0.77271054964798747</v>
      </c>
    </row>
    <row r="405" spans="1:15" x14ac:dyDescent="0.25">
      <c r="A405" s="14" t="s">
        <v>6142</v>
      </c>
      <c r="B405" s="14" t="s">
        <v>819</v>
      </c>
      <c r="C405" s="15" t="s">
        <v>820</v>
      </c>
      <c r="D405" s="16">
        <v>4.4429999999999999E-3</v>
      </c>
      <c r="E405" s="17">
        <v>9.5299999999999994</v>
      </c>
      <c r="F405" s="17">
        <v>8.9440000000000008</v>
      </c>
      <c r="G405" s="18">
        <v>0.58579999999999999</v>
      </c>
      <c r="H405" s="19">
        <v>0.13239999999999999</v>
      </c>
      <c r="I405" s="18">
        <v>4.4260000000000002</v>
      </c>
      <c r="J405" s="20">
        <v>6</v>
      </c>
      <c r="K405" s="19">
        <v>3.0082000000000001E-2</v>
      </c>
      <c r="L405" s="21">
        <f t="shared" si="24"/>
        <v>1.5216932930774323</v>
      </c>
      <c r="M405" s="21">
        <f t="shared" si="25"/>
        <v>0.58599999999999808</v>
      </c>
      <c r="N405" s="22">
        <f t="shared" si="26"/>
        <v>2.3523236867591288</v>
      </c>
      <c r="O405" s="23">
        <f t="shared" si="27"/>
        <v>1.5010790975143691</v>
      </c>
    </row>
    <row r="406" spans="1:15" x14ac:dyDescent="0.25">
      <c r="A406" s="14" t="s">
        <v>6143</v>
      </c>
      <c r="B406" s="14" t="s">
        <v>817</v>
      </c>
      <c r="C406" s="15" t="s">
        <v>818</v>
      </c>
      <c r="D406" s="16">
        <v>4.4359999999999998E-3</v>
      </c>
      <c r="E406" s="17">
        <v>10.1</v>
      </c>
      <c r="F406" s="17">
        <v>9.5299999999999994</v>
      </c>
      <c r="G406" s="18">
        <v>0.5736</v>
      </c>
      <c r="H406" s="19">
        <v>0.12959999999999999</v>
      </c>
      <c r="I406" s="18">
        <v>4.4269999999999996</v>
      </c>
      <c r="J406" s="20">
        <v>6</v>
      </c>
      <c r="K406" s="19">
        <v>3.0082000000000001E-2</v>
      </c>
      <c r="L406" s="21">
        <f t="shared" si="24"/>
        <v>1.5216932930774323</v>
      </c>
      <c r="M406" s="21">
        <f t="shared" si="25"/>
        <v>0.57000000000000028</v>
      </c>
      <c r="N406" s="22">
        <f t="shared" si="26"/>
        <v>2.3530084625228773</v>
      </c>
      <c r="O406" s="23">
        <f t="shared" si="27"/>
        <v>1.4845235706290494</v>
      </c>
    </row>
    <row r="407" spans="1:15" x14ac:dyDescent="0.25">
      <c r="A407" s="14" t="s">
        <v>6144</v>
      </c>
      <c r="B407" s="14" t="s">
        <v>815</v>
      </c>
      <c r="C407" s="15" t="s">
        <v>816</v>
      </c>
      <c r="D407" s="16">
        <v>4.424E-3</v>
      </c>
      <c r="E407" s="17">
        <v>8.9420000000000002</v>
      </c>
      <c r="F407" s="17">
        <v>8.3780000000000001</v>
      </c>
      <c r="G407" s="18">
        <v>0.5635</v>
      </c>
      <c r="H407" s="19">
        <v>0.12720000000000001</v>
      </c>
      <c r="I407" s="18">
        <v>4.43</v>
      </c>
      <c r="J407" s="20">
        <v>6</v>
      </c>
      <c r="K407" s="19">
        <v>3.0082000000000001E-2</v>
      </c>
      <c r="L407" s="21">
        <f t="shared" si="24"/>
        <v>1.5216932930774323</v>
      </c>
      <c r="M407" s="21">
        <f t="shared" si="25"/>
        <v>0.56400000000000028</v>
      </c>
      <c r="N407" s="22">
        <f t="shared" si="26"/>
        <v>2.3541848817033579</v>
      </c>
      <c r="O407" s="23">
        <f t="shared" si="27"/>
        <v>1.4783624312738421</v>
      </c>
    </row>
    <row r="408" spans="1:15" x14ac:dyDescent="0.25">
      <c r="A408" s="14" t="s">
        <v>6145</v>
      </c>
      <c r="B408" s="14" t="s">
        <v>811</v>
      </c>
      <c r="C408" s="15" t="s">
        <v>812</v>
      </c>
      <c r="D408" s="16">
        <v>4.4149999999999997E-3</v>
      </c>
      <c r="E408" s="17">
        <v>10.16</v>
      </c>
      <c r="F408" s="17">
        <v>10.57</v>
      </c>
      <c r="G408" s="18">
        <v>-0.40770000000000001</v>
      </c>
      <c r="H408" s="19">
        <v>9.1990000000000002E-2</v>
      </c>
      <c r="I408" s="18">
        <v>4.4320000000000004</v>
      </c>
      <c r="J408" s="20">
        <v>6</v>
      </c>
      <c r="K408" s="19">
        <v>3.0082000000000001E-2</v>
      </c>
      <c r="L408" s="21">
        <f t="shared" si="24"/>
        <v>1.5216932930774323</v>
      </c>
      <c r="M408" s="21">
        <f t="shared" si="25"/>
        <v>-0.41000000000000053</v>
      </c>
      <c r="N408" s="22">
        <f t="shared" si="26"/>
        <v>2.3550692920864122</v>
      </c>
      <c r="O408" s="23">
        <f t="shared" si="27"/>
        <v>0.75262337370553334</v>
      </c>
    </row>
    <row r="409" spans="1:15" x14ac:dyDescent="0.25">
      <c r="A409" s="14" t="s">
        <v>6146</v>
      </c>
      <c r="B409" s="14" t="s">
        <v>813</v>
      </c>
      <c r="C409" s="15" t="s">
        <v>814</v>
      </c>
      <c r="D409" s="16">
        <v>4.4159999999999998E-3</v>
      </c>
      <c r="E409" s="17">
        <v>10.83</v>
      </c>
      <c r="F409" s="17">
        <v>10.49</v>
      </c>
      <c r="G409" s="18">
        <v>0.34410000000000002</v>
      </c>
      <c r="H409" s="19">
        <v>7.7649999999999997E-2</v>
      </c>
      <c r="I409" s="18">
        <v>4.4320000000000004</v>
      </c>
      <c r="J409" s="20">
        <v>6</v>
      </c>
      <c r="K409" s="19">
        <v>3.0082000000000001E-2</v>
      </c>
      <c r="L409" s="21">
        <f t="shared" si="24"/>
        <v>1.5216932930774323</v>
      </c>
      <c r="M409" s="21">
        <f t="shared" si="25"/>
        <v>0.34000000000000025</v>
      </c>
      <c r="N409" s="22">
        <f t="shared" si="26"/>
        <v>2.3549709352788577</v>
      </c>
      <c r="O409" s="23">
        <f t="shared" si="27"/>
        <v>1.2657565939702802</v>
      </c>
    </row>
    <row r="410" spans="1:15" x14ac:dyDescent="0.25">
      <c r="A410" s="14" t="s">
        <v>6147</v>
      </c>
      <c r="B410" s="14" t="s">
        <v>821</v>
      </c>
      <c r="C410" s="15" t="s">
        <v>822</v>
      </c>
      <c r="D410" s="16">
        <v>4.4590000000000003E-3</v>
      </c>
      <c r="E410" s="17">
        <v>8.9209999999999994</v>
      </c>
      <c r="F410" s="17">
        <v>8.6069999999999993</v>
      </c>
      <c r="G410" s="18">
        <v>0.31409999999999999</v>
      </c>
      <c r="H410" s="19">
        <v>7.102E-2</v>
      </c>
      <c r="I410" s="18">
        <v>4.423</v>
      </c>
      <c r="J410" s="20">
        <v>6</v>
      </c>
      <c r="K410" s="19">
        <v>3.0105E-2</v>
      </c>
      <c r="L410" s="21">
        <f t="shared" si="24"/>
        <v>1.5213613684568332</v>
      </c>
      <c r="M410" s="21">
        <f t="shared" si="25"/>
        <v>0.3139999999999995</v>
      </c>
      <c r="N410" s="22">
        <f t="shared" si="26"/>
        <v>2.3507625276503923</v>
      </c>
      <c r="O410" s="23">
        <f t="shared" si="27"/>
        <v>1.2431496689039392</v>
      </c>
    </row>
    <row r="411" spans="1:15" x14ac:dyDescent="0.25">
      <c r="A411" s="14" t="s">
        <v>6148</v>
      </c>
      <c r="B411" s="14" t="s">
        <v>823</v>
      </c>
      <c r="C411" s="15" t="s">
        <v>824</v>
      </c>
      <c r="D411" s="16">
        <v>4.4679999999999997E-3</v>
      </c>
      <c r="E411" s="17">
        <v>9.0920000000000005</v>
      </c>
      <c r="F411" s="17">
        <v>9.5809999999999995</v>
      </c>
      <c r="G411" s="18">
        <v>-0.48870000000000002</v>
      </c>
      <c r="H411" s="19">
        <v>0.1106</v>
      </c>
      <c r="I411" s="18">
        <v>4.4210000000000003</v>
      </c>
      <c r="J411" s="20">
        <v>6</v>
      </c>
      <c r="K411" s="19">
        <v>3.0105E-2</v>
      </c>
      <c r="L411" s="21">
        <f t="shared" si="24"/>
        <v>1.5213613684568332</v>
      </c>
      <c r="M411" s="21">
        <f t="shared" si="25"/>
        <v>-0.48899999999999921</v>
      </c>
      <c r="N411" s="22">
        <f t="shared" si="26"/>
        <v>2.3498868355564282</v>
      </c>
      <c r="O411" s="23">
        <f t="shared" si="27"/>
        <v>0.71251880707439252</v>
      </c>
    </row>
    <row r="412" spans="1:15" x14ac:dyDescent="0.25">
      <c r="A412" s="14" t="s">
        <v>6149</v>
      </c>
      <c r="B412" s="14" t="s">
        <v>825</v>
      </c>
      <c r="C412" s="15" t="s">
        <v>826</v>
      </c>
      <c r="D412" s="16">
        <v>4.4869999999999997E-3</v>
      </c>
      <c r="E412" s="17">
        <v>9.1</v>
      </c>
      <c r="F412" s="17">
        <v>8.7750000000000004</v>
      </c>
      <c r="G412" s="18">
        <v>0.32490000000000002</v>
      </c>
      <c r="H412" s="19">
        <v>7.3569999999999997E-2</v>
      </c>
      <c r="I412" s="18">
        <v>4.4169999999999998</v>
      </c>
      <c r="J412" s="20">
        <v>6</v>
      </c>
      <c r="K412" s="19">
        <v>3.0109E-2</v>
      </c>
      <c r="L412" s="21">
        <f t="shared" si="24"/>
        <v>1.5213036683229715</v>
      </c>
      <c r="M412" s="21">
        <f t="shared" si="25"/>
        <v>0.32500000000000051</v>
      </c>
      <c r="N412" s="22">
        <f t="shared" si="26"/>
        <v>2.3480439304669258</v>
      </c>
      <c r="O412" s="23">
        <f t="shared" si="27"/>
        <v>1.2526644386241284</v>
      </c>
    </row>
    <row r="413" spans="1:15" x14ac:dyDescent="0.25">
      <c r="A413" s="14" t="s">
        <v>6150</v>
      </c>
      <c r="B413" s="14" t="s">
        <v>827</v>
      </c>
      <c r="C413" s="15" t="s">
        <v>828</v>
      </c>
      <c r="D413" s="16">
        <v>4.4910000000000002E-3</v>
      </c>
      <c r="E413" s="17">
        <v>12.67</v>
      </c>
      <c r="F413" s="17">
        <v>13.23</v>
      </c>
      <c r="G413" s="18">
        <v>-0.56359999999999999</v>
      </c>
      <c r="H413" s="19">
        <v>0.12759999999999999</v>
      </c>
      <c r="I413" s="18">
        <v>4.4160000000000004</v>
      </c>
      <c r="J413" s="20">
        <v>6</v>
      </c>
      <c r="K413" s="19">
        <v>3.0109E-2</v>
      </c>
      <c r="L413" s="21">
        <f t="shared" si="24"/>
        <v>1.5213036683229715</v>
      </c>
      <c r="M413" s="21">
        <f t="shared" si="25"/>
        <v>-0.5599999999999985</v>
      </c>
      <c r="N413" s="22">
        <f t="shared" si="26"/>
        <v>2.3476569449372851</v>
      </c>
      <c r="O413" s="23">
        <f t="shared" si="27"/>
        <v>0.67830216372383667</v>
      </c>
    </row>
    <row r="414" spans="1:15" x14ac:dyDescent="0.25">
      <c r="A414" s="14" t="s">
        <v>6151</v>
      </c>
      <c r="B414" s="14" t="s">
        <v>829</v>
      </c>
      <c r="C414" s="15" t="s">
        <v>830</v>
      </c>
      <c r="D414" s="16">
        <v>4.5170000000000002E-3</v>
      </c>
      <c r="E414" s="17">
        <v>8.8130000000000006</v>
      </c>
      <c r="F414" s="17">
        <v>8.5429999999999993</v>
      </c>
      <c r="G414" s="18">
        <v>0.2697</v>
      </c>
      <c r="H414" s="19">
        <v>6.114E-2</v>
      </c>
      <c r="I414" s="18">
        <v>4.4109999999999996</v>
      </c>
      <c r="J414" s="20">
        <v>6</v>
      </c>
      <c r="K414" s="19">
        <v>3.0210000000000001E-2</v>
      </c>
      <c r="L414" s="21">
        <f t="shared" si="24"/>
        <v>1.5198492747267194</v>
      </c>
      <c r="M414" s="21">
        <f t="shared" si="25"/>
        <v>0.27000000000000135</v>
      </c>
      <c r="N414" s="22">
        <f t="shared" si="26"/>
        <v>2.3451499094386055</v>
      </c>
      <c r="O414" s="23">
        <f t="shared" si="27"/>
        <v>1.2058078276907616</v>
      </c>
    </row>
    <row r="415" spans="1:15" x14ac:dyDescent="0.25">
      <c r="A415" s="14" t="s">
        <v>6152</v>
      </c>
      <c r="B415" s="14" t="s">
        <v>831</v>
      </c>
      <c r="C415" s="15" t="s">
        <v>832</v>
      </c>
      <c r="D415" s="16">
        <v>4.529E-3</v>
      </c>
      <c r="E415" s="17">
        <v>10.83</v>
      </c>
      <c r="F415" s="17">
        <v>10.46</v>
      </c>
      <c r="G415" s="18">
        <v>0.374</v>
      </c>
      <c r="H415" s="19">
        <v>8.4849999999999995E-2</v>
      </c>
      <c r="I415" s="18">
        <v>4.4080000000000004</v>
      </c>
      <c r="J415" s="20">
        <v>6</v>
      </c>
      <c r="K415" s="19">
        <v>3.0221000000000001E-2</v>
      </c>
      <c r="L415" s="21">
        <f t="shared" si="24"/>
        <v>1.5196911691400603</v>
      </c>
      <c r="M415" s="21">
        <f t="shared" si="25"/>
        <v>0.36999999999999883</v>
      </c>
      <c r="N415" s="22">
        <f t="shared" si="26"/>
        <v>2.3439976793170425</v>
      </c>
      <c r="O415" s="23">
        <f t="shared" si="27"/>
        <v>1.2923528306374912</v>
      </c>
    </row>
    <row r="416" spans="1:15" x14ac:dyDescent="0.25">
      <c r="A416" s="14" t="s">
        <v>6153</v>
      </c>
      <c r="B416" s="14" t="s">
        <v>833</v>
      </c>
      <c r="C416" s="15" t="s">
        <v>834</v>
      </c>
      <c r="D416" s="16">
        <v>4.5539999999999999E-3</v>
      </c>
      <c r="E416" s="17">
        <v>11.19</v>
      </c>
      <c r="F416" s="17">
        <v>10.73</v>
      </c>
      <c r="G416" s="18">
        <v>0.46460000000000001</v>
      </c>
      <c r="H416" s="19">
        <v>0.1055</v>
      </c>
      <c r="I416" s="18">
        <v>4.4029999999999996</v>
      </c>
      <c r="J416" s="20">
        <v>6</v>
      </c>
      <c r="K416" s="19">
        <v>3.0308999999999999E-2</v>
      </c>
      <c r="L416" s="21">
        <f t="shared" si="24"/>
        <v>1.518428392291113</v>
      </c>
      <c r="M416" s="21">
        <f t="shared" si="25"/>
        <v>0.45999999999999963</v>
      </c>
      <c r="N416" s="22">
        <f t="shared" si="26"/>
        <v>2.3416069737208756</v>
      </c>
      <c r="O416" s="23">
        <f t="shared" si="27"/>
        <v>1.3755418181397434</v>
      </c>
    </row>
    <row r="417" spans="1:15" x14ac:dyDescent="0.25">
      <c r="A417" s="14" t="s">
        <v>6154</v>
      </c>
      <c r="B417" s="14" t="s">
        <v>839</v>
      </c>
      <c r="C417" s="15" t="s">
        <v>840</v>
      </c>
      <c r="D417" s="16">
        <v>4.6160000000000003E-3</v>
      </c>
      <c r="E417" s="17">
        <v>9.1649999999999991</v>
      </c>
      <c r="F417" s="17">
        <v>8.6579999999999995</v>
      </c>
      <c r="G417" s="18">
        <v>0.50700000000000001</v>
      </c>
      <c r="H417" s="19">
        <v>0.11550000000000001</v>
      </c>
      <c r="I417" s="18">
        <v>4.3899999999999997</v>
      </c>
      <c r="J417" s="20">
        <v>6</v>
      </c>
      <c r="K417" s="19">
        <v>3.0473E-2</v>
      </c>
      <c r="L417" s="21">
        <f t="shared" si="24"/>
        <v>1.5160847883335915</v>
      </c>
      <c r="M417" s="21">
        <f t="shared" si="25"/>
        <v>0.50700000000000045</v>
      </c>
      <c r="N417" s="22">
        <f t="shared" si="26"/>
        <v>2.3357341998523249</v>
      </c>
      <c r="O417" s="23">
        <f t="shared" si="27"/>
        <v>1.4210920431813601</v>
      </c>
    </row>
    <row r="418" spans="1:15" x14ac:dyDescent="0.25">
      <c r="A418" s="14" t="s">
        <v>6155</v>
      </c>
      <c r="B418" s="14" t="s">
        <v>837</v>
      </c>
      <c r="C418" s="15" t="s">
        <v>838</v>
      </c>
      <c r="D418" s="16">
        <v>4.6030000000000003E-3</v>
      </c>
      <c r="E418" s="17">
        <v>12.2</v>
      </c>
      <c r="F418" s="17">
        <v>12.48</v>
      </c>
      <c r="G418" s="18">
        <v>-0.2727</v>
      </c>
      <c r="H418" s="19">
        <v>6.2089999999999999E-2</v>
      </c>
      <c r="I418" s="18">
        <v>4.3929999999999998</v>
      </c>
      <c r="J418" s="20">
        <v>6</v>
      </c>
      <c r="K418" s="19">
        <v>3.0473E-2</v>
      </c>
      <c r="L418" s="21">
        <f t="shared" si="24"/>
        <v>1.5160847883335915</v>
      </c>
      <c r="M418" s="21">
        <f t="shared" si="25"/>
        <v>-0.28000000000000042</v>
      </c>
      <c r="N418" s="22">
        <f t="shared" si="26"/>
        <v>2.3369590251060255</v>
      </c>
      <c r="O418" s="23">
        <f t="shared" si="27"/>
        <v>0.82359101726757289</v>
      </c>
    </row>
    <row r="419" spans="1:15" x14ac:dyDescent="0.25">
      <c r="A419" s="14" t="s">
        <v>6156</v>
      </c>
      <c r="B419" s="14" t="s">
        <v>835</v>
      </c>
      <c r="C419" s="15" t="s">
        <v>836</v>
      </c>
      <c r="D419" s="16">
        <v>4.5919999999999997E-3</v>
      </c>
      <c r="E419" s="17">
        <v>9.5749999999999993</v>
      </c>
      <c r="F419" s="17">
        <v>9.1999999999999993</v>
      </c>
      <c r="G419" s="18">
        <v>0.37580000000000002</v>
      </c>
      <c r="H419" s="19">
        <v>8.5500000000000007E-2</v>
      </c>
      <c r="I419" s="18">
        <v>4.3949999999999996</v>
      </c>
      <c r="J419" s="20">
        <v>6</v>
      </c>
      <c r="K419" s="19">
        <v>3.0473E-2</v>
      </c>
      <c r="L419" s="21">
        <f t="shared" si="24"/>
        <v>1.5160847883335915</v>
      </c>
      <c r="M419" s="21">
        <f t="shared" si="25"/>
        <v>0.37499999999999972</v>
      </c>
      <c r="N419" s="22">
        <f t="shared" si="26"/>
        <v>2.3379981206100826</v>
      </c>
      <c r="O419" s="23">
        <f t="shared" si="27"/>
        <v>1.2968395546510094</v>
      </c>
    </row>
    <row r="420" spans="1:15" x14ac:dyDescent="0.25">
      <c r="A420" s="14" t="s">
        <v>6157</v>
      </c>
      <c r="B420" s="14" t="s">
        <v>841</v>
      </c>
      <c r="C420" s="15" t="s">
        <v>842</v>
      </c>
      <c r="D420" s="16">
        <v>4.6220000000000002E-3</v>
      </c>
      <c r="E420" s="17">
        <v>10.07</v>
      </c>
      <c r="F420" s="17">
        <v>9.3059999999999992</v>
      </c>
      <c r="G420" s="18">
        <v>0.7661</v>
      </c>
      <c r="H420" s="19">
        <v>0.17460000000000001</v>
      </c>
      <c r="I420" s="18">
        <v>4.3890000000000002</v>
      </c>
      <c r="J420" s="20">
        <v>6</v>
      </c>
      <c r="K420" s="19">
        <v>3.0473E-2</v>
      </c>
      <c r="L420" s="21">
        <f t="shared" si="24"/>
        <v>1.5160847883335915</v>
      </c>
      <c r="M420" s="21">
        <f t="shared" si="25"/>
        <v>0.76400000000000168</v>
      </c>
      <c r="N420" s="22">
        <f t="shared" si="26"/>
        <v>2.3351700588569093</v>
      </c>
      <c r="O420" s="23">
        <f t="shared" si="27"/>
        <v>1.6981924928936813</v>
      </c>
    </row>
    <row r="421" spans="1:15" x14ac:dyDescent="0.25">
      <c r="A421" s="14" t="s">
        <v>6158</v>
      </c>
      <c r="B421" s="14" t="s">
        <v>845</v>
      </c>
      <c r="C421" s="15" t="s">
        <v>846</v>
      </c>
      <c r="D421" s="16">
        <v>4.6579999999999998E-3</v>
      </c>
      <c r="E421" s="17">
        <v>10.72</v>
      </c>
      <c r="F421" s="17">
        <v>11.15</v>
      </c>
      <c r="G421" s="18">
        <v>-0.4289</v>
      </c>
      <c r="H421" s="19">
        <v>9.7879999999999995E-2</v>
      </c>
      <c r="I421" s="18">
        <v>4.3819999999999997</v>
      </c>
      <c r="J421" s="20">
        <v>6</v>
      </c>
      <c r="K421" s="19">
        <v>3.0544000000000002E-2</v>
      </c>
      <c r="L421" s="21">
        <f t="shared" si="24"/>
        <v>1.5150740889504082</v>
      </c>
      <c r="M421" s="21">
        <f t="shared" si="25"/>
        <v>-0.42999999999999849</v>
      </c>
      <c r="N421" s="22">
        <f t="shared" si="26"/>
        <v>2.331800515801338</v>
      </c>
      <c r="O421" s="23">
        <f t="shared" si="27"/>
        <v>0.74226178531452536</v>
      </c>
    </row>
    <row r="422" spans="1:15" x14ac:dyDescent="0.25">
      <c r="A422" s="14" t="s">
        <v>6159</v>
      </c>
      <c r="B422" s="14" t="s">
        <v>847</v>
      </c>
      <c r="C422" s="15" t="s">
        <v>848</v>
      </c>
      <c r="D422" s="16">
        <v>4.666E-3</v>
      </c>
      <c r="E422" s="17">
        <v>9.5380000000000003</v>
      </c>
      <c r="F422" s="17">
        <v>10.23</v>
      </c>
      <c r="G422" s="18">
        <v>-0.68869999999999998</v>
      </c>
      <c r="H422" s="19">
        <v>0.15720000000000001</v>
      </c>
      <c r="I422" s="18">
        <v>4.38</v>
      </c>
      <c r="J422" s="20">
        <v>6</v>
      </c>
      <c r="K422" s="19">
        <v>3.0544000000000002E-2</v>
      </c>
      <c r="L422" s="21">
        <f t="shared" si="24"/>
        <v>1.5150740889504082</v>
      </c>
      <c r="M422" s="21">
        <f t="shared" si="25"/>
        <v>-0.69200000000000084</v>
      </c>
      <c r="N422" s="22">
        <f t="shared" si="26"/>
        <v>2.3310552655422661</v>
      </c>
      <c r="O422" s="23">
        <f t="shared" si="27"/>
        <v>0.61899514541872247</v>
      </c>
    </row>
    <row r="423" spans="1:15" x14ac:dyDescent="0.25">
      <c r="A423" s="14" t="s">
        <v>6160</v>
      </c>
      <c r="B423" s="14" t="s">
        <v>843</v>
      </c>
      <c r="C423" s="15" t="s">
        <v>844</v>
      </c>
      <c r="D423" s="16">
        <v>4.6579999999999998E-3</v>
      </c>
      <c r="E423" s="17">
        <v>11.7</v>
      </c>
      <c r="F423" s="17">
        <v>12.22</v>
      </c>
      <c r="G423" s="18">
        <v>-0.51719999999999999</v>
      </c>
      <c r="H423" s="19">
        <v>0.11799999999999999</v>
      </c>
      <c r="I423" s="18">
        <v>4.3819999999999997</v>
      </c>
      <c r="J423" s="20">
        <v>6</v>
      </c>
      <c r="K423" s="19">
        <v>3.0544000000000002E-2</v>
      </c>
      <c r="L423" s="21">
        <f t="shared" si="24"/>
        <v>1.5150740889504082</v>
      </c>
      <c r="M423" s="21">
        <f t="shared" si="25"/>
        <v>-0.52000000000000213</v>
      </c>
      <c r="N423" s="22">
        <f t="shared" si="26"/>
        <v>2.331800515801338</v>
      </c>
      <c r="O423" s="23">
        <f t="shared" si="27"/>
        <v>0.69737183317520168</v>
      </c>
    </row>
    <row r="424" spans="1:15" x14ac:dyDescent="0.25">
      <c r="A424" s="14" t="s">
        <v>6161</v>
      </c>
      <c r="B424" s="14" t="s">
        <v>849</v>
      </c>
      <c r="C424" s="15" t="s">
        <v>850</v>
      </c>
      <c r="D424" s="16">
        <v>4.7019999999999996E-3</v>
      </c>
      <c r="E424" s="17">
        <v>10.72</v>
      </c>
      <c r="F424" s="17">
        <v>11.19</v>
      </c>
      <c r="G424" s="18">
        <v>-0.47199999999999998</v>
      </c>
      <c r="H424" s="19">
        <v>0.1079</v>
      </c>
      <c r="I424" s="18">
        <v>4.3730000000000002</v>
      </c>
      <c r="J424" s="20">
        <v>6</v>
      </c>
      <c r="K424" s="19">
        <v>3.0707000000000002E-2</v>
      </c>
      <c r="L424" s="21">
        <f t="shared" si="24"/>
        <v>1.512762611010136</v>
      </c>
      <c r="M424" s="21">
        <f t="shared" si="25"/>
        <v>-0.46999999999999875</v>
      </c>
      <c r="N424" s="22">
        <f t="shared" si="26"/>
        <v>2.3277173752110794</v>
      </c>
      <c r="O424" s="23">
        <f t="shared" si="27"/>
        <v>0.72196459776124866</v>
      </c>
    </row>
    <row r="425" spans="1:15" x14ac:dyDescent="0.25">
      <c r="A425" s="14" t="s">
        <v>6162</v>
      </c>
      <c r="B425" s="14" t="s">
        <v>851</v>
      </c>
      <c r="C425" s="15" t="s">
        <v>852</v>
      </c>
      <c r="D425" s="16">
        <v>4.8219999999999999E-3</v>
      </c>
      <c r="E425" s="17">
        <v>11.06</v>
      </c>
      <c r="F425" s="17">
        <v>11.57</v>
      </c>
      <c r="G425" s="18">
        <v>-0.50119999999999998</v>
      </c>
      <c r="H425" s="19">
        <v>0.1152</v>
      </c>
      <c r="I425" s="18">
        <v>4.3499999999999996</v>
      </c>
      <c r="J425" s="20">
        <v>6</v>
      </c>
      <c r="K425" s="19">
        <v>3.1414999999999998E-2</v>
      </c>
      <c r="L425" s="21">
        <f t="shared" si="24"/>
        <v>1.5028629359480419</v>
      </c>
      <c r="M425" s="21">
        <f t="shared" si="25"/>
        <v>-0.50999999999999923</v>
      </c>
      <c r="N425" s="22">
        <f t="shared" si="26"/>
        <v>2.3167727939585649</v>
      </c>
      <c r="O425" s="23">
        <f t="shared" si="27"/>
        <v>0.70222243786899896</v>
      </c>
    </row>
    <row r="426" spans="1:15" x14ac:dyDescent="0.25">
      <c r="A426" s="14" t="s">
        <v>6163</v>
      </c>
      <c r="B426" s="14" t="s">
        <v>853</v>
      </c>
      <c r="C426" s="15" t="s">
        <v>854</v>
      </c>
      <c r="D426" s="16">
        <v>4.836E-3</v>
      </c>
      <c r="E426" s="17">
        <v>9.5180000000000007</v>
      </c>
      <c r="F426" s="17">
        <v>10.15</v>
      </c>
      <c r="G426" s="18">
        <v>-0.63329999999999997</v>
      </c>
      <c r="H426" s="19">
        <v>0.1457</v>
      </c>
      <c r="I426" s="18">
        <v>4.3470000000000004</v>
      </c>
      <c r="J426" s="20">
        <v>6</v>
      </c>
      <c r="K426" s="19">
        <v>3.1433000000000003E-2</v>
      </c>
      <c r="L426" s="21">
        <f t="shared" si="24"/>
        <v>1.5026141674625528</v>
      </c>
      <c r="M426" s="21">
        <f t="shared" si="25"/>
        <v>-0.63200000000000078</v>
      </c>
      <c r="N426" s="22">
        <f t="shared" si="26"/>
        <v>2.3155137078112658</v>
      </c>
      <c r="O426" s="23">
        <f t="shared" si="27"/>
        <v>0.64528124522588914</v>
      </c>
    </row>
    <row r="427" spans="1:15" x14ac:dyDescent="0.25">
      <c r="A427" s="14" t="s">
        <v>6164</v>
      </c>
      <c r="B427" s="14" t="s">
        <v>855</v>
      </c>
      <c r="C427" s="15" t="s">
        <v>856</v>
      </c>
      <c r="D427" s="16">
        <v>4.875E-3</v>
      </c>
      <c r="E427" s="17">
        <v>9.343</v>
      </c>
      <c r="F427" s="17">
        <v>8.6560000000000006</v>
      </c>
      <c r="G427" s="18">
        <v>0.68769999999999998</v>
      </c>
      <c r="H427" s="19">
        <v>0.1585</v>
      </c>
      <c r="I427" s="18">
        <v>4.34</v>
      </c>
      <c r="J427" s="20">
        <v>6</v>
      </c>
      <c r="K427" s="19">
        <v>3.1614000000000003E-2</v>
      </c>
      <c r="L427" s="21">
        <f t="shared" si="24"/>
        <v>1.5001205510435678</v>
      </c>
      <c r="M427" s="21">
        <f t="shared" si="25"/>
        <v>0.68699999999999983</v>
      </c>
      <c r="N427" s="22">
        <f t="shared" si="26"/>
        <v>2.3120253799654442</v>
      </c>
      <c r="O427" s="23">
        <f t="shared" si="27"/>
        <v>1.6099322752422434</v>
      </c>
    </row>
    <row r="428" spans="1:15" x14ac:dyDescent="0.25">
      <c r="A428" s="14" t="s">
        <v>6165</v>
      </c>
      <c r="B428" s="14" t="s">
        <v>857</v>
      </c>
      <c r="C428" s="15" t="s">
        <v>858</v>
      </c>
      <c r="D428" s="16">
        <v>4.934E-3</v>
      </c>
      <c r="E428" s="17">
        <v>10.37</v>
      </c>
      <c r="F428" s="17">
        <v>9.8870000000000005</v>
      </c>
      <c r="G428" s="18">
        <v>0.48149999999999998</v>
      </c>
      <c r="H428" s="19">
        <v>0.11119999999999999</v>
      </c>
      <c r="I428" s="18">
        <v>4.3289999999999997</v>
      </c>
      <c r="J428" s="20">
        <v>6</v>
      </c>
      <c r="K428" s="19">
        <v>3.1918000000000002E-2</v>
      </c>
      <c r="L428" s="21">
        <f t="shared" si="24"/>
        <v>1.4959643296075353</v>
      </c>
      <c r="M428" s="21">
        <f t="shared" si="25"/>
        <v>0.48299999999999921</v>
      </c>
      <c r="N428" s="22">
        <f t="shared" si="26"/>
        <v>2.3068008548462826</v>
      </c>
      <c r="O428" s="23">
        <f t="shared" si="27"/>
        <v>1.3976469718510653</v>
      </c>
    </row>
    <row r="429" spans="1:15" x14ac:dyDescent="0.25">
      <c r="A429" s="14" t="s">
        <v>6166</v>
      </c>
      <c r="B429" s="14" t="s">
        <v>861</v>
      </c>
      <c r="C429" s="15" t="s">
        <v>862</v>
      </c>
      <c r="D429" s="16">
        <v>4.9659999999999999E-3</v>
      </c>
      <c r="E429" s="17">
        <v>9.9670000000000005</v>
      </c>
      <c r="F429" s="17">
        <v>9.468</v>
      </c>
      <c r="G429" s="18">
        <v>0.49940000000000001</v>
      </c>
      <c r="H429" s="19">
        <v>0.11550000000000001</v>
      </c>
      <c r="I429" s="18">
        <v>4.3230000000000004</v>
      </c>
      <c r="J429" s="20">
        <v>6</v>
      </c>
      <c r="K429" s="19">
        <v>3.1975000000000003E-2</v>
      </c>
      <c r="L429" s="21">
        <f t="shared" si="24"/>
        <v>1.4951894468493083</v>
      </c>
      <c r="M429" s="21">
        <f t="shared" si="25"/>
        <v>0.49900000000000083</v>
      </c>
      <c r="N429" s="22">
        <f t="shared" si="26"/>
        <v>2.3039932847814542</v>
      </c>
      <c r="O429" s="23">
        <f t="shared" si="27"/>
        <v>1.4132336438827304</v>
      </c>
    </row>
    <row r="430" spans="1:15" x14ac:dyDescent="0.25">
      <c r="A430" s="14" t="s">
        <v>6167</v>
      </c>
      <c r="B430" s="14" t="s">
        <v>859</v>
      </c>
      <c r="C430" s="15" t="s">
        <v>860</v>
      </c>
      <c r="D430" s="16">
        <v>4.9589999999999999E-3</v>
      </c>
      <c r="E430" s="17">
        <v>9.8230000000000004</v>
      </c>
      <c r="F430" s="17">
        <v>9.2279999999999998</v>
      </c>
      <c r="G430" s="18">
        <v>0.59489999999999998</v>
      </c>
      <c r="H430" s="19">
        <v>0.1376</v>
      </c>
      <c r="I430" s="18">
        <v>4.3239999999999998</v>
      </c>
      <c r="J430" s="20">
        <v>6</v>
      </c>
      <c r="K430" s="19">
        <v>3.1975000000000003E-2</v>
      </c>
      <c r="L430" s="21">
        <f t="shared" si="24"/>
        <v>1.4951894468493083</v>
      </c>
      <c r="M430" s="21">
        <f t="shared" si="25"/>
        <v>0.59500000000000075</v>
      </c>
      <c r="N430" s="22">
        <f t="shared" si="26"/>
        <v>2.3046058917088899</v>
      </c>
      <c r="O430" s="23">
        <f t="shared" si="27"/>
        <v>1.5104725855628263</v>
      </c>
    </row>
    <row r="431" spans="1:15" x14ac:dyDescent="0.25">
      <c r="A431" s="14" t="s">
        <v>6168</v>
      </c>
      <c r="B431" s="14" t="s">
        <v>863</v>
      </c>
      <c r="C431" s="15" t="s">
        <v>864</v>
      </c>
      <c r="D431" s="16">
        <v>5.0029999999999996E-3</v>
      </c>
      <c r="E431" s="17">
        <v>8.74</v>
      </c>
      <c r="F431" s="17">
        <v>8.4619999999999997</v>
      </c>
      <c r="G431" s="18">
        <v>0.27829999999999999</v>
      </c>
      <c r="H431" s="19">
        <v>6.4479999999999996E-2</v>
      </c>
      <c r="I431" s="18">
        <v>4.3159999999999998</v>
      </c>
      <c r="J431" s="20">
        <v>6</v>
      </c>
      <c r="K431" s="19">
        <v>3.2139000000000001E-2</v>
      </c>
      <c r="L431" s="21">
        <f t="shared" si="24"/>
        <v>1.4929676403678931</v>
      </c>
      <c r="M431" s="21">
        <f t="shared" si="25"/>
        <v>0.2780000000000008</v>
      </c>
      <c r="N431" s="22">
        <f t="shared" si="26"/>
        <v>2.3007694971165908</v>
      </c>
      <c r="O431" s="23">
        <f t="shared" si="27"/>
        <v>1.2125128190617378</v>
      </c>
    </row>
    <row r="432" spans="1:15" x14ac:dyDescent="0.25">
      <c r="A432" s="14" t="s">
        <v>6169</v>
      </c>
      <c r="B432" s="14" t="s">
        <v>865</v>
      </c>
      <c r="C432" s="15" t="s">
        <v>866</v>
      </c>
      <c r="D432" s="16">
        <v>5.1149999999999998E-3</v>
      </c>
      <c r="E432" s="17">
        <v>9.7889999999999997</v>
      </c>
      <c r="F432" s="17">
        <v>10.37</v>
      </c>
      <c r="G432" s="18">
        <v>-0.57940000000000003</v>
      </c>
      <c r="H432" s="19">
        <v>0.13489999999999999</v>
      </c>
      <c r="I432" s="18">
        <v>4.2960000000000003</v>
      </c>
      <c r="J432" s="20">
        <v>6</v>
      </c>
      <c r="K432" s="19">
        <v>3.2784000000000001E-2</v>
      </c>
      <c r="L432" s="21">
        <f t="shared" si="24"/>
        <v>1.4843380589428801</v>
      </c>
      <c r="M432" s="21">
        <f t="shared" si="25"/>
        <v>-0.58099999999999963</v>
      </c>
      <c r="N432" s="22">
        <f t="shared" si="26"/>
        <v>2.2911543619518207</v>
      </c>
      <c r="O432" s="23">
        <f t="shared" si="27"/>
        <v>0.66850024770256722</v>
      </c>
    </row>
    <row r="433" spans="1:15" x14ac:dyDescent="0.25">
      <c r="A433" s="14" t="s">
        <v>6170</v>
      </c>
      <c r="B433" s="14" t="s">
        <v>867</v>
      </c>
      <c r="C433" s="15" t="s">
        <v>868</v>
      </c>
      <c r="D433" s="16">
        <v>5.13E-3</v>
      </c>
      <c r="E433" s="17">
        <v>9.8450000000000006</v>
      </c>
      <c r="F433" s="17">
        <v>10.7</v>
      </c>
      <c r="G433" s="18">
        <v>-0.85729999999999995</v>
      </c>
      <c r="H433" s="19">
        <v>0.19969999999999999</v>
      </c>
      <c r="I433" s="18">
        <v>4.2930000000000001</v>
      </c>
      <c r="J433" s="20">
        <v>6</v>
      </c>
      <c r="K433" s="19">
        <v>3.2800999999999997E-2</v>
      </c>
      <c r="L433" s="21">
        <f t="shared" si="24"/>
        <v>1.4841129158047326</v>
      </c>
      <c r="M433" s="21">
        <f t="shared" si="25"/>
        <v>-0.85499999999999909</v>
      </c>
      <c r="N433" s="22">
        <f t="shared" si="26"/>
        <v>2.2898826348881838</v>
      </c>
      <c r="O433" s="23">
        <f t="shared" si="27"/>
        <v>0.55286532666013477</v>
      </c>
    </row>
    <row r="434" spans="1:15" x14ac:dyDescent="0.25">
      <c r="A434" s="14" t="s">
        <v>6171</v>
      </c>
      <c r="B434" s="14" t="s">
        <v>869</v>
      </c>
      <c r="C434" s="15" t="s">
        <v>870</v>
      </c>
      <c r="D434" s="16">
        <v>5.195E-3</v>
      </c>
      <c r="E434" s="17">
        <v>13.68</v>
      </c>
      <c r="F434" s="17">
        <v>14.07</v>
      </c>
      <c r="G434" s="18">
        <v>-0.39400000000000002</v>
      </c>
      <c r="H434" s="19">
        <v>9.2020000000000005E-2</v>
      </c>
      <c r="I434" s="18">
        <v>4.282</v>
      </c>
      <c r="J434" s="20">
        <v>6</v>
      </c>
      <c r="K434" s="19">
        <v>3.3141999999999998E-2</v>
      </c>
      <c r="L434" s="21">
        <f t="shared" si="24"/>
        <v>1.4796212870224401</v>
      </c>
      <c r="M434" s="21">
        <f t="shared" si="25"/>
        <v>-0.39000000000000101</v>
      </c>
      <c r="N434" s="22">
        <f t="shared" si="26"/>
        <v>2.2844144481068036</v>
      </c>
      <c r="O434" s="23">
        <f t="shared" si="27"/>
        <v>0.763129604480279</v>
      </c>
    </row>
    <row r="435" spans="1:15" x14ac:dyDescent="0.25">
      <c r="A435" s="14" t="s">
        <v>6172</v>
      </c>
      <c r="B435" s="14" t="s">
        <v>871</v>
      </c>
      <c r="C435" s="15" t="s">
        <v>872</v>
      </c>
      <c r="D435" s="16">
        <v>5.2170000000000003E-3</v>
      </c>
      <c r="E435" s="17">
        <v>9.9610000000000003</v>
      </c>
      <c r="F435" s="17">
        <v>9.4420000000000002</v>
      </c>
      <c r="G435" s="18">
        <v>0.51880000000000004</v>
      </c>
      <c r="H435" s="19">
        <v>0.12130000000000001</v>
      </c>
      <c r="I435" s="18">
        <v>4.2779999999999996</v>
      </c>
      <c r="J435" s="20">
        <v>6</v>
      </c>
      <c r="K435" s="19">
        <v>3.3172E-2</v>
      </c>
      <c r="L435" s="21">
        <f t="shared" si="24"/>
        <v>1.4792283432897162</v>
      </c>
      <c r="M435" s="21">
        <f t="shared" si="25"/>
        <v>0.51900000000000046</v>
      </c>
      <c r="N435" s="22">
        <f t="shared" si="26"/>
        <v>2.2825791632776249</v>
      </c>
      <c r="O435" s="23">
        <f t="shared" si="27"/>
        <v>1.4329616503731002</v>
      </c>
    </row>
    <row r="436" spans="1:15" x14ac:dyDescent="0.25">
      <c r="A436" s="14" t="s">
        <v>6173</v>
      </c>
      <c r="B436" s="14" t="s">
        <v>873</v>
      </c>
      <c r="C436" s="15" t="s">
        <v>874</v>
      </c>
      <c r="D436" s="16">
        <v>5.2240000000000003E-3</v>
      </c>
      <c r="E436" s="17">
        <v>10.119999999999999</v>
      </c>
      <c r="F436" s="17">
        <v>10.53</v>
      </c>
      <c r="G436" s="18">
        <v>-0.41830000000000001</v>
      </c>
      <c r="H436" s="19">
        <v>9.7820000000000004E-2</v>
      </c>
      <c r="I436" s="18">
        <v>4.2770000000000001</v>
      </c>
      <c r="J436" s="20">
        <v>6</v>
      </c>
      <c r="K436" s="19">
        <v>3.3172E-2</v>
      </c>
      <c r="L436" s="21">
        <f t="shared" si="24"/>
        <v>1.4792283432897162</v>
      </c>
      <c r="M436" s="21">
        <f t="shared" si="25"/>
        <v>-0.40999999999999909</v>
      </c>
      <c r="N436" s="22">
        <f t="shared" si="26"/>
        <v>2.2819968317329824</v>
      </c>
      <c r="O436" s="23">
        <f t="shared" si="27"/>
        <v>0.75262337370553412</v>
      </c>
    </row>
    <row r="437" spans="1:15" x14ac:dyDescent="0.25">
      <c r="A437" s="14" t="s">
        <v>6174</v>
      </c>
      <c r="B437" s="14" t="s">
        <v>875</v>
      </c>
      <c r="C437" s="15" t="s">
        <v>876</v>
      </c>
      <c r="D437" s="16">
        <v>5.2779999999999997E-3</v>
      </c>
      <c r="E437" s="17">
        <v>7.4749999999999996</v>
      </c>
      <c r="F437" s="17">
        <v>6.5730000000000004</v>
      </c>
      <c r="G437" s="18">
        <v>0.9022</v>
      </c>
      <c r="H437" s="19">
        <v>0.2114</v>
      </c>
      <c r="I437" s="18">
        <v>4.2670000000000003</v>
      </c>
      <c r="J437" s="20">
        <v>6</v>
      </c>
      <c r="K437" s="19">
        <v>3.3439999999999998E-2</v>
      </c>
      <c r="L437" s="21">
        <f t="shared" si="24"/>
        <v>1.475733731233021</v>
      </c>
      <c r="M437" s="21">
        <f t="shared" si="25"/>
        <v>0.90199999999999969</v>
      </c>
      <c r="N437" s="22">
        <f t="shared" si="26"/>
        <v>2.2775306141159688</v>
      </c>
      <c r="O437" s="23">
        <f t="shared" si="27"/>
        <v>1.8686546937663604</v>
      </c>
    </row>
    <row r="438" spans="1:15" x14ac:dyDescent="0.25">
      <c r="A438" s="14" t="s">
        <v>6175</v>
      </c>
      <c r="B438" s="14" t="s">
        <v>877</v>
      </c>
      <c r="C438" s="15" t="s">
        <v>878</v>
      </c>
      <c r="D438" s="16">
        <v>5.3109999999999997E-3</v>
      </c>
      <c r="E438" s="17">
        <v>9.5470000000000006</v>
      </c>
      <c r="F438" s="17">
        <v>8.859</v>
      </c>
      <c r="G438" s="18">
        <v>0.68810000000000004</v>
      </c>
      <c r="H438" s="19">
        <v>0.1615</v>
      </c>
      <c r="I438" s="18">
        <v>4.2619999999999996</v>
      </c>
      <c r="J438" s="20">
        <v>6</v>
      </c>
      <c r="K438" s="19">
        <v>3.3574E-2</v>
      </c>
      <c r="L438" s="21">
        <f t="shared" si="24"/>
        <v>1.4739969139071862</v>
      </c>
      <c r="M438" s="21">
        <f t="shared" si="25"/>
        <v>0.68800000000000139</v>
      </c>
      <c r="N438" s="22">
        <f t="shared" si="26"/>
        <v>2.2748236985808625</v>
      </c>
      <c r="O438" s="23">
        <f t="shared" si="27"/>
        <v>1.611048582097502</v>
      </c>
    </row>
    <row r="439" spans="1:15" x14ac:dyDescent="0.25">
      <c r="A439" s="14" t="s">
        <v>6176</v>
      </c>
      <c r="B439" s="14" t="s">
        <v>881</v>
      </c>
      <c r="C439" s="15" t="s">
        <v>882</v>
      </c>
      <c r="D439" s="16">
        <v>5.3420000000000004E-3</v>
      </c>
      <c r="E439" s="17">
        <v>10.7</v>
      </c>
      <c r="F439" s="17">
        <v>11.3</v>
      </c>
      <c r="G439" s="18">
        <v>-0.59250000000000003</v>
      </c>
      <c r="H439" s="19">
        <v>0.13919999999999999</v>
      </c>
      <c r="I439" s="18">
        <v>4.2560000000000002</v>
      </c>
      <c r="J439" s="20">
        <v>6</v>
      </c>
      <c r="K439" s="19">
        <v>3.3614999999999999E-2</v>
      </c>
      <c r="L439" s="21">
        <f t="shared" si="24"/>
        <v>1.4734668844092573</v>
      </c>
      <c r="M439" s="21">
        <f t="shared" si="25"/>
        <v>-0.60000000000000131</v>
      </c>
      <c r="N439" s="22">
        <f t="shared" si="26"/>
        <v>2.2722961163146458</v>
      </c>
      <c r="O439" s="23">
        <f t="shared" si="27"/>
        <v>0.65975395538644654</v>
      </c>
    </row>
    <row r="440" spans="1:15" x14ac:dyDescent="0.25">
      <c r="A440" s="14" t="s">
        <v>6177</v>
      </c>
      <c r="B440" s="14" t="s">
        <v>879</v>
      </c>
      <c r="C440" s="15" t="s">
        <v>880</v>
      </c>
      <c r="D440" s="16">
        <v>5.3350000000000003E-3</v>
      </c>
      <c r="E440" s="17">
        <v>7.1189999999999998</v>
      </c>
      <c r="F440" s="17">
        <v>6.1440000000000001</v>
      </c>
      <c r="G440" s="18">
        <v>0.97529999999999994</v>
      </c>
      <c r="H440" s="19">
        <v>0.2291</v>
      </c>
      <c r="I440" s="18">
        <v>4.258</v>
      </c>
      <c r="J440" s="20">
        <v>6</v>
      </c>
      <c r="K440" s="19">
        <v>3.3614999999999999E-2</v>
      </c>
      <c r="L440" s="21">
        <f t="shared" si="24"/>
        <v>1.4734668844092573</v>
      </c>
      <c r="M440" s="21">
        <f t="shared" si="25"/>
        <v>0.97499999999999964</v>
      </c>
      <c r="N440" s="22">
        <f t="shared" si="26"/>
        <v>2.2728655762395111</v>
      </c>
      <c r="O440" s="23">
        <f t="shared" si="27"/>
        <v>1.9656411970905017</v>
      </c>
    </row>
    <row r="441" spans="1:15" x14ac:dyDescent="0.25">
      <c r="A441" s="14" t="s">
        <v>6178</v>
      </c>
      <c r="B441" s="14" t="s">
        <v>883</v>
      </c>
      <c r="C441" s="15" t="s">
        <v>884</v>
      </c>
      <c r="D441" s="16">
        <v>5.3940000000000004E-3</v>
      </c>
      <c r="E441" s="17">
        <v>7.2649999999999997</v>
      </c>
      <c r="F441" s="17">
        <v>9.1219999999999999</v>
      </c>
      <c r="G441" s="18">
        <v>-1.8580000000000001</v>
      </c>
      <c r="H441" s="19">
        <v>0.43730000000000002</v>
      </c>
      <c r="I441" s="18">
        <v>4.2480000000000002</v>
      </c>
      <c r="J441" s="20">
        <v>6</v>
      </c>
      <c r="K441" s="19">
        <v>3.3845E-2</v>
      </c>
      <c r="L441" s="21">
        <f t="shared" si="24"/>
        <v>1.4705054815667224</v>
      </c>
      <c r="M441" s="21">
        <f t="shared" si="25"/>
        <v>-1.8570000000000013</v>
      </c>
      <c r="N441" s="22">
        <f t="shared" si="26"/>
        <v>2.2680890578831274</v>
      </c>
      <c r="O441" s="23">
        <f t="shared" si="27"/>
        <v>0.27604971179077298</v>
      </c>
    </row>
    <row r="442" spans="1:15" x14ac:dyDescent="0.25">
      <c r="A442" s="14" t="s">
        <v>6179</v>
      </c>
      <c r="B442" s="14" t="s">
        <v>885</v>
      </c>
      <c r="C442" s="15" t="s">
        <v>886</v>
      </c>
      <c r="D442" s="16">
        <v>5.4029999999999998E-3</v>
      </c>
      <c r="E442" s="17">
        <v>9.0820000000000007</v>
      </c>
      <c r="F442" s="17">
        <v>9.6809999999999992</v>
      </c>
      <c r="G442" s="18">
        <v>-0.59909999999999997</v>
      </c>
      <c r="H442" s="19">
        <v>0.1411</v>
      </c>
      <c r="I442" s="18">
        <v>4.2460000000000004</v>
      </c>
      <c r="J442" s="20">
        <v>6</v>
      </c>
      <c r="K442" s="19">
        <v>3.3845E-2</v>
      </c>
      <c r="L442" s="21">
        <f t="shared" si="24"/>
        <v>1.4705054815667224</v>
      </c>
      <c r="M442" s="21">
        <f t="shared" si="25"/>
        <v>-0.59899999999999842</v>
      </c>
      <c r="N442" s="22">
        <f t="shared" si="26"/>
        <v>2.2673650324608041</v>
      </c>
      <c r="O442" s="23">
        <f t="shared" si="27"/>
        <v>0.66021142050750081</v>
      </c>
    </row>
    <row r="443" spans="1:15" x14ac:dyDescent="0.25">
      <c r="A443" s="14" t="s">
        <v>6180</v>
      </c>
      <c r="B443" s="14" t="s">
        <v>887</v>
      </c>
      <c r="C443" s="15" t="s">
        <v>888</v>
      </c>
      <c r="D443" s="16">
        <v>5.4169999999999999E-3</v>
      </c>
      <c r="E443" s="17">
        <v>10.45</v>
      </c>
      <c r="F443" s="17">
        <v>10.09</v>
      </c>
      <c r="G443" s="18">
        <v>0.36549999999999999</v>
      </c>
      <c r="H443" s="19">
        <v>8.6120000000000002E-2</v>
      </c>
      <c r="I443" s="18">
        <v>4.2439999999999998</v>
      </c>
      <c r="J443" s="20">
        <v>6</v>
      </c>
      <c r="K443" s="19">
        <v>3.3853000000000001E-2</v>
      </c>
      <c r="L443" s="21">
        <f t="shared" si="24"/>
        <v>1.4704028387745751</v>
      </c>
      <c r="M443" s="21">
        <f t="shared" si="25"/>
        <v>0.35999999999999982</v>
      </c>
      <c r="N443" s="22">
        <f t="shared" si="26"/>
        <v>2.2662411644127971</v>
      </c>
      <c r="O443" s="23">
        <f t="shared" si="27"/>
        <v>1.283425897562904</v>
      </c>
    </row>
    <row r="444" spans="1:15" x14ac:dyDescent="0.25">
      <c r="A444" s="14" t="s">
        <v>6181</v>
      </c>
      <c r="B444" s="14" t="s">
        <v>889</v>
      </c>
      <c r="C444" s="15" t="s">
        <v>890</v>
      </c>
      <c r="D444" s="16">
        <v>5.4949999999999999E-3</v>
      </c>
      <c r="E444" s="17">
        <v>8.5530000000000008</v>
      </c>
      <c r="F444" s="17">
        <v>8.09</v>
      </c>
      <c r="G444" s="18">
        <v>0.46279999999999999</v>
      </c>
      <c r="H444" s="19">
        <v>0.1094</v>
      </c>
      <c r="I444" s="18">
        <v>4.2309999999999999</v>
      </c>
      <c r="J444" s="20">
        <v>6</v>
      </c>
      <c r="K444" s="19">
        <v>3.4262000000000001E-2</v>
      </c>
      <c r="L444" s="21">
        <f t="shared" si="24"/>
        <v>1.4651872892510704</v>
      </c>
      <c r="M444" s="21">
        <f t="shared" si="25"/>
        <v>0.46300000000000119</v>
      </c>
      <c r="N444" s="22">
        <f t="shared" si="26"/>
        <v>2.2600323032404903</v>
      </c>
      <c r="O444" s="23">
        <f t="shared" si="27"/>
        <v>1.3784051529756318</v>
      </c>
    </row>
    <row r="445" spans="1:15" x14ac:dyDescent="0.25">
      <c r="A445" s="14" t="s">
        <v>6182</v>
      </c>
      <c r="B445" s="14" t="s">
        <v>891</v>
      </c>
      <c r="C445" s="15" t="s">
        <v>892</v>
      </c>
      <c r="D445" s="16">
        <v>5.574E-3</v>
      </c>
      <c r="E445" s="17">
        <v>9.1270000000000007</v>
      </c>
      <c r="F445" s="17">
        <v>8.3539999999999992</v>
      </c>
      <c r="G445" s="18">
        <v>0.77300000000000002</v>
      </c>
      <c r="H445" s="19">
        <v>0.18329999999999999</v>
      </c>
      <c r="I445" s="18">
        <v>4.218</v>
      </c>
      <c r="J445" s="20">
        <v>6</v>
      </c>
      <c r="K445" s="19">
        <v>3.4679000000000001E-2</v>
      </c>
      <c r="L445" s="21">
        <f t="shared" si="24"/>
        <v>1.4599334342853161</v>
      </c>
      <c r="M445" s="21">
        <f t="shared" si="25"/>
        <v>0.77300000000000013</v>
      </c>
      <c r="N445" s="22">
        <f t="shared" si="26"/>
        <v>2.2538330356227148</v>
      </c>
      <c r="O445" s="23">
        <f t="shared" si="27"/>
        <v>1.7088194817794662</v>
      </c>
    </row>
    <row r="446" spans="1:15" x14ac:dyDescent="0.25">
      <c r="A446" s="14" t="s">
        <v>6183</v>
      </c>
      <c r="B446" s="14" t="s">
        <v>893</v>
      </c>
      <c r="C446" s="15" t="s">
        <v>894</v>
      </c>
      <c r="D446" s="16">
        <v>5.646E-3</v>
      </c>
      <c r="E446" s="17">
        <v>7.83</v>
      </c>
      <c r="F446" s="17">
        <v>7.4960000000000004</v>
      </c>
      <c r="G446" s="18">
        <v>0.3342</v>
      </c>
      <c r="H446" s="19">
        <v>7.9450000000000007E-2</v>
      </c>
      <c r="I446" s="18">
        <v>4.2060000000000004</v>
      </c>
      <c r="J446" s="20">
        <v>6</v>
      </c>
      <c r="K446" s="19">
        <v>3.5049999999999998E-2</v>
      </c>
      <c r="L446" s="21">
        <f t="shared" si="24"/>
        <v>1.4553119776973225</v>
      </c>
      <c r="M446" s="21">
        <f t="shared" si="25"/>
        <v>0.33399999999999891</v>
      </c>
      <c r="N446" s="22">
        <f t="shared" si="26"/>
        <v>2.2482591261890996</v>
      </c>
      <c r="O446" s="23">
        <f t="shared" si="27"/>
        <v>1.2605033915829846</v>
      </c>
    </row>
    <row r="447" spans="1:15" x14ac:dyDescent="0.25">
      <c r="A447" s="14" t="s">
        <v>6184</v>
      </c>
      <c r="B447" s="14" t="s">
        <v>895</v>
      </c>
      <c r="C447" s="15" t="s">
        <v>896</v>
      </c>
      <c r="D447" s="16">
        <v>5.6800000000000002E-3</v>
      </c>
      <c r="E447" s="17">
        <v>9.6660000000000004</v>
      </c>
      <c r="F447" s="17">
        <v>8.8670000000000009</v>
      </c>
      <c r="G447" s="18">
        <v>0.79910000000000003</v>
      </c>
      <c r="H447" s="19">
        <v>0.19020000000000001</v>
      </c>
      <c r="I447" s="18">
        <v>4.2009999999999996</v>
      </c>
      <c r="J447" s="20">
        <v>6</v>
      </c>
      <c r="K447" s="19">
        <v>3.5178000000000001E-2</v>
      </c>
      <c r="L447" s="21">
        <f t="shared" si="24"/>
        <v>1.4537288554315591</v>
      </c>
      <c r="M447" s="21">
        <f t="shared" si="25"/>
        <v>0.79899999999999971</v>
      </c>
      <c r="N447" s="22">
        <f t="shared" si="26"/>
        <v>2.2456516642889808</v>
      </c>
      <c r="O447" s="23">
        <f t="shared" si="27"/>
        <v>1.7398947054173011</v>
      </c>
    </row>
    <row r="448" spans="1:15" x14ac:dyDescent="0.25">
      <c r="A448" s="14" t="s">
        <v>6185</v>
      </c>
      <c r="B448" s="14" t="s">
        <v>899</v>
      </c>
      <c r="C448" s="15" t="s">
        <v>900</v>
      </c>
      <c r="D448" s="16">
        <v>5.842E-3</v>
      </c>
      <c r="E448" s="17">
        <v>9.2650000000000006</v>
      </c>
      <c r="F448" s="17">
        <v>8.7810000000000006</v>
      </c>
      <c r="G448" s="18">
        <v>0.48430000000000001</v>
      </c>
      <c r="H448" s="19">
        <v>0.11600000000000001</v>
      </c>
      <c r="I448" s="18">
        <v>4.1760000000000002</v>
      </c>
      <c r="J448" s="20">
        <v>6</v>
      </c>
      <c r="K448" s="19">
        <v>3.6020000000000003E-2</v>
      </c>
      <c r="L448" s="21">
        <f t="shared" si="24"/>
        <v>1.4434562915164852</v>
      </c>
      <c r="M448" s="21">
        <f t="shared" si="25"/>
        <v>0.48399999999999987</v>
      </c>
      <c r="N448" s="22">
        <f t="shared" si="26"/>
        <v>2.2334384473624689</v>
      </c>
      <c r="O448" s="23">
        <f t="shared" si="27"/>
        <v>1.3986160827384613</v>
      </c>
    </row>
    <row r="449" spans="1:15" x14ac:dyDescent="0.25">
      <c r="A449" s="14" t="s">
        <v>6186</v>
      </c>
      <c r="B449" s="14" t="s">
        <v>897</v>
      </c>
      <c r="C449" s="15" t="s">
        <v>898</v>
      </c>
      <c r="D449" s="16">
        <v>5.8389999999999996E-3</v>
      </c>
      <c r="E449" s="17">
        <v>14.15</v>
      </c>
      <c r="F449" s="17">
        <v>14.74</v>
      </c>
      <c r="G449" s="18">
        <v>-0.59109999999999996</v>
      </c>
      <c r="H449" s="19">
        <v>0.14149999999999999</v>
      </c>
      <c r="I449" s="18">
        <v>4.1760000000000002</v>
      </c>
      <c r="J449" s="20">
        <v>6</v>
      </c>
      <c r="K449" s="19">
        <v>3.6020000000000003E-2</v>
      </c>
      <c r="L449" s="21">
        <f t="shared" si="24"/>
        <v>1.4434562915164852</v>
      </c>
      <c r="M449" s="21">
        <f t="shared" si="25"/>
        <v>-0.58999999999999853</v>
      </c>
      <c r="N449" s="22">
        <f t="shared" si="26"/>
        <v>2.2336615247487126</v>
      </c>
      <c r="O449" s="23">
        <f t="shared" si="27"/>
        <v>0.66434290704825649</v>
      </c>
    </row>
    <row r="450" spans="1:15" x14ac:dyDescent="0.25">
      <c r="A450" s="14" t="s">
        <v>6187</v>
      </c>
      <c r="B450" s="14" t="s">
        <v>901</v>
      </c>
      <c r="C450" s="15" t="s">
        <v>902</v>
      </c>
      <c r="D450" s="16">
        <v>5.9480000000000002E-3</v>
      </c>
      <c r="E450" s="17">
        <v>8.7210000000000001</v>
      </c>
      <c r="F450" s="17">
        <v>9.4060000000000006</v>
      </c>
      <c r="G450" s="18">
        <v>-0.68420000000000003</v>
      </c>
      <c r="H450" s="19">
        <v>0.16450000000000001</v>
      </c>
      <c r="I450" s="18">
        <v>4.1589999999999998</v>
      </c>
      <c r="J450" s="20">
        <v>6</v>
      </c>
      <c r="K450" s="19">
        <v>3.6592E-2</v>
      </c>
      <c r="L450" s="21">
        <f t="shared" ref="L450:L513" si="28">-LOG(K450,10)</f>
        <v>1.4366138527373267</v>
      </c>
      <c r="M450" s="21">
        <f t="shared" ref="M450:M513" si="29">LOG(O450,2)</f>
        <v>-0.68500000000000005</v>
      </c>
      <c r="N450" s="22">
        <f t="shared" ref="N450:N513" si="30">-LOG(D450,10)</f>
        <v>2.2256290401500833</v>
      </c>
      <c r="O450" s="23">
        <f t="shared" ref="O450:O513" si="31">((2^E450)/(2^F450))</f>
        <v>0.62200582664923443</v>
      </c>
    </row>
    <row r="451" spans="1:15" x14ac:dyDescent="0.25">
      <c r="A451" s="14" t="s">
        <v>6188</v>
      </c>
      <c r="B451" s="14" t="s">
        <v>903</v>
      </c>
      <c r="C451" s="15" t="s">
        <v>904</v>
      </c>
      <c r="D451" s="16">
        <v>5.9630000000000004E-3</v>
      </c>
      <c r="E451" s="17">
        <v>10.1</v>
      </c>
      <c r="F451" s="17">
        <v>9.3230000000000004</v>
      </c>
      <c r="G451" s="18">
        <v>0.77929999999999999</v>
      </c>
      <c r="H451" s="19">
        <v>0.1875</v>
      </c>
      <c r="I451" s="18">
        <v>4.157</v>
      </c>
      <c r="J451" s="20">
        <v>6</v>
      </c>
      <c r="K451" s="19">
        <v>3.6606E-2</v>
      </c>
      <c r="L451" s="21">
        <f t="shared" si="28"/>
        <v>1.4364477246239686</v>
      </c>
      <c r="M451" s="21">
        <f t="shared" si="29"/>
        <v>0.77699999999999814</v>
      </c>
      <c r="N451" s="22">
        <f t="shared" si="30"/>
        <v>2.2245351906542608</v>
      </c>
      <c r="O451" s="23">
        <f t="shared" si="31"/>
        <v>1.7135639095371373</v>
      </c>
    </row>
    <row r="452" spans="1:15" x14ac:dyDescent="0.25">
      <c r="A452" s="14" t="s">
        <v>6189</v>
      </c>
      <c r="B452" s="14" t="s">
        <v>907</v>
      </c>
      <c r="C452" s="15" t="s">
        <v>908</v>
      </c>
      <c r="D452" s="16">
        <v>6.0089999999999996E-3</v>
      </c>
      <c r="E452" s="17">
        <v>8.1259999999999994</v>
      </c>
      <c r="F452" s="17">
        <v>7.3710000000000004</v>
      </c>
      <c r="G452" s="18">
        <v>0.75490000000000002</v>
      </c>
      <c r="H452" s="19">
        <v>0.18190000000000001</v>
      </c>
      <c r="I452" s="18">
        <v>4.1500000000000004</v>
      </c>
      <c r="J452" s="20">
        <v>6</v>
      </c>
      <c r="K452" s="19">
        <v>3.6608000000000002E-2</v>
      </c>
      <c r="L452" s="21">
        <f t="shared" si="28"/>
        <v>1.4364239972230886</v>
      </c>
      <c r="M452" s="21">
        <f t="shared" si="29"/>
        <v>0.75499999999999889</v>
      </c>
      <c r="N452" s="22">
        <f t="shared" si="30"/>
        <v>2.221197795986761</v>
      </c>
      <c r="O452" s="23">
        <f t="shared" si="31"/>
        <v>1.6876315922600345</v>
      </c>
    </row>
    <row r="453" spans="1:15" x14ac:dyDescent="0.25">
      <c r="A453" s="14" t="s">
        <v>6190</v>
      </c>
      <c r="B453" s="14" t="s">
        <v>911</v>
      </c>
      <c r="C453" s="15" t="s">
        <v>912</v>
      </c>
      <c r="D453" s="16">
        <v>6.0169999999999998E-3</v>
      </c>
      <c r="E453" s="17">
        <v>10.77</v>
      </c>
      <c r="F453" s="17">
        <v>10.43</v>
      </c>
      <c r="G453" s="18">
        <v>0.34549999999999997</v>
      </c>
      <c r="H453" s="19">
        <v>8.3280000000000007E-2</v>
      </c>
      <c r="I453" s="18">
        <v>4.149</v>
      </c>
      <c r="J453" s="20">
        <v>6</v>
      </c>
      <c r="K453" s="19">
        <v>3.6608000000000002E-2</v>
      </c>
      <c r="L453" s="21">
        <f t="shared" si="28"/>
        <v>1.4364239972230886</v>
      </c>
      <c r="M453" s="21">
        <f t="shared" si="29"/>
        <v>0.33999999999999897</v>
      </c>
      <c r="N453" s="22">
        <f t="shared" si="30"/>
        <v>2.2206199885083442</v>
      </c>
      <c r="O453" s="23">
        <f t="shared" si="31"/>
        <v>1.2657565939702791</v>
      </c>
    </row>
    <row r="454" spans="1:15" x14ac:dyDescent="0.25">
      <c r="A454" s="14" t="s">
        <v>6191</v>
      </c>
      <c r="B454" s="14" t="s">
        <v>909</v>
      </c>
      <c r="C454" s="15" t="s">
        <v>910</v>
      </c>
      <c r="D454" s="16">
        <v>6.0109999999999999E-3</v>
      </c>
      <c r="E454" s="17">
        <v>8.7260000000000009</v>
      </c>
      <c r="F454" s="17">
        <v>8.0050000000000008</v>
      </c>
      <c r="G454" s="18">
        <v>0.72099999999999997</v>
      </c>
      <c r="H454" s="19">
        <v>0.17369999999999999</v>
      </c>
      <c r="I454" s="18">
        <v>4.1500000000000004</v>
      </c>
      <c r="J454" s="20">
        <v>6</v>
      </c>
      <c r="K454" s="19">
        <v>3.6608000000000002E-2</v>
      </c>
      <c r="L454" s="21">
        <f t="shared" si="28"/>
        <v>1.4364239972230886</v>
      </c>
      <c r="M454" s="21">
        <f t="shared" si="29"/>
        <v>0.72099999999999986</v>
      </c>
      <c r="N454" s="22">
        <f t="shared" si="30"/>
        <v>2.2210532720313831</v>
      </c>
      <c r="O454" s="23">
        <f t="shared" si="31"/>
        <v>1.6483241699064808</v>
      </c>
    </row>
    <row r="455" spans="1:15" x14ac:dyDescent="0.25">
      <c r="A455" s="14" t="s">
        <v>6192</v>
      </c>
      <c r="B455" s="14" t="s">
        <v>905</v>
      </c>
      <c r="C455" s="15" t="s">
        <v>906</v>
      </c>
      <c r="D455" s="16">
        <v>5.9849999999999999E-3</v>
      </c>
      <c r="E455" s="17">
        <v>8.6630000000000003</v>
      </c>
      <c r="F455" s="17">
        <v>8.0690000000000008</v>
      </c>
      <c r="G455" s="18">
        <v>0.59379999999999999</v>
      </c>
      <c r="H455" s="19">
        <v>0.14299999999999999</v>
      </c>
      <c r="I455" s="18">
        <v>4.1539999999999999</v>
      </c>
      <c r="J455" s="20">
        <v>6</v>
      </c>
      <c r="K455" s="19">
        <v>3.6608000000000002E-2</v>
      </c>
      <c r="L455" s="21">
        <f t="shared" si="28"/>
        <v>1.4364239972230886</v>
      </c>
      <c r="M455" s="21">
        <f t="shared" si="29"/>
        <v>0.59399999999999875</v>
      </c>
      <c r="N455" s="22">
        <f t="shared" si="30"/>
        <v>2.2229358452575703</v>
      </c>
      <c r="O455" s="23">
        <f t="shared" si="31"/>
        <v>1.5094259685205584</v>
      </c>
    </row>
    <row r="456" spans="1:15" x14ac:dyDescent="0.25">
      <c r="A456" s="14" t="s">
        <v>6193</v>
      </c>
      <c r="B456" s="14" t="s">
        <v>913</v>
      </c>
      <c r="C456" s="15" t="s">
        <v>914</v>
      </c>
      <c r="D456" s="16">
        <v>6.0629999999999998E-3</v>
      </c>
      <c r="E456" s="17">
        <v>9.4359999999999999</v>
      </c>
      <c r="F456" s="17">
        <v>10.19</v>
      </c>
      <c r="G456" s="18">
        <v>-0.75070000000000003</v>
      </c>
      <c r="H456" s="19">
        <v>0.1812</v>
      </c>
      <c r="I456" s="18">
        <v>4.1420000000000003</v>
      </c>
      <c r="J456" s="20">
        <v>6</v>
      </c>
      <c r="K456" s="19">
        <v>3.6785999999999999E-2</v>
      </c>
      <c r="L456" s="21">
        <f t="shared" si="28"/>
        <v>1.434317433489122</v>
      </c>
      <c r="M456" s="21">
        <f t="shared" si="29"/>
        <v>-0.75399999999999989</v>
      </c>
      <c r="N456" s="22">
        <f t="shared" si="30"/>
        <v>2.2173124317650332</v>
      </c>
      <c r="O456" s="23">
        <f t="shared" si="31"/>
        <v>0.59295724970547403</v>
      </c>
    </row>
    <row r="457" spans="1:15" x14ac:dyDescent="0.25">
      <c r="A457" s="14" t="s">
        <v>6194</v>
      </c>
      <c r="B457" s="14" t="s">
        <v>915</v>
      </c>
      <c r="C457" s="15" t="s">
        <v>916</v>
      </c>
      <c r="D457" s="16">
        <v>6.0720000000000001E-3</v>
      </c>
      <c r="E457" s="17">
        <v>7.6660000000000004</v>
      </c>
      <c r="F457" s="17">
        <v>8.407</v>
      </c>
      <c r="G457" s="18">
        <v>-0.74139999999999995</v>
      </c>
      <c r="H457" s="19">
        <v>0.17910000000000001</v>
      </c>
      <c r="I457" s="18">
        <v>4.141</v>
      </c>
      <c r="J457" s="20">
        <v>6</v>
      </c>
      <c r="K457" s="19">
        <v>3.6785999999999999E-2</v>
      </c>
      <c r="L457" s="21">
        <f t="shared" si="28"/>
        <v>1.434317433489122</v>
      </c>
      <c r="M457" s="21">
        <f t="shared" si="29"/>
        <v>-0.74099999999999966</v>
      </c>
      <c r="N457" s="22">
        <f t="shared" si="30"/>
        <v>2.2166682371125757</v>
      </c>
      <c r="O457" s="23">
        <f t="shared" si="31"/>
        <v>0.59832448161535734</v>
      </c>
    </row>
    <row r="458" spans="1:15" x14ac:dyDescent="0.25">
      <c r="A458" s="14" t="s">
        <v>6195</v>
      </c>
      <c r="B458" s="14" t="s">
        <v>917</v>
      </c>
      <c r="C458" s="15" t="s">
        <v>918</v>
      </c>
      <c r="D458" s="16">
        <v>6.1469999999999997E-3</v>
      </c>
      <c r="E458" s="17">
        <v>10.19</v>
      </c>
      <c r="F458" s="17">
        <v>9.52</v>
      </c>
      <c r="G458" s="18">
        <v>0.67330000000000001</v>
      </c>
      <c r="H458" s="19">
        <v>0.16300000000000001</v>
      </c>
      <c r="I458" s="18">
        <v>4.13</v>
      </c>
      <c r="J458" s="20">
        <v>6</v>
      </c>
      <c r="K458" s="19">
        <v>3.7156000000000002E-2</v>
      </c>
      <c r="L458" s="21">
        <f t="shared" si="28"/>
        <v>1.4299710457933452</v>
      </c>
      <c r="M458" s="21">
        <f t="shared" si="29"/>
        <v>0.67000000000000026</v>
      </c>
      <c r="N458" s="22">
        <f t="shared" si="30"/>
        <v>2.211336786879142</v>
      </c>
      <c r="O458" s="23">
        <f t="shared" si="31"/>
        <v>1.5910729675098376</v>
      </c>
    </row>
    <row r="459" spans="1:15" x14ac:dyDescent="0.25">
      <c r="A459" s="14" t="s">
        <v>6196</v>
      </c>
      <c r="B459" s="14" t="s">
        <v>919</v>
      </c>
      <c r="C459" s="15" t="s">
        <v>920</v>
      </c>
      <c r="D459" s="16">
        <v>6.1700000000000001E-3</v>
      </c>
      <c r="E459" s="17">
        <v>9.1389999999999993</v>
      </c>
      <c r="F459" s="17">
        <v>8.33</v>
      </c>
      <c r="G459" s="18">
        <v>0.80840000000000001</v>
      </c>
      <c r="H459" s="19">
        <v>0.19589999999999999</v>
      </c>
      <c r="I459" s="18">
        <v>4.1269999999999998</v>
      </c>
      <c r="J459" s="20">
        <v>6</v>
      </c>
      <c r="K459" s="19">
        <v>3.7170000000000002E-2</v>
      </c>
      <c r="L459" s="21">
        <f t="shared" si="28"/>
        <v>1.4298074389042741</v>
      </c>
      <c r="M459" s="21">
        <f t="shared" si="29"/>
        <v>0.80899999999999883</v>
      </c>
      <c r="N459" s="22">
        <f t="shared" si="30"/>
        <v>2.209714835966758</v>
      </c>
      <c r="O459" s="23">
        <f t="shared" si="31"/>
        <v>1.75199663013425</v>
      </c>
    </row>
    <row r="460" spans="1:15" x14ac:dyDescent="0.25">
      <c r="A460" s="14" t="s">
        <v>6197</v>
      </c>
      <c r="B460" s="14" t="s">
        <v>921</v>
      </c>
      <c r="C460" s="15" t="s">
        <v>922</v>
      </c>
      <c r="D460" s="16">
        <v>6.1760000000000001E-3</v>
      </c>
      <c r="E460" s="17">
        <v>10.88</v>
      </c>
      <c r="F460" s="17">
        <v>11.53</v>
      </c>
      <c r="G460" s="18">
        <v>-0.64690000000000003</v>
      </c>
      <c r="H460" s="19">
        <v>0.15679999999999999</v>
      </c>
      <c r="I460" s="18">
        <v>4.1260000000000003</v>
      </c>
      <c r="J460" s="20">
        <v>6</v>
      </c>
      <c r="K460" s="19">
        <v>3.7170000000000002E-2</v>
      </c>
      <c r="L460" s="21">
        <f t="shared" si="28"/>
        <v>1.4298074389042741</v>
      </c>
      <c r="M460" s="21">
        <f t="shared" si="29"/>
        <v>-0.64999999999999813</v>
      </c>
      <c r="N460" s="22">
        <f t="shared" si="30"/>
        <v>2.2092927126723199</v>
      </c>
      <c r="O460" s="23">
        <f t="shared" si="31"/>
        <v>0.63728031365963189</v>
      </c>
    </row>
    <row r="461" spans="1:15" x14ac:dyDescent="0.25">
      <c r="A461" s="14" t="s">
        <v>6198</v>
      </c>
      <c r="B461" s="14" t="s">
        <v>923</v>
      </c>
      <c r="C461" s="15" t="s">
        <v>924</v>
      </c>
      <c r="D461" s="16">
        <v>6.208E-3</v>
      </c>
      <c r="E461" s="17">
        <v>9.5229999999999997</v>
      </c>
      <c r="F461" s="17">
        <v>9.2539999999999996</v>
      </c>
      <c r="G461" s="18">
        <v>0.2681</v>
      </c>
      <c r="H461" s="19">
        <v>6.5049999999999997E-2</v>
      </c>
      <c r="I461" s="18">
        <v>4.1210000000000004</v>
      </c>
      <c r="J461" s="20">
        <v>6</v>
      </c>
      <c r="K461" s="19">
        <v>3.7279E-2</v>
      </c>
      <c r="L461" s="21">
        <f t="shared" si="28"/>
        <v>1.4285357460043966</v>
      </c>
      <c r="M461" s="21">
        <f t="shared" si="29"/>
        <v>0.26899999999999968</v>
      </c>
      <c r="N461" s="22">
        <f t="shared" si="30"/>
        <v>2.2070482917498677</v>
      </c>
      <c r="O461" s="23">
        <f t="shared" si="31"/>
        <v>1.204972314994786</v>
      </c>
    </row>
    <row r="462" spans="1:15" x14ac:dyDescent="0.25">
      <c r="A462" s="14" t="s">
        <v>6199</v>
      </c>
      <c r="B462" s="14" t="s">
        <v>925</v>
      </c>
      <c r="C462" s="15" t="s">
        <v>926</v>
      </c>
      <c r="D462" s="16">
        <v>6.2740000000000001E-3</v>
      </c>
      <c r="E462" s="17">
        <v>11.63</v>
      </c>
      <c r="F462" s="17">
        <v>12.11</v>
      </c>
      <c r="G462" s="18">
        <v>-0.48270000000000002</v>
      </c>
      <c r="H462" s="19">
        <v>0.1174</v>
      </c>
      <c r="I462" s="18">
        <v>4.1120000000000001</v>
      </c>
      <c r="J462" s="20">
        <v>6</v>
      </c>
      <c r="K462" s="19">
        <v>3.7592E-2</v>
      </c>
      <c r="L462" s="21">
        <f t="shared" si="28"/>
        <v>1.4249045679851045</v>
      </c>
      <c r="M462" s="21">
        <f t="shared" si="29"/>
        <v>-0.47999999999999809</v>
      </c>
      <c r="N462" s="22">
        <f t="shared" si="30"/>
        <v>2.2024554856382736</v>
      </c>
      <c r="O462" s="23">
        <f t="shared" si="31"/>
        <v>0.71697762400791465</v>
      </c>
    </row>
    <row r="463" spans="1:15" x14ac:dyDescent="0.25">
      <c r="A463" s="14" t="s">
        <v>6200</v>
      </c>
      <c r="B463" s="14" t="s">
        <v>927</v>
      </c>
      <c r="C463" s="15" t="s">
        <v>928</v>
      </c>
      <c r="D463" s="16">
        <v>6.313E-3</v>
      </c>
      <c r="E463" s="17">
        <v>11.9</v>
      </c>
      <c r="F463" s="17">
        <v>11.4</v>
      </c>
      <c r="G463" s="18">
        <v>0.49440000000000001</v>
      </c>
      <c r="H463" s="19">
        <v>0.12039999999999999</v>
      </c>
      <c r="I463" s="18">
        <v>4.1059999999999999</v>
      </c>
      <c r="J463" s="20">
        <v>6</v>
      </c>
      <c r="K463" s="19">
        <v>3.7719000000000003E-2</v>
      </c>
      <c r="L463" s="21">
        <f t="shared" si="28"/>
        <v>1.4234398297268307</v>
      </c>
      <c r="M463" s="21">
        <f t="shared" si="29"/>
        <v>0.50000000000000011</v>
      </c>
      <c r="N463" s="22">
        <f t="shared" si="30"/>
        <v>2.1997642106726456</v>
      </c>
      <c r="O463" s="23">
        <f t="shared" si="31"/>
        <v>1.4142135623730951</v>
      </c>
    </row>
    <row r="464" spans="1:15" x14ac:dyDescent="0.25">
      <c r="A464" s="14" t="s">
        <v>6201</v>
      </c>
      <c r="B464" s="14" t="s">
        <v>929</v>
      </c>
      <c r="C464" s="15" t="s">
        <v>930</v>
      </c>
      <c r="D464" s="16">
        <v>6.3220000000000004E-3</v>
      </c>
      <c r="E464" s="17">
        <v>9.6460000000000008</v>
      </c>
      <c r="F464" s="17">
        <v>9.3889999999999993</v>
      </c>
      <c r="G464" s="18">
        <v>0.25669999999999998</v>
      </c>
      <c r="H464" s="19">
        <v>6.2530000000000002E-2</v>
      </c>
      <c r="I464" s="18">
        <v>4.1050000000000004</v>
      </c>
      <c r="J464" s="20">
        <v>6</v>
      </c>
      <c r="K464" s="19">
        <v>3.7719000000000003E-2</v>
      </c>
      <c r="L464" s="21">
        <f t="shared" si="28"/>
        <v>1.4234398297268307</v>
      </c>
      <c r="M464" s="21">
        <f t="shared" si="29"/>
        <v>0.25700000000000089</v>
      </c>
      <c r="N464" s="22">
        <f t="shared" si="30"/>
        <v>2.1991455084964389</v>
      </c>
      <c r="O464" s="23">
        <f t="shared" si="31"/>
        <v>1.194991204856783</v>
      </c>
    </row>
    <row r="465" spans="1:15" x14ac:dyDescent="0.25">
      <c r="A465" s="14" t="s">
        <v>6202</v>
      </c>
      <c r="B465" s="14" t="s">
        <v>931</v>
      </c>
      <c r="C465" s="15" t="s">
        <v>932</v>
      </c>
      <c r="D465" s="16">
        <v>6.3889999999999997E-3</v>
      </c>
      <c r="E465" s="17">
        <v>12.21</v>
      </c>
      <c r="F465" s="17">
        <v>11.59</v>
      </c>
      <c r="G465" s="18">
        <v>0.61409999999999998</v>
      </c>
      <c r="H465" s="19">
        <v>0.15</v>
      </c>
      <c r="I465" s="18">
        <v>4.0960000000000001</v>
      </c>
      <c r="J465" s="20">
        <v>6</v>
      </c>
      <c r="K465" s="19">
        <v>3.7985999999999999E-2</v>
      </c>
      <c r="L465" s="21">
        <f t="shared" si="28"/>
        <v>1.4203764360948852</v>
      </c>
      <c r="M465" s="21">
        <f t="shared" si="29"/>
        <v>0.62000000000000088</v>
      </c>
      <c r="N465" s="22">
        <f t="shared" si="30"/>
        <v>2.19456711186786</v>
      </c>
      <c r="O465" s="23">
        <f t="shared" si="31"/>
        <v>1.5368751812880133</v>
      </c>
    </row>
    <row r="466" spans="1:15" x14ac:dyDescent="0.25">
      <c r="A466" s="14" t="s">
        <v>6203</v>
      </c>
      <c r="B466" s="14" t="s">
        <v>933</v>
      </c>
      <c r="C466" s="15" t="s">
        <v>934</v>
      </c>
      <c r="D466" s="16">
        <v>6.3940000000000004E-3</v>
      </c>
      <c r="E466" s="17">
        <v>11.6</v>
      </c>
      <c r="F466" s="17">
        <v>11.05</v>
      </c>
      <c r="G466" s="18">
        <v>0.55459999999999998</v>
      </c>
      <c r="H466" s="19">
        <v>0.13539999999999999</v>
      </c>
      <c r="I466" s="18">
        <v>4.0949999999999998</v>
      </c>
      <c r="J466" s="20">
        <v>6</v>
      </c>
      <c r="K466" s="19">
        <v>3.7985999999999999E-2</v>
      </c>
      <c r="L466" s="21">
        <f t="shared" si="28"/>
        <v>1.4203764360948852</v>
      </c>
      <c r="M466" s="21">
        <f t="shared" si="29"/>
        <v>0.54999999999999805</v>
      </c>
      <c r="N466" s="22">
        <f t="shared" si="30"/>
        <v>2.1942273680643307</v>
      </c>
      <c r="O466" s="23">
        <f t="shared" si="31"/>
        <v>1.4640856959456234</v>
      </c>
    </row>
    <row r="467" spans="1:15" x14ac:dyDescent="0.25">
      <c r="A467" s="14" t="s">
        <v>6204</v>
      </c>
      <c r="B467" s="14" t="s">
        <v>935</v>
      </c>
      <c r="C467" s="15" t="s">
        <v>936</v>
      </c>
      <c r="D467" s="16">
        <v>6.417E-3</v>
      </c>
      <c r="E467" s="17">
        <v>8.7569999999999997</v>
      </c>
      <c r="F467" s="17">
        <v>8.2370000000000001</v>
      </c>
      <c r="G467" s="18">
        <v>0.51990000000000003</v>
      </c>
      <c r="H467" s="19">
        <v>0.12709999999999999</v>
      </c>
      <c r="I467" s="18">
        <v>4.0919999999999996</v>
      </c>
      <c r="J467" s="20">
        <v>6</v>
      </c>
      <c r="K467" s="19">
        <v>3.8038000000000002E-2</v>
      </c>
      <c r="L467" s="21">
        <f t="shared" si="28"/>
        <v>1.4197823259038709</v>
      </c>
      <c r="M467" s="21">
        <f t="shared" si="29"/>
        <v>0.51999999999999946</v>
      </c>
      <c r="N467" s="22">
        <f t="shared" si="30"/>
        <v>2.1926679607088091</v>
      </c>
      <c r="O467" s="23">
        <f t="shared" si="31"/>
        <v>1.4339552480158269</v>
      </c>
    </row>
    <row r="468" spans="1:15" x14ac:dyDescent="0.25">
      <c r="A468" s="14" t="s">
        <v>6205</v>
      </c>
      <c r="B468" s="14" t="s">
        <v>937</v>
      </c>
      <c r="C468" s="15" t="s">
        <v>938</v>
      </c>
      <c r="D468" s="16">
        <v>6.4429999999999999E-3</v>
      </c>
      <c r="E468" s="17">
        <v>8.7620000000000005</v>
      </c>
      <c r="F468" s="17">
        <v>9.39</v>
      </c>
      <c r="G468" s="18">
        <v>-0.62839999999999996</v>
      </c>
      <c r="H468" s="19">
        <v>0.1537</v>
      </c>
      <c r="I468" s="18">
        <v>4.0880000000000001</v>
      </c>
      <c r="J468" s="20">
        <v>6</v>
      </c>
      <c r="K468" s="19">
        <v>3.8109999999999998E-2</v>
      </c>
      <c r="L468" s="21">
        <f t="shared" si="28"/>
        <v>1.4189610512278328</v>
      </c>
      <c r="M468" s="21">
        <f t="shared" si="29"/>
        <v>-0.62800000000000045</v>
      </c>
      <c r="N468" s="22">
        <f t="shared" si="30"/>
        <v>2.1909118686536537</v>
      </c>
      <c r="O468" s="23">
        <f t="shared" si="31"/>
        <v>0.64707282724142656</v>
      </c>
    </row>
    <row r="469" spans="1:15" x14ac:dyDescent="0.25">
      <c r="A469" s="14" t="s">
        <v>6206</v>
      </c>
      <c r="B469" s="14" t="s">
        <v>943</v>
      </c>
      <c r="C469" s="15" t="s">
        <v>944</v>
      </c>
      <c r="D469" s="16">
        <v>6.5279999999999999E-3</v>
      </c>
      <c r="E469" s="17">
        <v>8.8480000000000008</v>
      </c>
      <c r="F469" s="17">
        <v>8.1750000000000007</v>
      </c>
      <c r="G469" s="18">
        <v>0.67300000000000004</v>
      </c>
      <c r="H469" s="19">
        <v>0.1651</v>
      </c>
      <c r="I469" s="18">
        <v>4.0759999999999996</v>
      </c>
      <c r="J469" s="20">
        <v>6</v>
      </c>
      <c r="K469" s="19">
        <v>3.8366999999999998E-2</v>
      </c>
      <c r="L469" s="21">
        <f t="shared" si="28"/>
        <v>1.4160421579135427</v>
      </c>
      <c r="M469" s="21">
        <f t="shared" si="29"/>
        <v>0.67300000000000026</v>
      </c>
      <c r="N469" s="22">
        <f t="shared" si="30"/>
        <v>2.1852198542541954</v>
      </c>
      <c r="O469" s="23">
        <f t="shared" si="31"/>
        <v>1.5943849530810725</v>
      </c>
    </row>
    <row r="470" spans="1:15" x14ac:dyDescent="0.25">
      <c r="A470" s="14" t="s">
        <v>6207</v>
      </c>
      <c r="B470" s="14" t="s">
        <v>941</v>
      </c>
      <c r="C470" s="15" t="s">
        <v>942</v>
      </c>
      <c r="D470" s="16">
        <v>6.5209999999999999E-3</v>
      </c>
      <c r="E470" s="17">
        <v>7.9409999999999998</v>
      </c>
      <c r="F470" s="17">
        <v>8.4039999999999999</v>
      </c>
      <c r="G470" s="18">
        <v>-0.46239999999999998</v>
      </c>
      <c r="H470" s="19">
        <v>0.1134</v>
      </c>
      <c r="I470" s="18">
        <v>4.077</v>
      </c>
      <c r="J470" s="20">
        <v>6</v>
      </c>
      <c r="K470" s="19">
        <v>3.8366999999999998E-2</v>
      </c>
      <c r="L470" s="21">
        <f t="shared" si="28"/>
        <v>1.4160421579135427</v>
      </c>
      <c r="M470" s="21">
        <f t="shared" si="29"/>
        <v>-0.46300000000000108</v>
      </c>
      <c r="N470" s="22">
        <f t="shared" si="30"/>
        <v>2.1856857997925401</v>
      </c>
      <c r="O470" s="23">
        <f t="shared" si="31"/>
        <v>0.72547610391708872</v>
      </c>
    </row>
    <row r="471" spans="1:15" x14ac:dyDescent="0.25">
      <c r="A471" s="14" t="s">
        <v>6208</v>
      </c>
      <c r="B471" s="14" t="s">
        <v>939</v>
      </c>
      <c r="C471" s="15" t="s">
        <v>940</v>
      </c>
      <c r="D471" s="16">
        <v>6.5199999999999998E-3</v>
      </c>
      <c r="E471" s="17">
        <v>8.7899999999999991</v>
      </c>
      <c r="F471" s="17">
        <v>9.4760000000000009</v>
      </c>
      <c r="G471" s="18">
        <v>-0.68600000000000005</v>
      </c>
      <c r="H471" s="19">
        <v>0.16819999999999999</v>
      </c>
      <c r="I471" s="18">
        <v>4.0780000000000003</v>
      </c>
      <c r="J471" s="20">
        <v>6</v>
      </c>
      <c r="K471" s="19">
        <v>3.8366999999999998E-2</v>
      </c>
      <c r="L471" s="21">
        <f t="shared" si="28"/>
        <v>1.4160421579135427</v>
      </c>
      <c r="M471" s="21">
        <f t="shared" si="29"/>
        <v>-0.6860000000000005</v>
      </c>
      <c r="N471" s="22">
        <f t="shared" si="30"/>
        <v>2.1857524042680798</v>
      </c>
      <c r="O471" s="23">
        <f t="shared" si="31"/>
        <v>0.62157483445196959</v>
      </c>
    </row>
    <row r="472" spans="1:15" x14ac:dyDescent="0.25">
      <c r="A472" s="14" t="s">
        <v>6209</v>
      </c>
      <c r="B472" s="14" t="s">
        <v>945</v>
      </c>
      <c r="C472" s="15" t="s">
        <v>946</v>
      </c>
      <c r="D472" s="16">
        <v>6.5449999999999996E-3</v>
      </c>
      <c r="E472" s="17">
        <v>11.03</v>
      </c>
      <c r="F472" s="17">
        <v>10.48</v>
      </c>
      <c r="G472" s="18">
        <v>0.54469999999999996</v>
      </c>
      <c r="H472" s="19">
        <v>0.13370000000000001</v>
      </c>
      <c r="I472" s="18">
        <v>4.0739999999999998</v>
      </c>
      <c r="J472" s="20">
        <v>6</v>
      </c>
      <c r="K472" s="19">
        <v>3.8384000000000001E-2</v>
      </c>
      <c r="L472" s="21">
        <f t="shared" si="28"/>
        <v>1.4158497693762446</v>
      </c>
      <c r="M472" s="21">
        <f t="shared" si="29"/>
        <v>0.54999999999999805</v>
      </c>
      <c r="N472" s="22">
        <f t="shared" si="30"/>
        <v>2.1840903491132253</v>
      </c>
      <c r="O472" s="23">
        <f t="shared" si="31"/>
        <v>1.4640856959456234</v>
      </c>
    </row>
    <row r="473" spans="1:15" x14ac:dyDescent="0.25">
      <c r="A473" s="14" t="s">
        <v>6210</v>
      </c>
      <c r="B473" s="14" t="s">
        <v>947</v>
      </c>
      <c r="C473" s="15" t="s">
        <v>948</v>
      </c>
      <c r="D473" s="16">
        <v>6.561E-3</v>
      </c>
      <c r="E473" s="17">
        <v>8.3420000000000005</v>
      </c>
      <c r="F473" s="17">
        <v>7.7880000000000003</v>
      </c>
      <c r="G473" s="18">
        <v>0.5544</v>
      </c>
      <c r="H473" s="19">
        <v>0.13619999999999999</v>
      </c>
      <c r="I473" s="18">
        <v>4.0720000000000001</v>
      </c>
      <c r="J473" s="20">
        <v>6</v>
      </c>
      <c r="K473" s="19">
        <v>3.8396E-2</v>
      </c>
      <c r="L473" s="21">
        <f t="shared" si="28"/>
        <v>1.4157140169973628</v>
      </c>
      <c r="M473" s="21">
        <f t="shared" si="29"/>
        <v>0.55400000000000116</v>
      </c>
      <c r="N473" s="22">
        <f t="shared" si="30"/>
        <v>2.1830299622427001</v>
      </c>
      <c r="O473" s="23">
        <f t="shared" si="31"/>
        <v>1.4681506360341043</v>
      </c>
    </row>
    <row r="474" spans="1:15" x14ac:dyDescent="0.25">
      <c r="A474" s="14" t="s">
        <v>6211</v>
      </c>
      <c r="B474" s="14" t="s">
        <v>949</v>
      </c>
      <c r="C474" s="15" t="s">
        <v>950</v>
      </c>
      <c r="D474" s="16">
        <v>6.5750000000000001E-3</v>
      </c>
      <c r="E474" s="17">
        <v>8.5619999999999994</v>
      </c>
      <c r="F474" s="17">
        <v>9.0220000000000002</v>
      </c>
      <c r="G474" s="18">
        <v>-0.4602</v>
      </c>
      <c r="H474" s="19">
        <v>0.11310000000000001</v>
      </c>
      <c r="I474" s="18">
        <v>4.07</v>
      </c>
      <c r="J474" s="20">
        <v>6</v>
      </c>
      <c r="K474" s="19">
        <v>3.8399000000000003E-2</v>
      </c>
      <c r="L474" s="21">
        <f t="shared" si="28"/>
        <v>1.415680085531867</v>
      </c>
      <c r="M474" s="21">
        <f t="shared" si="29"/>
        <v>-0.4600000000000008</v>
      </c>
      <c r="N474" s="22">
        <f t="shared" si="30"/>
        <v>2.1821042428382045</v>
      </c>
      <c r="O474" s="23">
        <f t="shared" si="31"/>
        <v>0.72698625866015487</v>
      </c>
    </row>
    <row r="475" spans="1:15" x14ac:dyDescent="0.25">
      <c r="A475" s="14" t="s">
        <v>6212</v>
      </c>
      <c r="B475" s="14" t="s">
        <v>953</v>
      </c>
      <c r="C475" s="15" t="s">
        <v>954</v>
      </c>
      <c r="D475" s="16">
        <v>6.6090000000000003E-3</v>
      </c>
      <c r="E475" s="17">
        <v>13.42</v>
      </c>
      <c r="F475" s="17">
        <v>14.19</v>
      </c>
      <c r="G475" s="18">
        <v>-0.76470000000000005</v>
      </c>
      <c r="H475" s="19">
        <v>0.18809999999999999</v>
      </c>
      <c r="I475" s="18">
        <v>4.0659999999999998</v>
      </c>
      <c r="J475" s="20">
        <v>6</v>
      </c>
      <c r="K475" s="19">
        <v>3.8420000000000003E-2</v>
      </c>
      <c r="L475" s="21">
        <f t="shared" si="28"/>
        <v>1.4154426394743249</v>
      </c>
      <c r="M475" s="21">
        <f t="shared" si="29"/>
        <v>-0.77000000000000024</v>
      </c>
      <c r="N475" s="22">
        <f t="shared" si="30"/>
        <v>2.17986424812957</v>
      </c>
      <c r="O475" s="23">
        <f t="shared" si="31"/>
        <v>0.58641747461593929</v>
      </c>
    </row>
    <row r="476" spans="1:15" x14ac:dyDescent="0.25">
      <c r="A476" s="14" t="s">
        <v>6213</v>
      </c>
      <c r="B476" s="14" t="s">
        <v>951</v>
      </c>
      <c r="C476" s="15" t="s">
        <v>952</v>
      </c>
      <c r="D476" s="16">
        <v>6.5960000000000003E-3</v>
      </c>
      <c r="E476" s="17">
        <v>10.59</v>
      </c>
      <c r="F476" s="17">
        <v>10.06</v>
      </c>
      <c r="G476" s="18">
        <v>0.53129999999999999</v>
      </c>
      <c r="H476" s="19">
        <v>0.13059999999999999</v>
      </c>
      <c r="I476" s="18">
        <v>4.0670000000000002</v>
      </c>
      <c r="J476" s="20">
        <v>6</v>
      </c>
      <c r="K476" s="19">
        <v>3.8420000000000003E-2</v>
      </c>
      <c r="L476" s="21">
        <f t="shared" si="28"/>
        <v>1.4154426394743249</v>
      </c>
      <c r="M476" s="21">
        <f t="shared" si="29"/>
        <v>0.52999999999999992</v>
      </c>
      <c r="N476" s="22">
        <f t="shared" si="30"/>
        <v>2.1807193530275186</v>
      </c>
      <c r="O476" s="23">
        <f t="shared" si="31"/>
        <v>1.443929195522496</v>
      </c>
    </row>
    <row r="477" spans="1:15" x14ac:dyDescent="0.25">
      <c r="A477" s="14" t="s">
        <v>6214</v>
      </c>
      <c r="B477" s="14" t="s">
        <v>955</v>
      </c>
      <c r="C477" s="15" t="s">
        <v>956</v>
      </c>
      <c r="D477" s="16">
        <v>6.62E-3</v>
      </c>
      <c r="E477" s="17">
        <v>8.7919999999999998</v>
      </c>
      <c r="F477" s="17">
        <v>8.0719999999999992</v>
      </c>
      <c r="G477" s="18">
        <v>0.7198</v>
      </c>
      <c r="H477" s="19">
        <v>0.17710000000000001</v>
      </c>
      <c r="I477" s="18">
        <v>4.0640000000000001</v>
      </c>
      <c r="J477" s="20">
        <v>6</v>
      </c>
      <c r="K477" s="19">
        <v>3.8420000000000003E-2</v>
      </c>
      <c r="L477" s="21">
        <f t="shared" si="28"/>
        <v>1.4154426394743249</v>
      </c>
      <c r="M477" s="21">
        <f t="shared" si="29"/>
        <v>0.71999999999999975</v>
      </c>
      <c r="N477" s="22">
        <f t="shared" si="30"/>
        <v>2.1791420105602999</v>
      </c>
      <c r="O477" s="23">
        <f t="shared" si="31"/>
        <v>1.647182034535146</v>
      </c>
    </row>
    <row r="478" spans="1:15" x14ac:dyDescent="0.25">
      <c r="A478" s="14" t="s">
        <v>6215</v>
      </c>
      <c r="B478" s="14" t="s">
        <v>963</v>
      </c>
      <c r="C478" s="15" t="s">
        <v>964</v>
      </c>
      <c r="D478" s="16">
        <v>6.7470000000000004E-3</v>
      </c>
      <c r="E478" s="17">
        <v>10.7</v>
      </c>
      <c r="F478" s="17">
        <v>10.3</v>
      </c>
      <c r="G478" s="18">
        <v>0.39889999999999998</v>
      </c>
      <c r="H478" s="19">
        <v>9.8570000000000005E-2</v>
      </c>
      <c r="I478" s="18">
        <v>4.0469999999999997</v>
      </c>
      <c r="J478" s="20">
        <v>6</v>
      </c>
      <c r="K478" s="19">
        <v>3.8829000000000002E-2</v>
      </c>
      <c r="L478" s="21">
        <f t="shared" si="28"/>
        <v>1.4108437941069076</v>
      </c>
      <c r="M478" s="21">
        <f t="shared" si="29"/>
        <v>0.39999999999999869</v>
      </c>
      <c r="N478" s="22">
        <f t="shared" si="30"/>
        <v>2.1708892898447054</v>
      </c>
      <c r="O478" s="23">
        <f t="shared" si="31"/>
        <v>1.3195079107728931</v>
      </c>
    </row>
    <row r="479" spans="1:15" x14ac:dyDescent="0.25">
      <c r="A479" s="14" t="s">
        <v>6216</v>
      </c>
      <c r="B479" s="14" t="s">
        <v>959</v>
      </c>
      <c r="C479" s="15" t="s">
        <v>960</v>
      </c>
      <c r="D479" s="16">
        <v>6.7279999999999996E-3</v>
      </c>
      <c r="E479" s="17">
        <v>9.5969999999999995</v>
      </c>
      <c r="F479" s="17">
        <v>9.1829999999999998</v>
      </c>
      <c r="G479" s="18">
        <v>0.41389999999999999</v>
      </c>
      <c r="H479" s="19">
        <v>0.1022</v>
      </c>
      <c r="I479" s="18">
        <v>4.05</v>
      </c>
      <c r="J479" s="20">
        <v>6</v>
      </c>
      <c r="K479" s="19">
        <v>3.8829000000000002E-2</v>
      </c>
      <c r="L479" s="21">
        <f t="shared" si="28"/>
        <v>1.4108437941069076</v>
      </c>
      <c r="M479" s="21">
        <f t="shared" si="29"/>
        <v>0.41399999999999948</v>
      </c>
      <c r="N479" s="22">
        <f t="shared" si="30"/>
        <v>2.1721140172101441</v>
      </c>
      <c r="O479" s="23">
        <f t="shared" si="31"/>
        <v>1.3323748250920213</v>
      </c>
    </row>
    <row r="480" spans="1:15" x14ac:dyDescent="0.25">
      <c r="A480" s="14" t="s">
        <v>6217</v>
      </c>
      <c r="B480" s="14" t="s">
        <v>961</v>
      </c>
      <c r="C480" s="15" t="s">
        <v>962</v>
      </c>
      <c r="D480" s="16">
        <v>6.7359999999999998E-3</v>
      </c>
      <c r="E480" s="17">
        <v>8.3580000000000005</v>
      </c>
      <c r="F480" s="17">
        <v>7.3860000000000001</v>
      </c>
      <c r="G480" s="18">
        <v>0.97250000000000003</v>
      </c>
      <c r="H480" s="19">
        <v>0.2402</v>
      </c>
      <c r="I480" s="18">
        <v>4.0490000000000004</v>
      </c>
      <c r="J480" s="20">
        <v>6</v>
      </c>
      <c r="K480" s="19">
        <v>3.8829000000000002E-2</v>
      </c>
      <c r="L480" s="21">
        <f t="shared" si="28"/>
        <v>1.4108437941069076</v>
      </c>
      <c r="M480" s="21">
        <f t="shared" si="29"/>
        <v>0.97199999999999964</v>
      </c>
      <c r="N480" s="22">
        <f t="shared" si="30"/>
        <v>2.1715979215084067</v>
      </c>
      <c r="O480" s="23">
        <f t="shared" si="31"/>
        <v>1.9615580079771022</v>
      </c>
    </row>
    <row r="481" spans="1:15" x14ac:dyDescent="0.25">
      <c r="A481" s="14" t="s">
        <v>6218</v>
      </c>
      <c r="B481" s="14" t="s">
        <v>957</v>
      </c>
      <c r="C481" s="15" t="s">
        <v>958</v>
      </c>
      <c r="D481" s="16">
        <v>6.7200000000000003E-3</v>
      </c>
      <c r="E481" s="17">
        <v>11.18</v>
      </c>
      <c r="F481" s="17">
        <v>11.67</v>
      </c>
      <c r="G481" s="18">
        <v>-0.4889</v>
      </c>
      <c r="H481" s="19">
        <v>0.1207</v>
      </c>
      <c r="I481" s="18">
        <v>4.0510000000000002</v>
      </c>
      <c r="J481" s="20">
        <v>6</v>
      </c>
      <c r="K481" s="19">
        <v>3.8829000000000002E-2</v>
      </c>
      <c r="L481" s="21">
        <f t="shared" si="28"/>
        <v>1.4108437941069076</v>
      </c>
      <c r="M481" s="21">
        <f t="shared" si="29"/>
        <v>-0.49000000000000099</v>
      </c>
      <c r="N481" s="22">
        <f t="shared" si="30"/>
        <v>2.1726307269461747</v>
      </c>
      <c r="O481" s="23">
        <f t="shared" si="31"/>
        <v>0.7120250977985354</v>
      </c>
    </row>
    <row r="482" spans="1:15" x14ac:dyDescent="0.25">
      <c r="A482" s="14" t="s">
        <v>6219</v>
      </c>
      <c r="B482" s="14" t="s">
        <v>965</v>
      </c>
      <c r="C482" s="15" t="s">
        <v>966</v>
      </c>
      <c r="D482" s="16">
        <v>6.7759999999999999E-3</v>
      </c>
      <c r="E482" s="17">
        <v>9.7200000000000006</v>
      </c>
      <c r="F482" s="17">
        <v>9.3149999999999995</v>
      </c>
      <c r="G482" s="18">
        <v>0.40500000000000003</v>
      </c>
      <c r="H482" s="19">
        <v>0.1002</v>
      </c>
      <c r="I482" s="18">
        <v>4.0439999999999996</v>
      </c>
      <c r="J482" s="20">
        <v>6</v>
      </c>
      <c r="K482" s="19">
        <v>3.8911000000000001E-2</v>
      </c>
      <c r="L482" s="21">
        <f t="shared" si="28"/>
        <v>1.4099276078263976</v>
      </c>
      <c r="M482" s="21">
        <f t="shared" si="29"/>
        <v>0.40500000000000225</v>
      </c>
      <c r="N482" s="22">
        <f t="shared" si="30"/>
        <v>2.169026602677349</v>
      </c>
      <c r="O482" s="23">
        <f t="shared" si="31"/>
        <v>1.3240889103953992</v>
      </c>
    </row>
    <row r="483" spans="1:15" x14ac:dyDescent="0.25">
      <c r="A483" s="14" t="s">
        <v>6220</v>
      </c>
      <c r="B483" s="14" t="s">
        <v>967</v>
      </c>
      <c r="C483" s="15" t="s">
        <v>968</v>
      </c>
      <c r="D483" s="16">
        <v>6.7999999999999996E-3</v>
      </c>
      <c r="E483" s="17">
        <v>9.4079999999999995</v>
      </c>
      <c r="F483" s="17">
        <v>9.1720000000000006</v>
      </c>
      <c r="G483" s="18">
        <v>0.2361</v>
      </c>
      <c r="H483" s="19">
        <v>5.8439999999999999E-2</v>
      </c>
      <c r="I483" s="18">
        <v>4.04</v>
      </c>
      <c r="J483" s="20">
        <v>6</v>
      </c>
      <c r="K483" s="19">
        <v>3.8968000000000003E-2</v>
      </c>
      <c r="L483" s="21">
        <f t="shared" si="28"/>
        <v>1.4092918834362862</v>
      </c>
      <c r="M483" s="21">
        <f t="shared" si="29"/>
        <v>0.23599999999999868</v>
      </c>
      <c r="N483" s="22">
        <f t="shared" si="30"/>
        <v>2.1674910872937634</v>
      </c>
      <c r="O483" s="23">
        <f t="shared" si="31"/>
        <v>1.1777227895949804</v>
      </c>
    </row>
    <row r="484" spans="1:15" x14ac:dyDescent="0.25">
      <c r="A484" s="14" t="s">
        <v>6221</v>
      </c>
      <c r="B484" s="14" t="s">
        <v>971</v>
      </c>
      <c r="C484" s="15" t="s">
        <v>972</v>
      </c>
      <c r="D484" s="16">
        <v>6.8710000000000004E-3</v>
      </c>
      <c r="E484" s="17">
        <v>11.29</v>
      </c>
      <c r="F484" s="17">
        <v>11.99</v>
      </c>
      <c r="G484" s="18">
        <v>-0.6956</v>
      </c>
      <c r="H484" s="19">
        <v>0.1726</v>
      </c>
      <c r="I484" s="18">
        <v>4.0309999999999997</v>
      </c>
      <c r="J484" s="20">
        <v>6</v>
      </c>
      <c r="K484" s="19">
        <v>3.9216000000000001E-2</v>
      </c>
      <c r="L484" s="21">
        <f t="shared" si="28"/>
        <v>1.4065367060919971</v>
      </c>
      <c r="M484" s="21">
        <f t="shared" si="29"/>
        <v>-0.70000000000000129</v>
      </c>
      <c r="N484" s="22">
        <f t="shared" si="30"/>
        <v>2.1629800514590913</v>
      </c>
      <c r="O484" s="23">
        <f t="shared" si="31"/>
        <v>0.6155722066724576</v>
      </c>
    </row>
    <row r="485" spans="1:15" x14ac:dyDescent="0.25">
      <c r="A485" s="14" t="s">
        <v>6222</v>
      </c>
      <c r="B485" s="14" t="s">
        <v>969</v>
      </c>
      <c r="C485" s="15" t="s">
        <v>970</v>
      </c>
      <c r="D485" s="16">
        <v>6.8630000000000002E-3</v>
      </c>
      <c r="E485" s="17">
        <v>10.16</v>
      </c>
      <c r="F485" s="17">
        <v>9.7739999999999991</v>
      </c>
      <c r="G485" s="18">
        <v>0.38419999999999999</v>
      </c>
      <c r="H485" s="19">
        <v>9.529E-2</v>
      </c>
      <c r="I485" s="18">
        <v>4.032</v>
      </c>
      <c r="J485" s="20">
        <v>6</v>
      </c>
      <c r="K485" s="19">
        <v>3.9216000000000001E-2</v>
      </c>
      <c r="L485" s="21">
        <f t="shared" si="28"/>
        <v>1.4065367060919971</v>
      </c>
      <c r="M485" s="21">
        <f t="shared" si="29"/>
        <v>0.38600000000000045</v>
      </c>
      <c r="N485" s="22">
        <f t="shared" si="30"/>
        <v>2.1634860011093284</v>
      </c>
      <c r="O485" s="23">
        <f t="shared" si="31"/>
        <v>1.3067652538931738</v>
      </c>
    </row>
    <row r="486" spans="1:15" x14ac:dyDescent="0.25">
      <c r="A486" s="14" t="s">
        <v>6223</v>
      </c>
      <c r="B486" s="14" t="s">
        <v>977</v>
      </c>
      <c r="C486" s="15" t="s">
        <v>978</v>
      </c>
      <c r="D486" s="16">
        <v>6.953E-3</v>
      </c>
      <c r="E486" s="17">
        <v>8.8620000000000001</v>
      </c>
      <c r="F486" s="17">
        <v>8.0619999999999994</v>
      </c>
      <c r="G486" s="18">
        <v>0.8</v>
      </c>
      <c r="H486" s="19">
        <v>0.19900000000000001</v>
      </c>
      <c r="I486" s="18">
        <v>4.0209999999999999</v>
      </c>
      <c r="J486" s="20">
        <v>6</v>
      </c>
      <c r="K486" s="19">
        <v>3.9322999999999997E-2</v>
      </c>
      <c r="L486" s="21">
        <f t="shared" si="28"/>
        <v>1.4053533567161696</v>
      </c>
      <c r="M486" s="21">
        <f t="shared" si="29"/>
        <v>0.80000000000000127</v>
      </c>
      <c r="N486" s="22">
        <f t="shared" si="30"/>
        <v>2.157827770614384</v>
      </c>
      <c r="O486" s="23">
        <f t="shared" si="31"/>
        <v>1.7411011265922498</v>
      </c>
    </row>
    <row r="487" spans="1:15" x14ac:dyDescent="0.25">
      <c r="A487" s="14" t="s">
        <v>6224</v>
      </c>
      <c r="B487" s="14" t="s">
        <v>975</v>
      </c>
      <c r="C487" s="15" t="s">
        <v>976</v>
      </c>
      <c r="D487" s="16">
        <v>6.9360000000000003E-3</v>
      </c>
      <c r="E487" s="17">
        <v>10.14</v>
      </c>
      <c r="F487" s="17">
        <v>9.8759999999999994</v>
      </c>
      <c r="G487" s="18">
        <v>0.26640000000000003</v>
      </c>
      <c r="H487" s="19">
        <v>6.6229999999999997E-2</v>
      </c>
      <c r="I487" s="18">
        <v>4.0229999999999997</v>
      </c>
      <c r="J487" s="20">
        <v>6</v>
      </c>
      <c r="K487" s="19">
        <v>3.9322999999999997E-2</v>
      </c>
      <c r="L487" s="21">
        <f t="shared" si="28"/>
        <v>1.4053533567161696</v>
      </c>
      <c r="M487" s="21">
        <f t="shared" si="29"/>
        <v>0.26400000000000162</v>
      </c>
      <c r="N487" s="22">
        <f t="shared" si="30"/>
        <v>2.1588909155318459</v>
      </c>
      <c r="O487" s="23">
        <f t="shared" si="31"/>
        <v>1.20080342748521</v>
      </c>
    </row>
    <row r="488" spans="1:15" x14ac:dyDescent="0.25">
      <c r="A488" s="14" t="s">
        <v>6225</v>
      </c>
      <c r="B488" s="14" t="s">
        <v>979</v>
      </c>
      <c r="C488" s="15" t="s">
        <v>980</v>
      </c>
      <c r="D488" s="16">
        <v>6.9550000000000002E-3</v>
      </c>
      <c r="E488" s="17">
        <v>10.89</v>
      </c>
      <c r="F488" s="17">
        <v>11.39</v>
      </c>
      <c r="G488" s="18">
        <v>-0.50129999999999997</v>
      </c>
      <c r="H488" s="19">
        <v>0.12470000000000001</v>
      </c>
      <c r="I488" s="18">
        <v>4.0199999999999996</v>
      </c>
      <c r="J488" s="20">
        <v>6</v>
      </c>
      <c r="K488" s="19">
        <v>3.9322999999999997E-2</v>
      </c>
      <c r="L488" s="21">
        <f t="shared" si="28"/>
        <v>1.4053533567161696</v>
      </c>
      <c r="M488" s="21">
        <f t="shared" si="29"/>
        <v>-0.50000000000000011</v>
      </c>
      <c r="N488" s="22">
        <f t="shared" si="30"/>
        <v>2.1577028656719346</v>
      </c>
      <c r="O488" s="23">
        <f t="shared" si="31"/>
        <v>0.70710678118654746</v>
      </c>
    </row>
    <row r="489" spans="1:15" x14ac:dyDescent="0.25">
      <c r="A489" s="14" t="s">
        <v>6226</v>
      </c>
      <c r="B489" s="14" t="s">
        <v>981</v>
      </c>
      <c r="C489" s="15" t="s">
        <v>982</v>
      </c>
      <c r="D489" s="16">
        <v>6.9610000000000002E-3</v>
      </c>
      <c r="E489" s="17">
        <v>8.7110000000000003</v>
      </c>
      <c r="F489" s="17">
        <v>9.1029999999999998</v>
      </c>
      <c r="G489" s="18">
        <v>-0.39219999999999999</v>
      </c>
      <c r="H489" s="19">
        <v>9.758E-2</v>
      </c>
      <c r="I489" s="18">
        <v>4.0199999999999996</v>
      </c>
      <c r="J489" s="20">
        <v>6</v>
      </c>
      <c r="K489" s="19">
        <v>3.9322999999999997E-2</v>
      </c>
      <c r="L489" s="21">
        <f t="shared" si="28"/>
        <v>1.4053533567161696</v>
      </c>
      <c r="M489" s="21">
        <f t="shared" si="29"/>
        <v>-0.39199999999999935</v>
      </c>
      <c r="N489" s="22">
        <f t="shared" si="30"/>
        <v>2.1573283662392111</v>
      </c>
      <c r="O489" s="23">
        <f t="shared" si="31"/>
        <v>0.762072415169885</v>
      </c>
    </row>
    <row r="490" spans="1:15" x14ac:dyDescent="0.25">
      <c r="A490" s="14" t="s">
        <v>6227</v>
      </c>
      <c r="B490" s="14" t="s">
        <v>973</v>
      </c>
      <c r="C490" s="15" t="s">
        <v>974</v>
      </c>
      <c r="D490" s="16">
        <v>6.914E-3</v>
      </c>
      <c r="E490" s="17">
        <v>10.67</v>
      </c>
      <c r="F490" s="17">
        <v>10.24</v>
      </c>
      <c r="G490" s="18">
        <v>0.43540000000000001</v>
      </c>
      <c r="H490" s="19">
        <v>0.1082</v>
      </c>
      <c r="I490" s="18">
        <v>4.0259999999999998</v>
      </c>
      <c r="J490" s="20">
        <v>6</v>
      </c>
      <c r="K490" s="19">
        <v>3.9322999999999997E-2</v>
      </c>
      <c r="L490" s="21">
        <f t="shared" si="28"/>
        <v>1.4053533567161696</v>
      </c>
      <c r="M490" s="21">
        <f t="shared" si="29"/>
        <v>0.43000000000000027</v>
      </c>
      <c r="N490" s="22">
        <f t="shared" si="30"/>
        <v>2.1602706247936121</v>
      </c>
      <c r="O490" s="23">
        <f t="shared" si="31"/>
        <v>1.3472335768656905</v>
      </c>
    </row>
    <row r="491" spans="1:15" x14ac:dyDescent="0.25">
      <c r="A491" s="14" t="s">
        <v>6228</v>
      </c>
      <c r="B491" s="14" t="s">
        <v>983</v>
      </c>
      <c r="C491" s="15" t="s">
        <v>984</v>
      </c>
      <c r="D491" s="16">
        <v>6.9760000000000004E-3</v>
      </c>
      <c r="E491" s="17">
        <v>10.57</v>
      </c>
      <c r="F491" s="17">
        <v>10.97</v>
      </c>
      <c r="G491" s="18">
        <v>-0.40720000000000001</v>
      </c>
      <c r="H491" s="19">
        <v>0.1014</v>
      </c>
      <c r="I491" s="18">
        <v>4.0179999999999998</v>
      </c>
      <c r="J491" s="20">
        <v>6</v>
      </c>
      <c r="K491" s="19">
        <v>3.9326E-2</v>
      </c>
      <c r="L491" s="21">
        <f t="shared" si="28"/>
        <v>1.4053202251201837</v>
      </c>
      <c r="M491" s="21">
        <f t="shared" si="29"/>
        <v>-0.40000000000000008</v>
      </c>
      <c r="N491" s="22">
        <f t="shared" si="30"/>
        <v>2.1563935280754891</v>
      </c>
      <c r="O491" s="23">
        <f t="shared" si="31"/>
        <v>0.75785828325519899</v>
      </c>
    </row>
    <row r="492" spans="1:15" x14ac:dyDescent="0.25">
      <c r="A492" s="14" t="s">
        <v>6229</v>
      </c>
      <c r="B492" s="14" t="s">
        <v>985</v>
      </c>
      <c r="C492" s="15" t="s">
        <v>986</v>
      </c>
      <c r="D492" s="16">
        <v>7.0260000000000001E-3</v>
      </c>
      <c r="E492" s="17">
        <v>9.0120000000000005</v>
      </c>
      <c r="F492" s="17">
        <v>9.8659999999999997</v>
      </c>
      <c r="G492" s="18">
        <v>-0.8538</v>
      </c>
      <c r="H492" s="19">
        <v>0.21279999999999999</v>
      </c>
      <c r="I492" s="18">
        <v>4.0119999999999996</v>
      </c>
      <c r="J492" s="20">
        <v>6</v>
      </c>
      <c r="K492" s="19">
        <v>3.9527E-2</v>
      </c>
      <c r="L492" s="21">
        <f t="shared" si="28"/>
        <v>1.4031061462663701</v>
      </c>
      <c r="M492" s="21">
        <f t="shared" si="29"/>
        <v>-0.85400000000000009</v>
      </c>
      <c r="N492" s="22">
        <f t="shared" si="30"/>
        <v>2.1532918545439932</v>
      </c>
      <c r="O492" s="23">
        <f t="shared" si="31"/>
        <v>0.55324867654613608</v>
      </c>
    </row>
    <row r="493" spans="1:15" x14ac:dyDescent="0.25">
      <c r="A493" s="14" t="s">
        <v>6230</v>
      </c>
      <c r="B493" s="14" t="s">
        <v>991</v>
      </c>
      <c r="C493" s="15" t="s">
        <v>992</v>
      </c>
      <c r="D493" s="16">
        <v>7.0860000000000003E-3</v>
      </c>
      <c r="E493" s="17">
        <v>9.234</v>
      </c>
      <c r="F493" s="17">
        <v>8.359</v>
      </c>
      <c r="G493" s="18">
        <v>0.87509999999999999</v>
      </c>
      <c r="H493" s="19">
        <v>0.21859999999999999</v>
      </c>
      <c r="I493" s="18">
        <v>4.0039999999999996</v>
      </c>
      <c r="J493" s="20">
        <v>6</v>
      </c>
      <c r="K493" s="19">
        <v>3.9625E-2</v>
      </c>
      <c r="L493" s="21">
        <f t="shared" si="28"/>
        <v>1.4020307247741919</v>
      </c>
      <c r="M493" s="21">
        <f t="shared" si="29"/>
        <v>0.87500000000000122</v>
      </c>
      <c r="N493" s="22">
        <f t="shared" si="30"/>
        <v>2.1495988520028413</v>
      </c>
      <c r="O493" s="23">
        <f t="shared" si="31"/>
        <v>1.834008086409344</v>
      </c>
    </row>
    <row r="494" spans="1:15" x14ac:dyDescent="0.25">
      <c r="A494" s="14" t="s">
        <v>6231</v>
      </c>
      <c r="B494" s="14" t="s">
        <v>989</v>
      </c>
      <c r="C494" s="15" t="s">
        <v>990</v>
      </c>
      <c r="D494" s="16">
        <v>7.0790000000000002E-3</v>
      </c>
      <c r="E494" s="17">
        <v>9.7260000000000009</v>
      </c>
      <c r="F494" s="17">
        <v>9.4390000000000001</v>
      </c>
      <c r="G494" s="18">
        <v>0.2868</v>
      </c>
      <c r="H494" s="19">
        <v>7.1609999999999993E-2</v>
      </c>
      <c r="I494" s="18">
        <v>4.0049999999999999</v>
      </c>
      <c r="J494" s="20">
        <v>6</v>
      </c>
      <c r="K494" s="19">
        <v>3.9625E-2</v>
      </c>
      <c r="L494" s="21">
        <f t="shared" si="28"/>
        <v>1.4020307247741919</v>
      </c>
      <c r="M494" s="21">
        <f t="shared" si="29"/>
        <v>0.28700000000000081</v>
      </c>
      <c r="N494" s="22">
        <f t="shared" si="30"/>
        <v>2.1500280876711497</v>
      </c>
      <c r="O494" s="23">
        <f t="shared" si="31"/>
        <v>1.220100510272224</v>
      </c>
    </row>
    <row r="495" spans="1:15" x14ac:dyDescent="0.25">
      <c r="A495" s="14" t="s">
        <v>6232</v>
      </c>
      <c r="B495" s="14" t="s">
        <v>987</v>
      </c>
      <c r="C495" s="15" t="s">
        <v>988</v>
      </c>
      <c r="D495" s="16">
        <v>7.077E-3</v>
      </c>
      <c r="E495" s="17">
        <v>9.7729999999999997</v>
      </c>
      <c r="F495" s="17">
        <v>10.55</v>
      </c>
      <c r="G495" s="18">
        <v>-0.77849999999999997</v>
      </c>
      <c r="H495" s="19">
        <v>0.19439999999999999</v>
      </c>
      <c r="I495" s="18">
        <v>4.0049999999999999</v>
      </c>
      <c r="J495" s="20">
        <v>6</v>
      </c>
      <c r="K495" s="19">
        <v>3.9625E-2</v>
      </c>
      <c r="L495" s="21">
        <f t="shared" si="28"/>
        <v>1.4020307247741919</v>
      </c>
      <c r="M495" s="21">
        <f t="shared" si="29"/>
        <v>-0.7770000000000018</v>
      </c>
      <c r="N495" s="22">
        <f t="shared" si="30"/>
        <v>2.1501508043947419</v>
      </c>
      <c r="O495" s="23">
        <f t="shared" si="31"/>
        <v>0.58357905090923301</v>
      </c>
    </row>
    <row r="496" spans="1:15" x14ac:dyDescent="0.25">
      <c r="A496" s="14" t="s">
        <v>6233</v>
      </c>
      <c r="B496" s="14" t="s">
        <v>993</v>
      </c>
      <c r="C496" s="15" t="s">
        <v>994</v>
      </c>
      <c r="D496" s="16">
        <v>7.1040000000000001E-3</v>
      </c>
      <c r="E496" s="17">
        <v>9.3279999999999994</v>
      </c>
      <c r="F496" s="17">
        <v>8.8040000000000003</v>
      </c>
      <c r="G496" s="18">
        <v>0.52359999999999995</v>
      </c>
      <c r="H496" s="19">
        <v>0.1308</v>
      </c>
      <c r="I496" s="18">
        <v>4.0019999999999998</v>
      </c>
      <c r="J496" s="20">
        <v>6</v>
      </c>
      <c r="K496" s="19">
        <v>3.9642999999999998E-2</v>
      </c>
      <c r="L496" s="21">
        <f t="shared" si="28"/>
        <v>1.4018334875332217</v>
      </c>
      <c r="M496" s="21">
        <f t="shared" si="29"/>
        <v>0.52399999999999847</v>
      </c>
      <c r="N496" s="22">
        <f t="shared" si="30"/>
        <v>2.1484970472294553</v>
      </c>
      <c r="O496" s="23">
        <f t="shared" si="31"/>
        <v>1.4379365328469558</v>
      </c>
    </row>
    <row r="497" spans="1:15" x14ac:dyDescent="0.25">
      <c r="A497" s="14" t="s">
        <v>6234</v>
      </c>
      <c r="B497" s="14" t="s">
        <v>995</v>
      </c>
      <c r="C497" s="15" t="s">
        <v>996</v>
      </c>
      <c r="D497" s="16">
        <v>7.1859999999999997E-3</v>
      </c>
      <c r="E497" s="17">
        <v>9.6940000000000008</v>
      </c>
      <c r="F497" s="17">
        <v>9.9329999999999998</v>
      </c>
      <c r="G497" s="18">
        <v>-0.23960000000000001</v>
      </c>
      <c r="H497" s="19">
        <v>6.0019999999999997E-2</v>
      </c>
      <c r="I497" s="18">
        <v>3.992</v>
      </c>
      <c r="J497" s="20">
        <v>6</v>
      </c>
      <c r="K497" s="19">
        <v>4.002E-2</v>
      </c>
      <c r="L497" s="21">
        <f t="shared" si="28"/>
        <v>1.3977229156998072</v>
      </c>
      <c r="M497" s="21">
        <f t="shared" si="29"/>
        <v>-0.23899999999999991</v>
      </c>
      <c r="N497" s="22">
        <f t="shared" si="30"/>
        <v>2.1435127871313693</v>
      </c>
      <c r="O497" s="23">
        <f t="shared" si="31"/>
        <v>0.84733243494611832</v>
      </c>
    </row>
    <row r="498" spans="1:15" x14ac:dyDescent="0.25">
      <c r="A498" s="14" t="s">
        <v>6235</v>
      </c>
      <c r="B498" s="14" t="s">
        <v>999</v>
      </c>
      <c r="C498" s="15" t="s">
        <v>1000</v>
      </c>
      <c r="D498" s="16">
        <v>7.2160000000000002E-3</v>
      </c>
      <c r="E498" s="17">
        <v>9.1630000000000003</v>
      </c>
      <c r="F498" s="17">
        <v>9.5860000000000003</v>
      </c>
      <c r="G498" s="18">
        <v>-0.42280000000000001</v>
      </c>
      <c r="H498" s="19">
        <v>0.106</v>
      </c>
      <c r="I498" s="18">
        <v>3.988</v>
      </c>
      <c r="J498" s="20">
        <v>6</v>
      </c>
      <c r="K498" s="19">
        <v>4.0023999999999997E-2</v>
      </c>
      <c r="L498" s="21">
        <f t="shared" si="28"/>
        <v>1.3976795101246471</v>
      </c>
      <c r="M498" s="21">
        <f t="shared" si="29"/>
        <v>-0.42300000000000099</v>
      </c>
      <c r="N498" s="22">
        <f t="shared" si="30"/>
        <v>2.1417034754661142</v>
      </c>
      <c r="O498" s="23">
        <f t="shared" si="31"/>
        <v>0.74587201334573228</v>
      </c>
    </row>
    <row r="499" spans="1:15" x14ac:dyDescent="0.25">
      <c r="A499" s="14" t="s">
        <v>6236</v>
      </c>
      <c r="B499" s="14" t="s">
        <v>997</v>
      </c>
      <c r="C499" s="15" t="s">
        <v>998</v>
      </c>
      <c r="D499" s="16">
        <v>7.208E-3</v>
      </c>
      <c r="E499" s="17">
        <v>10.29</v>
      </c>
      <c r="F499" s="17">
        <v>9.952</v>
      </c>
      <c r="G499" s="18">
        <v>0.33550000000000002</v>
      </c>
      <c r="H499" s="19">
        <v>8.4110000000000004E-2</v>
      </c>
      <c r="I499" s="18">
        <v>3.9889999999999999</v>
      </c>
      <c r="J499" s="20">
        <v>6</v>
      </c>
      <c r="K499" s="19">
        <v>4.0023999999999997E-2</v>
      </c>
      <c r="L499" s="21">
        <f t="shared" si="28"/>
        <v>1.3976795101246471</v>
      </c>
      <c r="M499" s="21">
        <f t="shared" si="29"/>
        <v>0.33799999999999802</v>
      </c>
      <c r="N499" s="22">
        <f t="shared" si="30"/>
        <v>2.1421852220289934</v>
      </c>
      <c r="O499" s="23">
        <f t="shared" si="31"/>
        <v>1.264003098452805</v>
      </c>
    </row>
    <row r="500" spans="1:15" x14ac:dyDescent="0.25">
      <c r="A500" s="14" t="s">
        <v>6237</v>
      </c>
      <c r="B500" s="14" t="s">
        <v>1001</v>
      </c>
      <c r="C500" s="15" t="s">
        <v>1002</v>
      </c>
      <c r="D500" s="16">
        <v>7.2719999999999998E-3</v>
      </c>
      <c r="E500" s="17">
        <v>8.9440000000000008</v>
      </c>
      <c r="F500" s="17">
        <v>8.625</v>
      </c>
      <c r="G500" s="18">
        <v>0.31929999999999997</v>
      </c>
      <c r="H500" s="19">
        <v>8.0210000000000004E-2</v>
      </c>
      <c r="I500" s="18">
        <v>3.9809999999999999</v>
      </c>
      <c r="J500" s="20">
        <v>6</v>
      </c>
      <c r="K500" s="19">
        <v>4.0254999999999999E-2</v>
      </c>
      <c r="L500" s="21">
        <f t="shared" si="28"/>
        <v>1.3951801690216623</v>
      </c>
      <c r="M500" s="21">
        <f t="shared" si="29"/>
        <v>0.31900000000000023</v>
      </c>
      <c r="N500" s="22">
        <f t="shared" si="30"/>
        <v>2.1383461297860888</v>
      </c>
      <c r="O500" s="23">
        <f t="shared" si="31"/>
        <v>1.2474655719140459</v>
      </c>
    </row>
    <row r="501" spans="1:15" x14ac:dyDescent="0.25">
      <c r="A501" s="14" t="s">
        <v>6238</v>
      </c>
      <c r="B501" s="14" t="s">
        <v>1003</v>
      </c>
      <c r="C501" s="15" t="s">
        <v>1004</v>
      </c>
      <c r="D501" s="16">
        <v>7.2899999999999996E-3</v>
      </c>
      <c r="E501" s="17">
        <v>7.4059999999999997</v>
      </c>
      <c r="F501" s="17">
        <v>8.4619999999999997</v>
      </c>
      <c r="G501" s="18">
        <v>-1.056</v>
      </c>
      <c r="H501" s="19">
        <v>0.26540000000000002</v>
      </c>
      <c r="I501" s="18">
        <v>3.9790000000000001</v>
      </c>
      <c r="J501" s="20">
        <v>6</v>
      </c>
      <c r="K501" s="19">
        <v>4.0273999999999997E-2</v>
      </c>
      <c r="L501" s="21">
        <f t="shared" si="28"/>
        <v>1.3949752342699759</v>
      </c>
      <c r="M501" s="21">
        <f t="shared" si="29"/>
        <v>-1.0559999999999996</v>
      </c>
      <c r="N501" s="22">
        <f t="shared" si="30"/>
        <v>2.1372724716820253</v>
      </c>
      <c r="O501" s="23">
        <f t="shared" si="31"/>
        <v>0.48096372733238751</v>
      </c>
    </row>
    <row r="502" spans="1:15" x14ac:dyDescent="0.25">
      <c r="A502" s="14" t="s">
        <v>6239</v>
      </c>
      <c r="B502" s="14" t="s">
        <v>1007</v>
      </c>
      <c r="C502" s="15" t="s">
        <v>1008</v>
      </c>
      <c r="D502" s="16">
        <v>7.3590000000000001E-3</v>
      </c>
      <c r="E502" s="17">
        <v>10.59</v>
      </c>
      <c r="F502" s="17">
        <v>10.14</v>
      </c>
      <c r="G502" s="18">
        <v>0.45469999999999999</v>
      </c>
      <c r="H502" s="19">
        <v>0.1145</v>
      </c>
      <c r="I502" s="18">
        <v>3.9710000000000001</v>
      </c>
      <c r="J502" s="20">
        <v>6</v>
      </c>
      <c r="K502" s="19">
        <v>4.0493000000000001E-2</v>
      </c>
      <c r="L502" s="21">
        <f t="shared" si="28"/>
        <v>1.3926200465168117</v>
      </c>
      <c r="M502" s="21">
        <f t="shared" si="29"/>
        <v>0.44999999999999946</v>
      </c>
      <c r="N502" s="22">
        <f t="shared" si="30"/>
        <v>2.1331811970739518</v>
      </c>
      <c r="O502" s="23">
        <f t="shared" si="31"/>
        <v>1.366040256754395</v>
      </c>
    </row>
    <row r="503" spans="1:15" x14ac:dyDescent="0.25">
      <c r="A503" s="14" t="s">
        <v>6240</v>
      </c>
      <c r="B503" s="14" t="s">
        <v>1005</v>
      </c>
      <c r="C503" s="15" t="s">
        <v>1006</v>
      </c>
      <c r="D503" s="16">
        <v>7.3489999999999996E-3</v>
      </c>
      <c r="E503" s="17">
        <v>9.4830000000000005</v>
      </c>
      <c r="F503" s="17">
        <v>9.8930000000000007</v>
      </c>
      <c r="G503" s="18">
        <v>-0.41</v>
      </c>
      <c r="H503" s="19">
        <v>0.1032</v>
      </c>
      <c r="I503" s="18">
        <v>3.972</v>
      </c>
      <c r="J503" s="20">
        <v>6</v>
      </c>
      <c r="K503" s="19">
        <v>4.0493000000000001E-2</v>
      </c>
      <c r="L503" s="21">
        <f t="shared" si="28"/>
        <v>1.3926200465168117</v>
      </c>
      <c r="M503" s="21">
        <f t="shared" si="29"/>
        <v>-0.41000000000000053</v>
      </c>
      <c r="N503" s="22">
        <f t="shared" si="30"/>
        <v>2.1337717526203526</v>
      </c>
      <c r="O503" s="23">
        <f t="shared" si="31"/>
        <v>0.75262337370553334</v>
      </c>
    </row>
    <row r="504" spans="1:15" x14ac:dyDescent="0.25">
      <c r="A504" s="14" t="s">
        <v>6241</v>
      </c>
      <c r="B504" s="14" t="s">
        <v>1011</v>
      </c>
      <c r="C504" s="15" t="s">
        <v>1012</v>
      </c>
      <c r="D504" s="16">
        <v>7.43E-3</v>
      </c>
      <c r="E504" s="17">
        <v>8.8390000000000004</v>
      </c>
      <c r="F504" s="17">
        <v>8.3569999999999993</v>
      </c>
      <c r="G504" s="18">
        <v>0.4819</v>
      </c>
      <c r="H504" s="19">
        <v>0.1216</v>
      </c>
      <c r="I504" s="18">
        <v>3.9630000000000001</v>
      </c>
      <c r="J504" s="20">
        <v>6</v>
      </c>
      <c r="K504" s="19">
        <v>4.0723000000000002E-2</v>
      </c>
      <c r="L504" s="21">
        <f t="shared" si="28"/>
        <v>1.3901602356945333</v>
      </c>
      <c r="M504" s="21">
        <f t="shared" si="29"/>
        <v>0.48200000000000015</v>
      </c>
      <c r="N504" s="22">
        <f t="shared" si="30"/>
        <v>2.1290111862394245</v>
      </c>
      <c r="O504" s="23">
        <f t="shared" si="31"/>
        <v>1.3966785324673978</v>
      </c>
    </row>
    <row r="505" spans="1:15" x14ac:dyDescent="0.25">
      <c r="A505" s="14" t="s">
        <v>6242</v>
      </c>
      <c r="B505" s="14" t="s">
        <v>1009</v>
      </c>
      <c r="C505" s="15" t="s">
        <v>1010</v>
      </c>
      <c r="D505" s="16">
        <v>7.4279999999999997E-3</v>
      </c>
      <c r="E505" s="17">
        <v>9.359</v>
      </c>
      <c r="F505" s="17">
        <v>9.6790000000000003</v>
      </c>
      <c r="G505" s="18">
        <v>-0.32040000000000002</v>
      </c>
      <c r="H505" s="19">
        <v>8.0860000000000001E-2</v>
      </c>
      <c r="I505" s="18">
        <v>3.9630000000000001</v>
      </c>
      <c r="J505" s="20">
        <v>6</v>
      </c>
      <c r="K505" s="19">
        <v>4.0723000000000002E-2</v>
      </c>
      <c r="L505" s="21">
        <f t="shared" si="28"/>
        <v>1.3901602356945333</v>
      </c>
      <c r="M505" s="21">
        <f t="shared" si="29"/>
        <v>-0.32000000000000095</v>
      </c>
      <c r="N505" s="22">
        <f t="shared" si="30"/>
        <v>2.1291281049322568</v>
      </c>
      <c r="O505" s="23">
        <f t="shared" si="31"/>
        <v>0.80106987758962156</v>
      </c>
    </row>
    <row r="506" spans="1:15" x14ac:dyDescent="0.25">
      <c r="A506" s="14" t="s">
        <v>6243</v>
      </c>
      <c r="B506" s="14" t="s">
        <v>1013</v>
      </c>
      <c r="C506" s="15" t="s">
        <v>1014</v>
      </c>
      <c r="D506" s="16">
        <v>7.4700000000000001E-3</v>
      </c>
      <c r="E506" s="17">
        <v>9.6620000000000008</v>
      </c>
      <c r="F506" s="17">
        <v>10.029999999999999</v>
      </c>
      <c r="G506" s="18">
        <v>-0.37180000000000002</v>
      </c>
      <c r="H506" s="19">
        <v>9.3950000000000006E-2</v>
      </c>
      <c r="I506" s="18">
        <v>3.9580000000000002</v>
      </c>
      <c r="J506" s="20">
        <v>6</v>
      </c>
      <c r="K506" s="19">
        <v>4.0857999999999998E-2</v>
      </c>
      <c r="L506" s="21">
        <f t="shared" si="28"/>
        <v>1.388722895907736</v>
      </c>
      <c r="M506" s="21">
        <f t="shared" si="29"/>
        <v>-0.36799999999999816</v>
      </c>
      <c r="N506" s="22">
        <f t="shared" si="30"/>
        <v>2.1266793981846011</v>
      </c>
      <c r="O506" s="23">
        <f t="shared" si="31"/>
        <v>0.77485593095917249</v>
      </c>
    </row>
    <row r="507" spans="1:15" x14ac:dyDescent="0.25">
      <c r="A507" s="14" t="s">
        <v>6244</v>
      </c>
      <c r="B507" s="14" t="s">
        <v>1015</v>
      </c>
      <c r="C507" s="15" t="s">
        <v>1016</v>
      </c>
      <c r="D507" s="16">
        <v>7.548E-3</v>
      </c>
      <c r="E507" s="17">
        <v>11.42</v>
      </c>
      <c r="F507" s="17">
        <v>11.15</v>
      </c>
      <c r="G507" s="18">
        <v>0.27560000000000001</v>
      </c>
      <c r="H507" s="19">
        <v>6.9800000000000001E-2</v>
      </c>
      <c r="I507" s="18">
        <v>3.9489999999999998</v>
      </c>
      <c r="J507" s="20">
        <v>6</v>
      </c>
      <c r="K507" s="19">
        <v>4.1203999999999998E-2</v>
      </c>
      <c r="L507" s="21">
        <f t="shared" si="28"/>
        <v>1.3850606215007477</v>
      </c>
      <c r="M507" s="21">
        <f t="shared" si="29"/>
        <v>0.27000000000000035</v>
      </c>
      <c r="N507" s="22">
        <f t="shared" si="30"/>
        <v>2.1221681085071062</v>
      </c>
      <c r="O507" s="23">
        <f t="shared" si="31"/>
        <v>1.2058078276907607</v>
      </c>
    </row>
    <row r="508" spans="1:15" x14ac:dyDescent="0.25">
      <c r="A508" s="14" t="s">
        <v>6245</v>
      </c>
      <c r="B508" s="14" t="s">
        <v>1017</v>
      </c>
      <c r="C508" s="15" t="s">
        <v>1018</v>
      </c>
      <c r="D508" s="16">
        <v>7.5820000000000002E-3</v>
      </c>
      <c r="E508" s="17">
        <v>8.2750000000000004</v>
      </c>
      <c r="F508" s="17">
        <v>9.1560000000000006</v>
      </c>
      <c r="G508" s="18">
        <v>-0.88090000000000002</v>
      </c>
      <c r="H508" s="19">
        <v>0.2233</v>
      </c>
      <c r="I508" s="18">
        <v>3.9449999999999998</v>
      </c>
      <c r="J508" s="20">
        <v>6</v>
      </c>
      <c r="K508" s="19">
        <v>4.1307999999999997E-2</v>
      </c>
      <c r="L508" s="21">
        <f t="shared" si="28"/>
        <v>1.3839658316511214</v>
      </c>
      <c r="M508" s="21">
        <f t="shared" si="29"/>
        <v>-0.88100000000000078</v>
      </c>
      <c r="N508" s="22">
        <f t="shared" si="30"/>
        <v>2.120216219909584</v>
      </c>
      <c r="O508" s="23">
        <f t="shared" si="31"/>
        <v>0.5429909281611468</v>
      </c>
    </row>
    <row r="509" spans="1:15" x14ac:dyDescent="0.25">
      <c r="A509" s="14" t="s">
        <v>6246</v>
      </c>
      <c r="B509" s="14" t="s">
        <v>1021</v>
      </c>
      <c r="C509" s="15" t="s">
        <v>1022</v>
      </c>
      <c r="D509" s="16">
        <v>7.639E-3</v>
      </c>
      <c r="E509" s="17">
        <v>8.9779999999999998</v>
      </c>
      <c r="F509" s="17">
        <v>9.5579999999999998</v>
      </c>
      <c r="G509" s="18">
        <v>-0.5796</v>
      </c>
      <c r="H509" s="19">
        <v>0.1472</v>
      </c>
      <c r="I509" s="18">
        <v>3.9380000000000002</v>
      </c>
      <c r="J509" s="20">
        <v>6</v>
      </c>
      <c r="K509" s="19">
        <v>4.1342999999999998E-2</v>
      </c>
      <c r="L509" s="21">
        <f t="shared" si="28"/>
        <v>1.383598012561813</v>
      </c>
      <c r="M509" s="21">
        <f t="shared" si="29"/>
        <v>-0.58000000000000074</v>
      </c>
      <c r="N509" s="22">
        <f t="shared" si="30"/>
        <v>2.1169634899723198</v>
      </c>
      <c r="O509" s="23">
        <f t="shared" si="31"/>
        <v>0.66896377739305568</v>
      </c>
    </row>
    <row r="510" spans="1:15" x14ac:dyDescent="0.25">
      <c r="A510" s="14" t="s">
        <v>6247</v>
      </c>
      <c r="B510" s="14" t="s">
        <v>1025</v>
      </c>
      <c r="C510" s="15" t="s">
        <v>1026</v>
      </c>
      <c r="D510" s="16">
        <v>7.6480000000000003E-3</v>
      </c>
      <c r="E510" s="17">
        <v>9.3789999999999996</v>
      </c>
      <c r="F510" s="17">
        <v>8.6669999999999998</v>
      </c>
      <c r="G510" s="18">
        <v>0.71209999999999996</v>
      </c>
      <c r="H510" s="19">
        <v>0.18090000000000001</v>
      </c>
      <c r="I510" s="18">
        <v>3.9369999999999998</v>
      </c>
      <c r="J510" s="20">
        <v>6</v>
      </c>
      <c r="K510" s="19">
        <v>4.1342999999999998E-2</v>
      </c>
      <c r="L510" s="21">
        <f t="shared" si="28"/>
        <v>1.383598012561813</v>
      </c>
      <c r="M510" s="21">
        <f t="shared" si="29"/>
        <v>0.71199999999999886</v>
      </c>
      <c r="N510" s="22">
        <f t="shared" si="30"/>
        <v>2.1164521207319558</v>
      </c>
      <c r="O510" s="23">
        <f t="shared" si="31"/>
        <v>1.638073395719654</v>
      </c>
    </row>
    <row r="511" spans="1:15" x14ac:dyDescent="0.25">
      <c r="A511" s="14" t="s">
        <v>6248</v>
      </c>
      <c r="B511" s="14" t="s">
        <v>1019</v>
      </c>
      <c r="C511" s="15" t="s">
        <v>1020</v>
      </c>
      <c r="D511" s="16">
        <v>7.6350000000000003E-3</v>
      </c>
      <c r="E511" s="17">
        <v>9.64</v>
      </c>
      <c r="F511" s="17">
        <v>10.01</v>
      </c>
      <c r="G511" s="18">
        <v>-0.37130000000000002</v>
      </c>
      <c r="H511" s="19">
        <v>9.4259999999999997E-2</v>
      </c>
      <c r="I511" s="18">
        <v>3.9390000000000001</v>
      </c>
      <c r="J511" s="20">
        <v>6</v>
      </c>
      <c r="K511" s="19">
        <v>4.1342999999999998E-2</v>
      </c>
      <c r="L511" s="21">
        <f t="shared" si="28"/>
        <v>1.383598012561813</v>
      </c>
      <c r="M511" s="21">
        <f t="shared" si="29"/>
        <v>-0.36999999999999883</v>
      </c>
      <c r="N511" s="22">
        <f t="shared" si="30"/>
        <v>2.1171909586075599</v>
      </c>
      <c r="O511" s="23">
        <f t="shared" si="31"/>
        <v>0.77378249677119559</v>
      </c>
    </row>
    <row r="512" spans="1:15" x14ac:dyDescent="0.25">
      <c r="A512" s="14" t="s">
        <v>6249</v>
      </c>
      <c r="B512" s="14" t="s">
        <v>1023</v>
      </c>
      <c r="C512" s="15" t="s">
        <v>1024</v>
      </c>
      <c r="D512" s="16">
        <v>7.6439999999999998E-3</v>
      </c>
      <c r="E512" s="17">
        <v>12.71</v>
      </c>
      <c r="F512" s="17">
        <v>12.37</v>
      </c>
      <c r="G512" s="18">
        <v>0.34139999999999998</v>
      </c>
      <c r="H512" s="19">
        <v>8.6709999999999995E-2</v>
      </c>
      <c r="I512" s="18">
        <v>3.9380000000000002</v>
      </c>
      <c r="J512" s="20">
        <v>6</v>
      </c>
      <c r="K512" s="19">
        <v>4.1342999999999998E-2</v>
      </c>
      <c r="L512" s="21">
        <f t="shared" si="28"/>
        <v>1.383598012561813</v>
      </c>
      <c r="M512" s="21">
        <f t="shared" si="29"/>
        <v>0.34000000000000025</v>
      </c>
      <c r="N512" s="22">
        <f t="shared" si="30"/>
        <v>2.1166793216170245</v>
      </c>
      <c r="O512" s="23">
        <f t="shared" si="31"/>
        <v>1.2657565939702802</v>
      </c>
    </row>
    <row r="513" spans="1:15" x14ac:dyDescent="0.25">
      <c r="A513" s="14" t="s">
        <v>6250</v>
      </c>
      <c r="B513" s="14" t="s">
        <v>1027</v>
      </c>
      <c r="C513" s="15" t="s">
        <v>1028</v>
      </c>
      <c r="D513" s="16">
        <v>7.6829999999999997E-3</v>
      </c>
      <c r="E513" s="17">
        <v>11.79</v>
      </c>
      <c r="F513" s="17">
        <v>12.07</v>
      </c>
      <c r="G513" s="18">
        <v>-0.27900000000000003</v>
      </c>
      <c r="H513" s="19">
        <v>7.0930000000000007E-2</v>
      </c>
      <c r="I513" s="18">
        <v>3.9329999999999998</v>
      </c>
      <c r="J513" s="20">
        <v>6</v>
      </c>
      <c r="K513" s="19">
        <v>4.1449E-2</v>
      </c>
      <c r="L513" s="21">
        <f t="shared" si="28"/>
        <v>1.3824859427909275</v>
      </c>
      <c r="M513" s="21">
        <f t="shared" si="29"/>
        <v>-0.28000000000000064</v>
      </c>
      <c r="N513" s="22">
        <f t="shared" si="30"/>
        <v>2.1144691668119076</v>
      </c>
      <c r="O513" s="23">
        <f t="shared" si="31"/>
        <v>0.82359101726757278</v>
      </c>
    </row>
    <row r="514" spans="1:15" x14ac:dyDescent="0.25">
      <c r="A514" s="14" t="s">
        <v>6251</v>
      </c>
      <c r="B514" s="14" t="s">
        <v>1029</v>
      </c>
      <c r="C514" s="15" t="s">
        <v>1030</v>
      </c>
      <c r="D514" s="16">
        <v>7.7429999999999999E-3</v>
      </c>
      <c r="E514" s="17">
        <v>10.6</v>
      </c>
      <c r="F514" s="17">
        <v>11.07</v>
      </c>
      <c r="G514" s="18">
        <v>-0.46929999999999999</v>
      </c>
      <c r="H514" s="19">
        <v>0.1195</v>
      </c>
      <c r="I514" s="18">
        <v>3.927</v>
      </c>
      <c r="J514" s="20">
        <v>6</v>
      </c>
      <c r="K514" s="19">
        <v>4.1671E-2</v>
      </c>
      <c r="L514" s="21">
        <f t="shared" ref="L514:L577" si="32">-LOG(K514,10)</f>
        <v>1.3801660774339897</v>
      </c>
      <c r="M514" s="21">
        <f t="shared" ref="M514:M577" si="33">LOG(O514,2)</f>
        <v>-0.47000000000000125</v>
      </c>
      <c r="N514" s="22">
        <f t="shared" ref="N514:N577" si="34">-LOG(D514,10)</f>
        <v>2.1110907407364685</v>
      </c>
      <c r="O514" s="23">
        <f t="shared" ref="O514:O577" si="35">((2^E514)/(2^F514))</f>
        <v>0.72196459776124744</v>
      </c>
    </row>
    <row r="515" spans="1:15" x14ac:dyDescent="0.25">
      <c r="A515" s="14" t="s">
        <v>6252</v>
      </c>
      <c r="B515" s="14" t="s">
        <v>1031</v>
      </c>
      <c r="C515" s="15" t="s">
        <v>1032</v>
      </c>
      <c r="D515" s="16">
        <v>7.7539999999999996E-3</v>
      </c>
      <c r="E515" s="17">
        <v>10.34</v>
      </c>
      <c r="F515" s="17">
        <v>9.968</v>
      </c>
      <c r="G515" s="18">
        <v>0.37430000000000002</v>
      </c>
      <c r="H515" s="19">
        <v>9.5350000000000004E-2</v>
      </c>
      <c r="I515" s="18">
        <v>3.9249999999999998</v>
      </c>
      <c r="J515" s="20">
        <v>6</v>
      </c>
      <c r="K515" s="19">
        <v>4.1671E-2</v>
      </c>
      <c r="L515" s="21">
        <f t="shared" si="32"/>
        <v>1.3801660774339897</v>
      </c>
      <c r="M515" s="21">
        <f t="shared" si="33"/>
        <v>0.37199999999999966</v>
      </c>
      <c r="N515" s="22">
        <f t="shared" si="34"/>
        <v>2.1104742033288089</v>
      </c>
      <c r="O515" s="23">
        <f t="shared" si="35"/>
        <v>1.2941456544828531</v>
      </c>
    </row>
    <row r="516" spans="1:15" x14ac:dyDescent="0.25">
      <c r="A516" s="14" t="s">
        <v>6253</v>
      </c>
      <c r="B516" s="14" t="s">
        <v>1033</v>
      </c>
      <c r="C516" s="15" t="s">
        <v>1034</v>
      </c>
      <c r="D516" s="16">
        <v>7.783E-3</v>
      </c>
      <c r="E516" s="17">
        <v>12.43</v>
      </c>
      <c r="F516" s="17">
        <v>11.85</v>
      </c>
      <c r="G516" s="18">
        <v>0.58740000000000003</v>
      </c>
      <c r="H516" s="19">
        <v>0.14979999999999999</v>
      </c>
      <c r="I516" s="18">
        <v>3.9220000000000002</v>
      </c>
      <c r="J516" s="20">
        <v>6</v>
      </c>
      <c r="K516" s="19">
        <v>4.1744999999999997E-2</v>
      </c>
      <c r="L516" s="21">
        <f t="shared" si="32"/>
        <v>1.3793955346102758</v>
      </c>
      <c r="M516" s="21">
        <f t="shared" si="33"/>
        <v>0.57999999999999929</v>
      </c>
      <c r="N516" s="22">
        <f t="shared" si="34"/>
        <v>2.1088529695512288</v>
      </c>
      <c r="O516" s="23">
        <f t="shared" si="35"/>
        <v>1.4948492486349376</v>
      </c>
    </row>
    <row r="517" spans="1:15" x14ac:dyDescent="0.25">
      <c r="A517" s="14" t="s">
        <v>6254</v>
      </c>
      <c r="B517" s="14" t="s">
        <v>1035</v>
      </c>
      <c r="C517" s="15" t="s">
        <v>1036</v>
      </c>
      <c r="D517" s="16">
        <v>7.7980000000000002E-3</v>
      </c>
      <c r="E517" s="17">
        <v>8.6980000000000004</v>
      </c>
      <c r="F517" s="17">
        <v>9.0020000000000007</v>
      </c>
      <c r="G517" s="18">
        <v>-0.3044</v>
      </c>
      <c r="H517" s="19">
        <v>7.7649999999999997E-2</v>
      </c>
      <c r="I517" s="18">
        <v>3.92</v>
      </c>
      <c r="J517" s="20">
        <v>6</v>
      </c>
      <c r="K517" s="19">
        <v>4.1744999999999997E-2</v>
      </c>
      <c r="L517" s="21">
        <f t="shared" si="32"/>
        <v>1.3793955346102758</v>
      </c>
      <c r="M517" s="21">
        <f t="shared" si="33"/>
        <v>-0.30400000000000049</v>
      </c>
      <c r="N517" s="22">
        <f t="shared" si="34"/>
        <v>2.1080167691480329</v>
      </c>
      <c r="O517" s="23">
        <f t="shared" si="35"/>
        <v>0.81000347363204561</v>
      </c>
    </row>
    <row r="518" spans="1:15" x14ac:dyDescent="0.25">
      <c r="A518" s="14" t="s">
        <v>6255</v>
      </c>
      <c r="B518" s="14" t="s">
        <v>1037</v>
      </c>
      <c r="C518" s="15" t="s">
        <v>1038</v>
      </c>
      <c r="D518" s="16">
        <v>7.8150000000000008E-3</v>
      </c>
      <c r="E518" s="17">
        <v>9.7409999999999997</v>
      </c>
      <c r="F518" s="17">
        <v>10.25</v>
      </c>
      <c r="G518" s="18">
        <v>-0.51239999999999997</v>
      </c>
      <c r="H518" s="19">
        <v>0.1308</v>
      </c>
      <c r="I518" s="18">
        <v>3.919</v>
      </c>
      <c r="J518" s="20">
        <v>6</v>
      </c>
      <c r="K518" s="19">
        <v>4.1758000000000003E-2</v>
      </c>
      <c r="L518" s="21">
        <f t="shared" si="32"/>
        <v>1.3792603100480358</v>
      </c>
      <c r="M518" s="21">
        <f t="shared" si="33"/>
        <v>-0.50900000000000001</v>
      </c>
      <c r="N518" s="22">
        <f t="shared" si="34"/>
        <v>2.107071017644794</v>
      </c>
      <c r="O518" s="23">
        <f t="shared" si="35"/>
        <v>0.70270935010335978</v>
      </c>
    </row>
    <row r="519" spans="1:15" x14ac:dyDescent="0.25">
      <c r="A519" s="14" t="s">
        <v>6256</v>
      </c>
      <c r="B519" s="14" t="s">
        <v>1039</v>
      </c>
      <c r="C519" s="15" t="s">
        <v>1040</v>
      </c>
      <c r="D519" s="16">
        <v>7.8340000000000007E-3</v>
      </c>
      <c r="E519" s="17">
        <v>9.8569999999999993</v>
      </c>
      <c r="F519" s="17">
        <v>9.9779999999999998</v>
      </c>
      <c r="G519" s="18">
        <v>-0.12039999999999999</v>
      </c>
      <c r="H519" s="19">
        <v>3.074E-2</v>
      </c>
      <c r="I519" s="18">
        <v>3.9159999999999999</v>
      </c>
      <c r="J519" s="20">
        <v>6</v>
      </c>
      <c r="K519" s="19">
        <v>4.1777000000000002E-2</v>
      </c>
      <c r="L519" s="21">
        <f t="shared" si="32"/>
        <v>1.3790627498565364</v>
      </c>
      <c r="M519" s="21">
        <f t="shared" si="33"/>
        <v>-0.12100000000000113</v>
      </c>
      <c r="N519" s="22">
        <f t="shared" si="34"/>
        <v>2.1060164327881528</v>
      </c>
      <c r="O519" s="23">
        <f t="shared" si="35"/>
        <v>0.91955004615165736</v>
      </c>
    </row>
    <row r="520" spans="1:15" x14ac:dyDescent="0.25">
      <c r="A520" s="14" t="s">
        <v>6257</v>
      </c>
      <c r="B520" s="14" t="s">
        <v>1041</v>
      </c>
      <c r="C520" s="15" t="s">
        <v>1042</v>
      </c>
      <c r="D520" s="16">
        <v>7.8709999999999995E-3</v>
      </c>
      <c r="E520" s="17">
        <v>9.0549999999999997</v>
      </c>
      <c r="F520" s="17">
        <v>8.6920000000000002</v>
      </c>
      <c r="G520" s="18">
        <v>0.36309999999999998</v>
      </c>
      <c r="H520" s="19">
        <v>9.2799999999999994E-2</v>
      </c>
      <c r="I520" s="18">
        <v>3.9119999999999999</v>
      </c>
      <c r="J520" s="20">
        <v>6</v>
      </c>
      <c r="K520" s="19">
        <v>4.1889999999999997E-2</v>
      </c>
      <c r="L520" s="21">
        <f t="shared" si="32"/>
        <v>1.3778896396387803</v>
      </c>
      <c r="M520" s="21">
        <f t="shared" si="33"/>
        <v>0.36299999999999844</v>
      </c>
      <c r="N520" s="22">
        <f t="shared" si="34"/>
        <v>2.103970087603773</v>
      </c>
      <c r="O520" s="23">
        <f t="shared" si="35"/>
        <v>1.286097483430602</v>
      </c>
    </row>
    <row r="521" spans="1:15" x14ac:dyDescent="0.25">
      <c r="A521" s="14" t="s">
        <v>6258</v>
      </c>
      <c r="B521" s="14" t="s">
        <v>1043</v>
      </c>
      <c r="C521" s="15" t="s">
        <v>1044</v>
      </c>
      <c r="D521" s="16">
        <v>7.8930000000000007E-3</v>
      </c>
      <c r="E521" s="17">
        <v>10.95</v>
      </c>
      <c r="F521" s="17">
        <v>10.14</v>
      </c>
      <c r="G521" s="18">
        <v>0.80669999999999997</v>
      </c>
      <c r="H521" s="19">
        <v>0.20630000000000001</v>
      </c>
      <c r="I521" s="18">
        <v>3.91</v>
      </c>
      <c r="J521" s="20">
        <v>6</v>
      </c>
      <c r="K521" s="19">
        <v>4.1928E-2</v>
      </c>
      <c r="L521" s="21">
        <f t="shared" si="32"/>
        <v>1.3774958533054629</v>
      </c>
      <c r="M521" s="21">
        <f t="shared" si="33"/>
        <v>0.80999999999999905</v>
      </c>
      <c r="N521" s="22">
        <f t="shared" si="34"/>
        <v>2.1027578971946341</v>
      </c>
      <c r="O521" s="23">
        <f t="shared" si="35"/>
        <v>1.7532114426320691</v>
      </c>
    </row>
    <row r="522" spans="1:15" x14ac:dyDescent="0.25">
      <c r="A522" s="14" t="s">
        <v>6259</v>
      </c>
      <c r="B522" s="14" t="s">
        <v>1045</v>
      </c>
      <c r="C522" s="15" t="s">
        <v>1046</v>
      </c>
      <c r="D522" s="16">
        <v>7.9150000000000002E-3</v>
      </c>
      <c r="E522" s="17">
        <v>10.43</v>
      </c>
      <c r="F522" s="17">
        <v>9.8460000000000001</v>
      </c>
      <c r="G522" s="18">
        <v>0.58740000000000003</v>
      </c>
      <c r="H522" s="19">
        <v>0.15029999999999999</v>
      </c>
      <c r="I522" s="18">
        <v>3.907</v>
      </c>
      <c r="J522" s="20">
        <v>6</v>
      </c>
      <c r="K522" s="19">
        <v>4.1967999999999998E-2</v>
      </c>
      <c r="L522" s="21">
        <f t="shared" si="32"/>
        <v>1.3770817267537214</v>
      </c>
      <c r="M522" s="21">
        <f t="shared" si="33"/>
        <v>0.58399999999999985</v>
      </c>
      <c r="N522" s="22">
        <f t="shared" si="34"/>
        <v>2.1015490808016253</v>
      </c>
      <c r="O522" s="23">
        <f t="shared" si="35"/>
        <v>1.4989996017555474</v>
      </c>
    </row>
    <row r="523" spans="1:15" x14ac:dyDescent="0.25">
      <c r="A523" s="14" t="s">
        <v>6260</v>
      </c>
      <c r="B523" s="14" t="s">
        <v>1047</v>
      </c>
      <c r="C523" s="15" t="s">
        <v>1048</v>
      </c>
      <c r="D523" s="16">
        <v>7.9330000000000008E-3</v>
      </c>
      <c r="E523" s="17">
        <v>10.86</v>
      </c>
      <c r="F523" s="17">
        <v>11.22</v>
      </c>
      <c r="G523" s="18">
        <v>-0.36380000000000001</v>
      </c>
      <c r="H523" s="19">
        <v>9.3140000000000001E-2</v>
      </c>
      <c r="I523" s="18">
        <v>3.9049999999999998</v>
      </c>
      <c r="J523" s="20">
        <v>6</v>
      </c>
      <c r="K523" s="19">
        <v>4.1982999999999999E-2</v>
      </c>
      <c r="L523" s="21">
        <f t="shared" si="32"/>
        <v>1.376926531049135</v>
      </c>
      <c r="M523" s="21">
        <f t="shared" si="33"/>
        <v>-0.36000000000000115</v>
      </c>
      <c r="N523" s="22">
        <f t="shared" si="34"/>
        <v>2.1005625457138222</v>
      </c>
      <c r="O523" s="23">
        <f t="shared" si="35"/>
        <v>0.77916457966049923</v>
      </c>
    </row>
    <row r="524" spans="1:15" x14ac:dyDescent="0.25">
      <c r="A524" s="14" t="s">
        <v>6261</v>
      </c>
      <c r="B524" s="14" t="s">
        <v>1049</v>
      </c>
      <c r="C524" s="15" t="s">
        <v>1050</v>
      </c>
      <c r="D524" s="16">
        <v>7.9590000000000008E-3</v>
      </c>
      <c r="E524" s="17">
        <v>9.2289999999999992</v>
      </c>
      <c r="F524" s="17">
        <v>9.7729999999999997</v>
      </c>
      <c r="G524" s="18">
        <v>-0.54379999999999995</v>
      </c>
      <c r="H524" s="19">
        <v>0.13930000000000001</v>
      </c>
      <c r="I524" s="18">
        <v>3.903</v>
      </c>
      <c r="J524" s="20">
        <v>6</v>
      </c>
      <c r="K524" s="19">
        <v>4.2039E-2</v>
      </c>
      <c r="L524" s="21">
        <f t="shared" si="32"/>
        <v>1.3763476232728922</v>
      </c>
      <c r="M524" s="21">
        <f t="shared" si="33"/>
        <v>-0.54399999999999926</v>
      </c>
      <c r="N524" s="22">
        <f t="shared" si="34"/>
        <v>2.0991414952980083</v>
      </c>
      <c r="O524" s="23">
        <f t="shared" si="35"/>
        <v>0.68586664429529909</v>
      </c>
    </row>
    <row r="525" spans="1:15" x14ac:dyDescent="0.25">
      <c r="A525" s="14" t="s">
        <v>6262</v>
      </c>
      <c r="B525" s="14" t="s">
        <v>1051</v>
      </c>
      <c r="C525" s="15" t="s">
        <v>1052</v>
      </c>
      <c r="D525" s="16">
        <v>8.0070000000000002E-3</v>
      </c>
      <c r="E525" s="17">
        <v>10.24</v>
      </c>
      <c r="F525" s="17">
        <v>10.92</v>
      </c>
      <c r="G525" s="18">
        <v>-0.67849999999999999</v>
      </c>
      <c r="H525" s="19">
        <v>0.1741</v>
      </c>
      <c r="I525" s="18">
        <v>3.8969999999999998</v>
      </c>
      <c r="J525" s="20">
        <v>6</v>
      </c>
      <c r="K525" s="19">
        <v>4.2210999999999999E-2</v>
      </c>
      <c r="L525" s="21">
        <f t="shared" si="32"/>
        <v>1.3745743590671615</v>
      </c>
      <c r="M525" s="21">
        <f t="shared" si="33"/>
        <v>-0.6799999999999996</v>
      </c>
      <c r="N525" s="22">
        <f t="shared" si="34"/>
        <v>2.0965301714928297</v>
      </c>
      <c r="O525" s="23">
        <f t="shared" si="35"/>
        <v>0.62416527445080616</v>
      </c>
    </row>
    <row r="526" spans="1:15" x14ac:dyDescent="0.25">
      <c r="A526" s="14" t="s">
        <v>6263</v>
      </c>
      <c r="B526" s="14" t="s">
        <v>1055</v>
      </c>
      <c r="C526" s="15" t="s">
        <v>1056</v>
      </c>
      <c r="D526" s="16">
        <v>8.0789999999999994E-3</v>
      </c>
      <c r="E526" s="17">
        <v>12.81</v>
      </c>
      <c r="F526" s="17">
        <v>12.54</v>
      </c>
      <c r="G526" s="18">
        <v>0.27329999999999999</v>
      </c>
      <c r="H526" s="19">
        <v>7.0269999999999999E-2</v>
      </c>
      <c r="I526" s="18">
        <v>3.89</v>
      </c>
      <c r="J526" s="20">
        <v>6</v>
      </c>
      <c r="K526" s="19">
        <v>4.2417999999999997E-2</v>
      </c>
      <c r="L526" s="21">
        <f t="shared" si="32"/>
        <v>1.3724498122324786</v>
      </c>
      <c r="M526" s="21">
        <f t="shared" si="33"/>
        <v>0.27000000000000163</v>
      </c>
      <c r="N526" s="22">
        <f t="shared" si="34"/>
        <v>2.0926423918688273</v>
      </c>
      <c r="O526" s="23">
        <f t="shared" si="35"/>
        <v>1.2058078276907618</v>
      </c>
    </row>
    <row r="527" spans="1:15" x14ac:dyDescent="0.25">
      <c r="A527" s="14" t="s">
        <v>6264</v>
      </c>
      <c r="B527" s="14" t="s">
        <v>1053</v>
      </c>
      <c r="C527" s="15" t="s">
        <v>1054</v>
      </c>
      <c r="D527" s="16">
        <v>8.064E-3</v>
      </c>
      <c r="E527" s="17">
        <v>11.18</v>
      </c>
      <c r="F527" s="17">
        <v>11.67</v>
      </c>
      <c r="G527" s="18">
        <v>-0.49080000000000001</v>
      </c>
      <c r="H527" s="19">
        <v>0.12609999999999999</v>
      </c>
      <c r="I527" s="18">
        <v>3.891</v>
      </c>
      <c r="J527" s="20">
        <v>6</v>
      </c>
      <c r="K527" s="19">
        <v>4.2417999999999997E-2</v>
      </c>
      <c r="L527" s="21">
        <f t="shared" si="32"/>
        <v>1.3724498122324786</v>
      </c>
      <c r="M527" s="21">
        <f t="shared" si="33"/>
        <v>-0.49000000000000099</v>
      </c>
      <c r="N527" s="22">
        <f t="shared" si="34"/>
        <v>2.0934494808985495</v>
      </c>
      <c r="O527" s="23">
        <f t="shared" si="35"/>
        <v>0.7120250977985354</v>
      </c>
    </row>
    <row r="528" spans="1:15" x14ac:dyDescent="0.25">
      <c r="A528" s="14" t="s">
        <v>6265</v>
      </c>
      <c r="B528" s="14" t="s">
        <v>1061</v>
      </c>
      <c r="C528" s="15" t="s">
        <v>1062</v>
      </c>
      <c r="D528" s="16">
        <v>8.123E-3</v>
      </c>
      <c r="E528" s="17">
        <v>13.05</v>
      </c>
      <c r="F528" s="17">
        <v>13.5</v>
      </c>
      <c r="G528" s="18">
        <v>-0.44440000000000002</v>
      </c>
      <c r="H528" s="19">
        <v>0.1144</v>
      </c>
      <c r="I528" s="18">
        <v>3.8849999999999998</v>
      </c>
      <c r="J528" s="20">
        <v>6</v>
      </c>
      <c r="K528" s="19">
        <v>4.2417999999999997E-2</v>
      </c>
      <c r="L528" s="21">
        <f t="shared" si="32"/>
        <v>1.3724498122324786</v>
      </c>
      <c r="M528" s="21">
        <f t="shared" si="33"/>
        <v>-0.45000000000000046</v>
      </c>
      <c r="N528" s="22">
        <f t="shared" si="34"/>
        <v>2.0902835467656549</v>
      </c>
      <c r="O528" s="23">
        <f t="shared" si="35"/>
        <v>0.73204284797281249</v>
      </c>
    </row>
    <row r="529" spans="1:15" x14ac:dyDescent="0.25">
      <c r="A529" s="14" t="s">
        <v>6266</v>
      </c>
      <c r="B529" s="14" t="s">
        <v>1059</v>
      </c>
      <c r="C529" s="15" t="s">
        <v>1060</v>
      </c>
      <c r="D529" s="16">
        <v>8.116E-3</v>
      </c>
      <c r="E529" s="17">
        <v>12.07</v>
      </c>
      <c r="F529" s="17">
        <v>12.83</v>
      </c>
      <c r="G529" s="18">
        <v>-0.75429999999999997</v>
      </c>
      <c r="H529" s="19">
        <v>0.19409999999999999</v>
      </c>
      <c r="I529" s="18">
        <v>3.8860000000000001</v>
      </c>
      <c r="J529" s="20">
        <v>6</v>
      </c>
      <c r="K529" s="19">
        <v>4.2417999999999997E-2</v>
      </c>
      <c r="L529" s="21">
        <f t="shared" si="32"/>
        <v>1.3724498122324786</v>
      </c>
      <c r="M529" s="21">
        <f t="shared" si="33"/>
        <v>-0.75999999999999857</v>
      </c>
      <c r="N529" s="22">
        <f t="shared" si="34"/>
        <v>2.0906579616386916</v>
      </c>
      <c r="O529" s="23">
        <f t="shared" si="35"/>
        <v>0.59049633071476582</v>
      </c>
    </row>
    <row r="530" spans="1:15" x14ac:dyDescent="0.25">
      <c r="A530" s="14" t="s">
        <v>6267</v>
      </c>
      <c r="B530" s="14" t="s">
        <v>1057</v>
      </c>
      <c r="C530" s="15" t="s">
        <v>1058</v>
      </c>
      <c r="D530" s="16">
        <v>8.0940000000000005E-3</v>
      </c>
      <c r="E530" s="17">
        <v>9.4009999999999998</v>
      </c>
      <c r="F530" s="17">
        <v>9.6539999999999999</v>
      </c>
      <c r="G530" s="18">
        <v>-0.25290000000000001</v>
      </c>
      <c r="H530" s="19">
        <v>6.5040000000000001E-2</v>
      </c>
      <c r="I530" s="18">
        <v>3.8879999999999999</v>
      </c>
      <c r="J530" s="20">
        <v>6</v>
      </c>
      <c r="K530" s="19">
        <v>4.2417999999999997E-2</v>
      </c>
      <c r="L530" s="21">
        <f t="shared" si="32"/>
        <v>1.3724498122324786</v>
      </c>
      <c r="M530" s="21">
        <f t="shared" si="33"/>
        <v>-0.25300000000000072</v>
      </c>
      <c r="N530" s="22">
        <f t="shared" si="34"/>
        <v>2.0918367999444518</v>
      </c>
      <c r="O530" s="23">
        <f t="shared" si="35"/>
        <v>0.83914963710654111</v>
      </c>
    </row>
    <row r="531" spans="1:15" x14ac:dyDescent="0.25">
      <c r="A531" s="14" t="s">
        <v>6268</v>
      </c>
      <c r="B531" s="14" t="s">
        <v>1063</v>
      </c>
      <c r="C531" s="15" t="s">
        <v>1064</v>
      </c>
      <c r="D531" s="16">
        <v>8.1550000000000008E-3</v>
      </c>
      <c r="E531" s="17">
        <v>8.4640000000000004</v>
      </c>
      <c r="F531" s="17">
        <v>7.452</v>
      </c>
      <c r="G531" s="18">
        <v>1.012</v>
      </c>
      <c r="H531" s="19">
        <v>0.26069999999999999</v>
      </c>
      <c r="I531" s="18">
        <v>3.8820000000000001</v>
      </c>
      <c r="J531" s="20">
        <v>6</v>
      </c>
      <c r="K531" s="19">
        <v>4.2505000000000001E-2</v>
      </c>
      <c r="L531" s="21">
        <f t="shared" si="32"/>
        <v>1.3715599794864917</v>
      </c>
      <c r="M531" s="21">
        <f t="shared" si="33"/>
        <v>1.012</v>
      </c>
      <c r="N531" s="22">
        <f t="shared" si="34"/>
        <v>2.088576034623705</v>
      </c>
      <c r="O531" s="23">
        <f t="shared" si="35"/>
        <v>2.01670490978919</v>
      </c>
    </row>
    <row r="532" spans="1:15" x14ac:dyDescent="0.25">
      <c r="A532" s="14" t="s">
        <v>6269</v>
      </c>
      <c r="B532" s="14" t="s">
        <v>1065</v>
      </c>
      <c r="C532" s="15" t="s">
        <v>1066</v>
      </c>
      <c r="D532" s="16">
        <v>8.2190000000000006E-3</v>
      </c>
      <c r="E532" s="17">
        <v>9.3160000000000007</v>
      </c>
      <c r="F532" s="17">
        <v>8.7870000000000008</v>
      </c>
      <c r="G532" s="18">
        <v>0.52949999999999997</v>
      </c>
      <c r="H532" s="19">
        <v>0.1366</v>
      </c>
      <c r="I532" s="18">
        <v>3.875</v>
      </c>
      <c r="J532" s="20">
        <v>6</v>
      </c>
      <c r="K532" s="19">
        <v>4.2692000000000001E-2</v>
      </c>
      <c r="L532" s="21">
        <f t="shared" si="32"/>
        <v>1.3696534992457599</v>
      </c>
      <c r="M532" s="21">
        <f t="shared" si="33"/>
        <v>0.52899999999999947</v>
      </c>
      <c r="N532" s="22">
        <f t="shared" si="34"/>
        <v>2.0851810195525267</v>
      </c>
      <c r="O532" s="23">
        <f t="shared" si="35"/>
        <v>1.4429286868616278</v>
      </c>
    </row>
    <row r="533" spans="1:15" x14ac:dyDescent="0.25">
      <c r="A533" s="14" t="s">
        <v>6270</v>
      </c>
      <c r="B533" s="14" t="s">
        <v>1067</v>
      </c>
      <c r="C533" s="15" t="s">
        <v>1068</v>
      </c>
      <c r="D533" s="16">
        <v>8.2220000000000001E-3</v>
      </c>
      <c r="E533" s="17">
        <v>9.4819999999999993</v>
      </c>
      <c r="F533" s="17">
        <v>9.1389999999999993</v>
      </c>
      <c r="G533" s="18">
        <v>0.34370000000000001</v>
      </c>
      <c r="H533" s="19">
        <v>8.8709999999999997E-2</v>
      </c>
      <c r="I533" s="18">
        <v>3.875</v>
      </c>
      <c r="J533" s="20">
        <v>6</v>
      </c>
      <c r="K533" s="19">
        <v>4.2692000000000001E-2</v>
      </c>
      <c r="L533" s="21">
        <f t="shared" si="32"/>
        <v>1.3696534992457599</v>
      </c>
      <c r="M533" s="21">
        <f t="shared" si="33"/>
        <v>0.34300000000000036</v>
      </c>
      <c r="N533" s="22">
        <f t="shared" si="34"/>
        <v>2.0850225275556689</v>
      </c>
      <c r="O533" s="23">
        <f t="shared" si="35"/>
        <v>1.2683913993258675</v>
      </c>
    </row>
    <row r="534" spans="1:15" x14ac:dyDescent="0.25">
      <c r="A534" s="14" t="s">
        <v>6271</v>
      </c>
      <c r="B534" s="14" t="s">
        <v>1069</v>
      </c>
      <c r="C534" s="15" t="s">
        <v>1070</v>
      </c>
      <c r="D534" s="16">
        <v>8.2699999999999996E-3</v>
      </c>
      <c r="E534" s="17">
        <v>11.67</v>
      </c>
      <c r="F534" s="17">
        <v>11.32</v>
      </c>
      <c r="G534" s="18">
        <v>0.34789999999999999</v>
      </c>
      <c r="H534" s="19">
        <v>8.9910000000000004E-2</v>
      </c>
      <c r="I534" s="18">
        <v>3.87</v>
      </c>
      <c r="J534" s="20">
        <v>6</v>
      </c>
      <c r="K534" s="19">
        <v>4.2791999999999997E-2</v>
      </c>
      <c r="L534" s="21">
        <f t="shared" si="32"/>
        <v>1.3686374151130394</v>
      </c>
      <c r="M534" s="21">
        <f t="shared" si="33"/>
        <v>0.35000000000000064</v>
      </c>
      <c r="N534" s="22">
        <f t="shared" si="34"/>
        <v>2.0824944904474534</v>
      </c>
      <c r="O534" s="23">
        <f t="shared" si="35"/>
        <v>1.2745606273192627</v>
      </c>
    </row>
    <row r="535" spans="1:15" x14ac:dyDescent="0.25">
      <c r="A535" s="14" t="s">
        <v>6272</v>
      </c>
      <c r="B535" s="14" t="s">
        <v>1071</v>
      </c>
      <c r="C535" s="15" t="s">
        <v>1072</v>
      </c>
      <c r="D535" s="16">
        <v>8.2719999999999998E-3</v>
      </c>
      <c r="E535" s="17">
        <v>10.14</v>
      </c>
      <c r="F535" s="17">
        <v>10.46</v>
      </c>
      <c r="G535" s="18">
        <v>-0.31990000000000002</v>
      </c>
      <c r="H535" s="19">
        <v>8.269E-2</v>
      </c>
      <c r="I535" s="18">
        <v>3.8690000000000002</v>
      </c>
      <c r="J535" s="20">
        <v>6</v>
      </c>
      <c r="K535" s="19">
        <v>4.2791999999999997E-2</v>
      </c>
      <c r="L535" s="21">
        <f t="shared" si="32"/>
        <v>1.3686374151130394</v>
      </c>
      <c r="M535" s="21">
        <f t="shared" si="33"/>
        <v>-0.32000000000000073</v>
      </c>
      <c r="N535" s="22">
        <f t="shared" si="34"/>
        <v>2.0823894742501325</v>
      </c>
      <c r="O535" s="23">
        <f t="shared" si="35"/>
        <v>0.80106987758962167</v>
      </c>
    </row>
    <row r="536" spans="1:15" x14ac:dyDescent="0.25">
      <c r="A536" s="14" t="s">
        <v>6273</v>
      </c>
      <c r="B536" s="14" t="s">
        <v>1075</v>
      </c>
      <c r="C536" s="15" t="s">
        <v>1076</v>
      </c>
      <c r="D536" s="16">
        <v>8.3250000000000008E-3</v>
      </c>
      <c r="E536" s="17">
        <v>11.58</v>
      </c>
      <c r="F536" s="17">
        <v>11.25</v>
      </c>
      <c r="G536" s="18">
        <v>0.33310000000000001</v>
      </c>
      <c r="H536" s="19">
        <v>8.6220000000000005E-2</v>
      </c>
      <c r="I536" s="18">
        <v>3.8639999999999999</v>
      </c>
      <c r="J536" s="20">
        <v>6</v>
      </c>
      <c r="K536" s="19">
        <v>4.2883999999999999E-2</v>
      </c>
      <c r="L536" s="21">
        <f t="shared" si="32"/>
        <v>1.3677047126597928</v>
      </c>
      <c r="M536" s="21">
        <f t="shared" si="33"/>
        <v>0.33000000000000135</v>
      </c>
      <c r="N536" s="22">
        <f t="shared" si="34"/>
        <v>2.0796157578216423</v>
      </c>
      <c r="O536" s="23">
        <f t="shared" si="35"/>
        <v>1.2570133745218295</v>
      </c>
    </row>
    <row r="537" spans="1:15" x14ac:dyDescent="0.25">
      <c r="A537" s="14" t="s">
        <v>6274</v>
      </c>
      <c r="B537" s="14" t="s">
        <v>1081</v>
      </c>
      <c r="C537" s="15" t="s">
        <v>1082</v>
      </c>
      <c r="D537" s="16">
        <v>8.3820000000000006E-3</v>
      </c>
      <c r="E537" s="17">
        <v>10.55</v>
      </c>
      <c r="F537" s="17">
        <v>9.8859999999999992</v>
      </c>
      <c r="G537" s="18">
        <v>0.66439999999999999</v>
      </c>
      <c r="H537" s="19">
        <v>0.17219999999999999</v>
      </c>
      <c r="I537" s="18">
        <v>3.8580000000000001</v>
      </c>
      <c r="J537" s="20">
        <v>6</v>
      </c>
      <c r="K537" s="19">
        <v>4.2883999999999999E-2</v>
      </c>
      <c r="L537" s="21">
        <f t="shared" si="32"/>
        <v>1.3677047126597928</v>
      </c>
      <c r="M537" s="21">
        <f t="shared" si="33"/>
        <v>0.66400000000000148</v>
      </c>
      <c r="N537" s="22">
        <f t="shared" si="34"/>
        <v>2.0766523435021744</v>
      </c>
      <c r="O537" s="23">
        <f t="shared" si="35"/>
        <v>1.5844696218499399</v>
      </c>
    </row>
    <row r="538" spans="1:15" x14ac:dyDescent="0.25">
      <c r="A538" s="14" t="s">
        <v>6275</v>
      </c>
      <c r="B538" s="14" t="s">
        <v>1077</v>
      </c>
      <c r="C538" s="15" t="s">
        <v>1078</v>
      </c>
      <c r="D538" s="16">
        <v>8.3730000000000002E-3</v>
      </c>
      <c r="E538" s="17">
        <v>9.0939999999999994</v>
      </c>
      <c r="F538" s="17">
        <v>8.1210000000000004</v>
      </c>
      <c r="G538" s="18">
        <v>0.97309999999999997</v>
      </c>
      <c r="H538" s="19">
        <v>0.25219999999999998</v>
      </c>
      <c r="I538" s="18">
        <v>3.859</v>
      </c>
      <c r="J538" s="20">
        <v>6</v>
      </c>
      <c r="K538" s="19">
        <v>4.2883999999999999E-2</v>
      </c>
      <c r="L538" s="21">
        <f t="shared" si="32"/>
        <v>1.3677047126597928</v>
      </c>
      <c r="M538" s="21">
        <f t="shared" si="33"/>
        <v>0.97299999999999898</v>
      </c>
      <c r="N538" s="22">
        <f t="shared" si="34"/>
        <v>2.0771189087917064</v>
      </c>
      <c r="O538" s="23">
        <f t="shared" si="35"/>
        <v>1.9629181277069572</v>
      </c>
    </row>
    <row r="539" spans="1:15" x14ac:dyDescent="0.25">
      <c r="A539" s="14" t="s">
        <v>6276</v>
      </c>
      <c r="B539" s="14" t="s">
        <v>1073</v>
      </c>
      <c r="C539" s="15" t="s">
        <v>1074</v>
      </c>
      <c r="D539" s="16">
        <v>8.3169999999999997E-3</v>
      </c>
      <c r="E539" s="17">
        <v>10.29</v>
      </c>
      <c r="F539" s="17">
        <v>9.9990000000000006</v>
      </c>
      <c r="G539" s="18">
        <v>0.2944</v>
      </c>
      <c r="H539" s="19">
        <v>7.6170000000000002E-2</v>
      </c>
      <c r="I539" s="18">
        <v>3.8650000000000002</v>
      </c>
      <c r="J539" s="20">
        <v>6</v>
      </c>
      <c r="K539" s="19">
        <v>4.2883999999999999E-2</v>
      </c>
      <c r="L539" s="21">
        <f t="shared" si="32"/>
        <v>1.3677047126597928</v>
      </c>
      <c r="M539" s="21">
        <f t="shared" si="33"/>
        <v>0.29099999999999759</v>
      </c>
      <c r="N539" s="22">
        <f t="shared" si="34"/>
        <v>2.0800332985166126</v>
      </c>
      <c r="O539" s="23">
        <f t="shared" si="35"/>
        <v>1.2234880411318643</v>
      </c>
    </row>
    <row r="540" spans="1:15" x14ac:dyDescent="0.25">
      <c r="A540" s="14" t="s">
        <v>6277</v>
      </c>
      <c r="B540" s="14" t="s">
        <v>1083</v>
      </c>
      <c r="C540" s="15" t="s">
        <v>1084</v>
      </c>
      <c r="D540" s="16">
        <v>8.3829999999999998E-3</v>
      </c>
      <c r="E540" s="17">
        <v>8.5709999999999997</v>
      </c>
      <c r="F540" s="17">
        <v>7.8769999999999998</v>
      </c>
      <c r="G540" s="18">
        <v>0.69340000000000002</v>
      </c>
      <c r="H540" s="19">
        <v>0.1797</v>
      </c>
      <c r="I540" s="18">
        <v>3.8580000000000001</v>
      </c>
      <c r="J540" s="20">
        <v>6</v>
      </c>
      <c r="K540" s="19">
        <v>4.2883999999999999E-2</v>
      </c>
      <c r="L540" s="21">
        <f t="shared" si="32"/>
        <v>1.3677047126597928</v>
      </c>
      <c r="M540" s="21">
        <f t="shared" si="33"/>
        <v>0.69400000000000006</v>
      </c>
      <c r="N540" s="22">
        <f t="shared" si="34"/>
        <v>2.0766005338412832</v>
      </c>
      <c r="O540" s="23">
        <f t="shared" si="35"/>
        <v>1.6177626967234782</v>
      </c>
    </row>
    <row r="541" spans="1:15" x14ac:dyDescent="0.25">
      <c r="A541" s="14" t="s">
        <v>6278</v>
      </c>
      <c r="B541" s="14" t="s">
        <v>1079</v>
      </c>
      <c r="C541" s="15" t="s">
        <v>1080</v>
      </c>
      <c r="D541" s="16">
        <v>8.3739999999999995E-3</v>
      </c>
      <c r="E541" s="17">
        <v>9.9789999999999992</v>
      </c>
      <c r="F541" s="17">
        <v>10.54</v>
      </c>
      <c r="G541" s="18">
        <v>-0.55669999999999997</v>
      </c>
      <c r="H541" s="19">
        <v>0.14430000000000001</v>
      </c>
      <c r="I541" s="18">
        <v>3.859</v>
      </c>
      <c r="J541" s="20">
        <v>6</v>
      </c>
      <c r="K541" s="19">
        <v>4.2883999999999999E-2</v>
      </c>
      <c r="L541" s="21">
        <f t="shared" si="32"/>
        <v>1.3677047126597928</v>
      </c>
      <c r="M541" s="21">
        <f t="shared" si="33"/>
        <v>-0.56100000000000017</v>
      </c>
      <c r="N541" s="22">
        <f t="shared" si="34"/>
        <v>2.0770670434447882</v>
      </c>
      <c r="O541" s="23">
        <f t="shared" si="35"/>
        <v>0.67783216340000041</v>
      </c>
    </row>
    <row r="542" spans="1:15" x14ac:dyDescent="0.25">
      <c r="A542" s="14" t="s">
        <v>6279</v>
      </c>
      <c r="B542" s="14" t="s">
        <v>1085</v>
      </c>
      <c r="C542" s="15" t="s">
        <v>1086</v>
      </c>
      <c r="D542" s="16">
        <v>8.4399999999999996E-3</v>
      </c>
      <c r="E542" s="17">
        <v>11.99</v>
      </c>
      <c r="F542" s="17">
        <v>12.28</v>
      </c>
      <c r="G542" s="18">
        <v>-0.29630000000000001</v>
      </c>
      <c r="H542" s="19">
        <v>7.6920000000000002E-2</v>
      </c>
      <c r="I542" s="18">
        <v>3.8519999999999999</v>
      </c>
      <c r="J542" s="20">
        <v>6</v>
      </c>
      <c r="K542" s="19">
        <v>4.3091999999999998E-2</v>
      </c>
      <c r="L542" s="21">
        <f t="shared" si="32"/>
        <v>1.365603348826302</v>
      </c>
      <c r="M542" s="21">
        <f t="shared" si="33"/>
        <v>-0.2899999999999997</v>
      </c>
      <c r="N542" s="22">
        <f t="shared" si="34"/>
        <v>2.0736575533743449</v>
      </c>
      <c r="O542" s="23">
        <f t="shared" si="35"/>
        <v>0.81790205855778131</v>
      </c>
    </row>
    <row r="543" spans="1:15" x14ac:dyDescent="0.25">
      <c r="A543" s="14" t="s">
        <v>6280</v>
      </c>
      <c r="B543" s="14" t="s">
        <v>1087</v>
      </c>
      <c r="C543" s="15" t="s">
        <v>1088</v>
      </c>
      <c r="D543" s="16">
        <v>8.6140000000000001E-3</v>
      </c>
      <c r="E543" s="17">
        <v>11.37</v>
      </c>
      <c r="F543" s="17">
        <v>11.01</v>
      </c>
      <c r="G543" s="18">
        <v>0.35539999999999999</v>
      </c>
      <c r="H543" s="19">
        <v>9.2700000000000005E-2</v>
      </c>
      <c r="I543" s="18">
        <v>3.8340000000000001</v>
      </c>
      <c r="J543" s="20">
        <v>6</v>
      </c>
      <c r="K543" s="19">
        <v>4.3901999999999997E-2</v>
      </c>
      <c r="L543" s="21">
        <f t="shared" si="32"/>
        <v>1.3575156945829634</v>
      </c>
      <c r="M543" s="21">
        <f t="shared" si="33"/>
        <v>0.35999999999999982</v>
      </c>
      <c r="N543" s="22">
        <f t="shared" si="34"/>
        <v>2.0647951325734186</v>
      </c>
      <c r="O543" s="23">
        <f t="shared" si="35"/>
        <v>1.283425897562904</v>
      </c>
    </row>
    <row r="544" spans="1:15" x14ac:dyDescent="0.25">
      <c r="A544" s="14" t="s">
        <v>6281</v>
      </c>
      <c r="B544" s="14" t="s">
        <v>1089</v>
      </c>
      <c r="C544" s="15" t="s">
        <v>1090</v>
      </c>
      <c r="D544" s="16">
        <v>8.6420000000000004E-3</v>
      </c>
      <c r="E544" s="17">
        <v>9.3260000000000005</v>
      </c>
      <c r="F544" s="17">
        <v>8.8219999999999992</v>
      </c>
      <c r="G544" s="18">
        <v>0.505</v>
      </c>
      <c r="H544" s="19">
        <v>0.1318</v>
      </c>
      <c r="I544" s="18">
        <v>3.8319999999999999</v>
      </c>
      <c r="J544" s="20">
        <v>6</v>
      </c>
      <c r="K544" s="19">
        <v>4.3964000000000003E-2</v>
      </c>
      <c r="L544" s="21">
        <f t="shared" si="32"/>
        <v>1.356902800805009</v>
      </c>
      <c r="M544" s="21">
        <f t="shared" si="33"/>
        <v>0.50400000000000156</v>
      </c>
      <c r="N544" s="22">
        <f t="shared" si="34"/>
        <v>2.0633857380247882</v>
      </c>
      <c r="O544" s="23">
        <f t="shared" si="35"/>
        <v>1.4181400356794602</v>
      </c>
    </row>
    <row r="545" spans="1:15" x14ac:dyDescent="0.25">
      <c r="A545" s="14" t="s">
        <v>6282</v>
      </c>
      <c r="B545" s="14" t="s">
        <v>1091</v>
      </c>
      <c r="C545" s="15" t="s">
        <v>1092</v>
      </c>
      <c r="D545" s="16">
        <v>8.6960000000000006E-3</v>
      </c>
      <c r="E545" s="17">
        <v>13.3</v>
      </c>
      <c r="F545" s="17">
        <v>13.71</v>
      </c>
      <c r="G545" s="18">
        <v>-0.40500000000000003</v>
      </c>
      <c r="H545" s="19">
        <v>0.10589999999999999</v>
      </c>
      <c r="I545" s="18">
        <v>3.8260000000000001</v>
      </c>
      <c r="J545" s="20">
        <v>6</v>
      </c>
      <c r="K545" s="19">
        <v>4.4155E-2</v>
      </c>
      <c r="L545" s="21">
        <f t="shared" si="32"/>
        <v>1.3550201108982163</v>
      </c>
      <c r="M545" s="21">
        <f t="shared" si="33"/>
        <v>-0.40999999999999925</v>
      </c>
      <c r="N545" s="22">
        <f t="shared" si="34"/>
        <v>2.0606804689217615</v>
      </c>
      <c r="O545" s="23">
        <f t="shared" si="35"/>
        <v>0.752623373705534</v>
      </c>
    </row>
    <row r="546" spans="1:15" x14ac:dyDescent="0.25">
      <c r="A546" s="14" t="s">
        <v>6283</v>
      </c>
      <c r="B546" s="14" t="s">
        <v>1093</v>
      </c>
      <c r="C546" s="15" t="s">
        <v>1094</v>
      </c>
      <c r="D546" s="16">
        <v>8.7279999999999996E-3</v>
      </c>
      <c r="E546" s="17">
        <v>9.0920000000000005</v>
      </c>
      <c r="F546" s="17">
        <v>8.7409999999999997</v>
      </c>
      <c r="G546" s="18">
        <v>0.35149999999999998</v>
      </c>
      <c r="H546" s="19">
        <v>9.1939999999999994E-2</v>
      </c>
      <c r="I546" s="18">
        <v>3.823</v>
      </c>
      <c r="J546" s="20">
        <v>6</v>
      </c>
      <c r="K546" s="19">
        <v>4.4236999999999999E-2</v>
      </c>
      <c r="L546" s="21">
        <f t="shared" si="32"/>
        <v>1.3542143330510803</v>
      </c>
      <c r="M546" s="21">
        <f t="shared" si="33"/>
        <v>0.35100000000000109</v>
      </c>
      <c r="N546" s="22">
        <f t="shared" si="34"/>
        <v>2.0590852624197145</v>
      </c>
      <c r="O546" s="23">
        <f t="shared" si="35"/>
        <v>1.2754443916785452</v>
      </c>
    </row>
    <row r="547" spans="1:15" x14ac:dyDescent="0.25">
      <c r="A547" s="14" t="s">
        <v>6284</v>
      </c>
      <c r="B547" s="14" t="s">
        <v>1095</v>
      </c>
      <c r="C547" s="15" t="s">
        <v>1096</v>
      </c>
      <c r="D547" s="16">
        <v>8.7860000000000004E-3</v>
      </c>
      <c r="E547" s="17">
        <v>12.45</v>
      </c>
      <c r="F547" s="17">
        <v>12.99</v>
      </c>
      <c r="G547" s="18">
        <v>-0.54369999999999996</v>
      </c>
      <c r="H547" s="19">
        <v>0.1424</v>
      </c>
      <c r="I547" s="18">
        <v>3.8170000000000002</v>
      </c>
      <c r="J547" s="20">
        <v>6</v>
      </c>
      <c r="K547" s="19">
        <v>4.4452999999999999E-2</v>
      </c>
      <c r="L547" s="21">
        <f t="shared" si="32"/>
        <v>1.3520989244692259</v>
      </c>
      <c r="M547" s="21">
        <f t="shared" si="33"/>
        <v>-0.54000000000000037</v>
      </c>
      <c r="N547" s="22">
        <f t="shared" si="34"/>
        <v>2.0562088010706985</v>
      </c>
      <c r="O547" s="23">
        <f t="shared" si="35"/>
        <v>0.68777090906987171</v>
      </c>
    </row>
    <row r="548" spans="1:15" x14ac:dyDescent="0.25">
      <c r="A548" s="14" t="s">
        <v>6285</v>
      </c>
      <c r="B548" s="14" t="s">
        <v>1097</v>
      </c>
      <c r="C548" s="15" t="s">
        <v>1098</v>
      </c>
      <c r="D548" s="16">
        <v>8.8319999999999996E-3</v>
      </c>
      <c r="E548" s="17">
        <v>10.7</v>
      </c>
      <c r="F548" s="17">
        <v>10.37</v>
      </c>
      <c r="G548" s="18">
        <v>0.32729999999999998</v>
      </c>
      <c r="H548" s="19">
        <v>8.5830000000000004E-2</v>
      </c>
      <c r="I548" s="18">
        <v>3.8130000000000002</v>
      </c>
      <c r="J548" s="20">
        <v>6</v>
      </c>
      <c r="K548" s="19">
        <v>4.4602000000000003E-2</v>
      </c>
      <c r="L548" s="21">
        <f t="shared" si="32"/>
        <v>1.3506456666356315</v>
      </c>
      <c r="M548" s="21">
        <f t="shared" si="33"/>
        <v>0.33000000000000007</v>
      </c>
      <c r="N548" s="22">
        <f t="shared" si="34"/>
        <v>2.0539409396148764</v>
      </c>
      <c r="O548" s="23">
        <f t="shared" si="35"/>
        <v>1.2570133745218284</v>
      </c>
    </row>
    <row r="549" spans="1:15" x14ac:dyDescent="0.25">
      <c r="A549" s="14" t="s">
        <v>6286</v>
      </c>
      <c r="B549" s="14" t="s">
        <v>1099</v>
      </c>
      <c r="C549" s="15" t="s">
        <v>1100</v>
      </c>
      <c r="D549" s="16">
        <v>8.9079999999999993E-3</v>
      </c>
      <c r="E549" s="17">
        <v>10.4</v>
      </c>
      <c r="F549" s="17">
        <v>9.6059999999999999</v>
      </c>
      <c r="G549" s="18">
        <v>0.79369999999999996</v>
      </c>
      <c r="H549" s="19">
        <v>0.20860000000000001</v>
      </c>
      <c r="I549" s="18">
        <v>3.806</v>
      </c>
      <c r="J549" s="20">
        <v>6</v>
      </c>
      <c r="K549" s="19">
        <v>4.4906000000000001E-2</v>
      </c>
      <c r="L549" s="21">
        <f t="shared" si="32"/>
        <v>1.3476956279765824</v>
      </c>
      <c r="M549" s="21">
        <f t="shared" si="33"/>
        <v>0.79400000000000004</v>
      </c>
      <c r="N549" s="22">
        <f t="shared" si="34"/>
        <v>2.0502197916379994</v>
      </c>
      <c r="O549" s="23">
        <f t="shared" si="35"/>
        <v>1.7338751270293733</v>
      </c>
    </row>
    <row r="550" spans="1:15" x14ac:dyDescent="0.25">
      <c r="A550" s="14" t="s">
        <v>6287</v>
      </c>
      <c r="B550" s="14" t="s">
        <v>1101</v>
      </c>
      <c r="C550" s="15" t="s">
        <v>1102</v>
      </c>
      <c r="D550" s="16">
        <v>8.9820000000000004E-3</v>
      </c>
      <c r="E550" s="17">
        <v>10.96</v>
      </c>
      <c r="F550" s="17">
        <v>10.55</v>
      </c>
      <c r="G550" s="18">
        <v>0.40710000000000002</v>
      </c>
      <c r="H550" s="19">
        <v>0.1072</v>
      </c>
      <c r="I550" s="18">
        <v>3.7989999999999999</v>
      </c>
      <c r="J550" s="20">
        <v>6</v>
      </c>
      <c r="K550" s="19">
        <v>4.5192000000000003E-2</v>
      </c>
      <c r="L550" s="21">
        <f t="shared" si="32"/>
        <v>1.3449384382717289</v>
      </c>
      <c r="M550" s="21">
        <f t="shared" si="33"/>
        <v>0.40999999999999909</v>
      </c>
      <c r="N550" s="22">
        <f t="shared" si="34"/>
        <v>2.0466269492733038</v>
      </c>
      <c r="O550" s="23">
        <f t="shared" si="35"/>
        <v>1.3286858140965108</v>
      </c>
    </row>
    <row r="551" spans="1:15" x14ac:dyDescent="0.25">
      <c r="A551" s="14" t="s">
        <v>6288</v>
      </c>
      <c r="B551" s="14" t="s">
        <v>1103</v>
      </c>
      <c r="C551" s="15" t="s">
        <v>1104</v>
      </c>
      <c r="D551" s="16">
        <v>9.0050000000000009E-3</v>
      </c>
      <c r="E551" s="17">
        <v>9.7989999999999995</v>
      </c>
      <c r="F551" s="17">
        <v>9.4949999999999992</v>
      </c>
      <c r="G551" s="18">
        <v>0.30370000000000003</v>
      </c>
      <c r="H551" s="19">
        <v>0.08</v>
      </c>
      <c r="I551" s="18">
        <v>3.7959999999999998</v>
      </c>
      <c r="J551" s="20">
        <v>6</v>
      </c>
      <c r="K551" s="19">
        <v>4.5227999999999997E-2</v>
      </c>
      <c r="L551" s="21">
        <f t="shared" si="32"/>
        <v>1.34459261650277</v>
      </c>
      <c r="M551" s="21">
        <f t="shared" si="33"/>
        <v>0.30400000000000016</v>
      </c>
      <c r="N551" s="22">
        <f t="shared" si="34"/>
        <v>2.045516282844448</v>
      </c>
      <c r="O551" s="23">
        <f t="shared" si="35"/>
        <v>1.2345626068935385</v>
      </c>
    </row>
    <row r="552" spans="1:15" x14ac:dyDescent="0.25">
      <c r="A552" s="14" t="s">
        <v>6289</v>
      </c>
      <c r="B552" s="14" t="s">
        <v>1105</v>
      </c>
      <c r="C552" s="15" t="s">
        <v>1106</v>
      </c>
      <c r="D552" s="16">
        <v>9.1039999999999992E-3</v>
      </c>
      <c r="E552" s="17">
        <v>10.17</v>
      </c>
      <c r="F552" s="17">
        <v>9.3930000000000007</v>
      </c>
      <c r="G552" s="18">
        <v>0.78059999999999996</v>
      </c>
      <c r="H552" s="19">
        <v>0.20610000000000001</v>
      </c>
      <c r="I552" s="18">
        <v>3.7869999999999999</v>
      </c>
      <c r="J552" s="20">
        <v>6</v>
      </c>
      <c r="K552" s="19">
        <v>4.5641000000000001E-2</v>
      </c>
      <c r="L552" s="21">
        <f t="shared" si="32"/>
        <v>1.3406448487033376</v>
      </c>
      <c r="M552" s="21">
        <f t="shared" si="33"/>
        <v>0.77699999999999925</v>
      </c>
      <c r="N552" s="22">
        <f t="shared" si="34"/>
        <v>2.0407677509490041</v>
      </c>
      <c r="O552" s="23">
        <f t="shared" si="35"/>
        <v>1.7135639095371387</v>
      </c>
    </row>
    <row r="553" spans="1:15" x14ac:dyDescent="0.25">
      <c r="A553" s="14" t="s">
        <v>6290</v>
      </c>
      <c r="B553" s="14" t="s">
        <v>1107</v>
      </c>
      <c r="C553" s="15" t="s">
        <v>1108</v>
      </c>
      <c r="D553" s="16">
        <v>9.1229999999999992E-3</v>
      </c>
      <c r="E553" s="17">
        <v>8.9109999999999996</v>
      </c>
      <c r="F553" s="17">
        <v>8.1539999999999999</v>
      </c>
      <c r="G553" s="18">
        <v>0.75729999999999997</v>
      </c>
      <c r="H553" s="19">
        <v>0.2001</v>
      </c>
      <c r="I553" s="18">
        <v>3.7850000000000001</v>
      </c>
      <c r="J553" s="20">
        <v>6</v>
      </c>
      <c r="K553" s="19">
        <v>4.5656000000000002E-2</v>
      </c>
      <c r="L553" s="21">
        <f t="shared" si="32"/>
        <v>1.3405021404590982</v>
      </c>
      <c r="M553" s="21">
        <f t="shared" si="33"/>
        <v>0.75700000000000001</v>
      </c>
      <c r="N553" s="22">
        <f t="shared" si="34"/>
        <v>2.0398623251362049</v>
      </c>
      <c r="O553" s="23">
        <f t="shared" si="35"/>
        <v>1.689972768825027</v>
      </c>
    </row>
    <row r="554" spans="1:15" x14ac:dyDescent="0.25">
      <c r="A554" s="14" t="s">
        <v>6291</v>
      </c>
      <c r="B554" s="14" t="s">
        <v>1109</v>
      </c>
      <c r="C554" s="15" t="s">
        <v>1110</v>
      </c>
      <c r="D554" s="16">
        <v>9.1430000000000001E-3</v>
      </c>
      <c r="E554" s="17">
        <v>9.234</v>
      </c>
      <c r="F554" s="17">
        <v>8.516</v>
      </c>
      <c r="G554" s="18">
        <v>0.71819999999999995</v>
      </c>
      <c r="H554" s="19">
        <v>0.1898</v>
      </c>
      <c r="I554" s="18">
        <v>3.7829999999999999</v>
      </c>
      <c r="J554" s="20">
        <v>6</v>
      </c>
      <c r="K554" s="19">
        <v>4.5671000000000003E-2</v>
      </c>
      <c r="L554" s="21">
        <f t="shared" si="32"/>
        <v>1.3403594790930811</v>
      </c>
      <c r="M554" s="21">
        <f t="shared" si="33"/>
        <v>0.71800000000000008</v>
      </c>
      <c r="N554" s="22">
        <f t="shared" si="34"/>
        <v>2.0389112802321039</v>
      </c>
      <c r="O554" s="23">
        <f t="shared" si="35"/>
        <v>1.6449001374249286</v>
      </c>
    </row>
    <row r="555" spans="1:15" x14ac:dyDescent="0.25">
      <c r="A555" s="14" t="s">
        <v>6292</v>
      </c>
      <c r="B555" s="14" t="s">
        <v>1111</v>
      </c>
      <c r="C555" s="15" t="s">
        <v>1112</v>
      </c>
      <c r="D555" s="16">
        <v>9.1830000000000002E-3</v>
      </c>
      <c r="E555" s="17">
        <v>7.9880000000000004</v>
      </c>
      <c r="F555" s="17">
        <v>8.35</v>
      </c>
      <c r="G555" s="18">
        <v>-0.36170000000000002</v>
      </c>
      <c r="H555" s="19">
        <v>9.5680000000000001E-2</v>
      </c>
      <c r="I555" s="18">
        <v>3.78</v>
      </c>
      <c r="J555" s="20">
        <v>6</v>
      </c>
      <c r="K555" s="19">
        <v>4.5789000000000003E-2</v>
      </c>
      <c r="L555" s="21">
        <f t="shared" si="32"/>
        <v>1.3392388410589855</v>
      </c>
      <c r="M555" s="21">
        <f t="shared" si="33"/>
        <v>-0.36199999999999938</v>
      </c>
      <c r="N555" s="22">
        <f t="shared" si="34"/>
        <v>2.0370154156830025</v>
      </c>
      <c r="O555" s="23">
        <f t="shared" si="35"/>
        <v>0.77808517655541898</v>
      </c>
    </row>
    <row r="556" spans="1:15" x14ac:dyDescent="0.25">
      <c r="A556" s="14" t="s">
        <v>6293</v>
      </c>
      <c r="B556" s="14" t="s">
        <v>1113</v>
      </c>
      <c r="C556" s="15" t="s">
        <v>1114</v>
      </c>
      <c r="D556" s="16">
        <v>9.4669999999999997E-3</v>
      </c>
      <c r="E556" s="17">
        <v>9.33</v>
      </c>
      <c r="F556" s="17">
        <v>8.5370000000000008</v>
      </c>
      <c r="G556" s="18">
        <v>0.79390000000000005</v>
      </c>
      <c r="H556" s="19">
        <v>0.21149999999999999</v>
      </c>
      <c r="I556" s="18">
        <v>3.754</v>
      </c>
      <c r="J556" s="20">
        <v>6</v>
      </c>
      <c r="K556" s="19">
        <v>4.7120000000000002E-2</v>
      </c>
      <c r="L556" s="21">
        <f t="shared" si="32"/>
        <v>1.3267947182209547</v>
      </c>
      <c r="M556" s="21">
        <f t="shared" si="33"/>
        <v>0.79299999999999971</v>
      </c>
      <c r="N556" s="22">
        <f t="shared" si="34"/>
        <v>2.0237876228826228</v>
      </c>
      <c r="O556" s="23">
        <f t="shared" si="35"/>
        <v>1.7326737128001743</v>
      </c>
    </row>
    <row r="557" spans="1:15" x14ac:dyDescent="0.25">
      <c r="A557" s="14" t="s">
        <v>6294</v>
      </c>
      <c r="B557" s="14" t="s">
        <v>1115</v>
      </c>
      <c r="C557" s="15" t="s">
        <v>1116</v>
      </c>
      <c r="D557" s="16">
        <v>9.5379999999999996E-3</v>
      </c>
      <c r="E557" s="17">
        <v>9.8979999999999997</v>
      </c>
      <c r="F557" s="17">
        <v>9.5549999999999997</v>
      </c>
      <c r="G557" s="18">
        <v>0.34320000000000001</v>
      </c>
      <c r="H557" s="19">
        <v>9.1590000000000005E-2</v>
      </c>
      <c r="I557" s="18">
        <v>3.7469999999999999</v>
      </c>
      <c r="J557" s="20">
        <v>6</v>
      </c>
      <c r="K557" s="19">
        <v>4.7388E-2</v>
      </c>
      <c r="L557" s="21">
        <f t="shared" si="32"/>
        <v>1.3243316202158308</v>
      </c>
      <c r="M557" s="21">
        <f t="shared" si="33"/>
        <v>0.34300000000000036</v>
      </c>
      <c r="N557" s="22">
        <f t="shared" si="34"/>
        <v>2.0205426819021515</v>
      </c>
      <c r="O557" s="23">
        <f t="shared" si="35"/>
        <v>1.2683913993258675</v>
      </c>
    </row>
    <row r="558" spans="1:15" x14ac:dyDescent="0.25">
      <c r="A558" s="14" t="s">
        <v>6295</v>
      </c>
      <c r="B558" s="14" t="s">
        <v>1119</v>
      </c>
      <c r="C558" s="15" t="s">
        <v>1120</v>
      </c>
      <c r="D558" s="16">
        <v>9.6089999999999995E-3</v>
      </c>
      <c r="E558" s="17">
        <v>9.3759999999999994</v>
      </c>
      <c r="F558" s="17">
        <v>9.0190000000000001</v>
      </c>
      <c r="G558" s="18">
        <v>0.3569</v>
      </c>
      <c r="H558" s="19">
        <v>9.5409999999999995E-2</v>
      </c>
      <c r="I558" s="18">
        <v>3.7410000000000001</v>
      </c>
      <c r="J558" s="20">
        <v>6</v>
      </c>
      <c r="K558" s="19">
        <v>4.7571000000000002E-2</v>
      </c>
      <c r="L558" s="21">
        <f t="shared" si="32"/>
        <v>1.322657719088461</v>
      </c>
      <c r="M558" s="21">
        <f t="shared" si="33"/>
        <v>0.35699999999999854</v>
      </c>
      <c r="N558" s="22">
        <f t="shared" si="34"/>
        <v>2.0173218066165157</v>
      </c>
      <c r="O558" s="23">
        <f t="shared" si="35"/>
        <v>1.280759861329769</v>
      </c>
    </row>
    <row r="559" spans="1:15" x14ac:dyDescent="0.25">
      <c r="A559" s="14" t="s">
        <v>6296</v>
      </c>
      <c r="B559" s="14" t="s">
        <v>1117</v>
      </c>
      <c r="C559" s="15" t="s">
        <v>1118</v>
      </c>
      <c r="D559" s="16">
        <v>9.5960000000000004E-3</v>
      </c>
      <c r="E559" s="17">
        <v>8.4009999999999998</v>
      </c>
      <c r="F559" s="17">
        <v>7.5750000000000002</v>
      </c>
      <c r="G559" s="18">
        <v>0.8266</v>
      </c>
      <c r="H559" s="19">
        <v>0.22090000000000001</v>
      </c>
      <c r="I559" s="18">
        <v>3.742</v>
      </c>
      <c r="J559" s="20">
        <v>6</v>
      </c>
      <c r="K559" s="19">
        <v>4.7571000000000002E-2</v>
      </c>
      <c r="L559" s="21">
        <f t="shared" si="32"/>
        <v>1.322657719088461</v>
      </c>
      <c r="M559" s="21">
        <f t="shared" si="33"/>
        <v>0.82599999999999962</v>
      </c>
      <c r="N559" s="22">
        <f t="shared" si="34"/>
        <v>2.0179097607042067</v>
      </c>
      <c r="O559" s="23">
        <f t="shared" si="35"/>
        <v>1.7727633983897342</v>
      </c>
    </row>
    <row r="560" spans="1:15" x14ac:dyDescent="0.25">
      <c r="A560" s="14" t="s">
        <v>6297</v>
      </c>
      <c r="B560" s="14" t="s">
        <v>1121</v>
      </c>
      <c r="C560" s="15" t="s">
        <v>1122</v>
      </c>
      <c r="D560" s="16">
        <v>9.6290000000000004E-3</v>
      </c>
      <c r="E560" s="17">
        <v>11.05</v>
      </c>
      <c r="F560" s="17">
        <v>10.73</v>
      </c>
      <c r="G560" s="18">
        <v>0.3286</v>
      </c>
      <c r="H560" s="19">
        <v>8.788E-2</v>
      </c>
      <c r="I560" s="18">
        <v>3.7389999999999999</v>
      </c>
      <c r="J560" s="20">
        <v>6</v>
      </c>
      <c r="K560" s="19">
        <v>4.7583E-2</v>
      </c>
      <c r="L560" s="21">
        <f t="shared" si="32"/>
        <v>1.3225481801555636</v>
      </c>
      <c r="M560" s="21">
        <f t="shared" si="33"/>
        <v>0.32000000000000073</v>
      </c>
      <c r="N560" s="22">
        <f t="shared" si="34"/>
        <v>2.0164188132942091</v>
      </c>
      <c r="O560" s="23">
        <f t="shared" si="35"/>
        <v>1.2483305489016125</v>
      </c>
    </row>
    <row r="561" spans="1:15" x14ac:dyDescent="0.25">
      <c r="A561" s="14" t="s">
        <v>6298</v>
      </c>
      <c r="B561" s="14" t="s">
        <v>1123</v>
      </c>
      <c r="C561" s="15" t="s">
        <v>1124</v>
      </c>
      <c r="D561" s="16">
        <v>9.6790000000000001E-3</v>
      </c>
      <c r="E561" s="17">
        <v>9.01</v>
      </c>
      <c r="F561" s="17">
        <v>8.8239999999999998</v>
      </c>
      <c r="G561" s="18">
        <v>0.18679999999999999</v>
      </c>
      <c r="H561" s="19">
        <v>0.05</v>
      </c>
      <c r="I561" s="18">
        <v>3.7349999999999999</v>
      </c>
      <c r="J561" s="20">
        <v>6</v>
      </c>
      <c r="K561" s="19">
        <v>4.7745999999999997E-2</v>
      </c>
      <c r="L561" s="21">
        <f t="shared" si="32"/>
        <v>1.3210630062937019</v>
      </c>
      <c r="M561" s="21">
        <f t="shared" si="33"/>
        <v>0.185999999999999</v>
      </c>
      <c r="N561" s="22">
        <f t="shared" si="34"/>
        <v>2.0141695101416075</v>
      </c>
      <c r="O561" s="23">
        <f t="shared" si="35"/>
        <v>1.137605227872504</v>
      </c>
    </row>
    <row r="562" spans="1:15" x14ac:dyDescent="0.25">
      <c r="A562" s="14" t="s">
        <v>6299</v>
      </c>
      <c r="B562" s="14" t="s">
        <v>1125</v>
      </c>
      <c r="C562" s="15" t="s">
        <v>1126</v>
      </c>
      <c r="D562" s="16">
        <v>9.6989999999999993E-3</v>
      </c>
      <c r="E562" s="17">
        <v>10.63</v>
      </c>
      <c r="F562" s="17">
        <v>11</v>
      </c>
      <c r="G562" s="18">
        <v>-0.36890000000000001</v>
      </c>
      <c r="H562" s="19">
        <v>9.8820000000000005E-2</v>
      </c>
      <c r="I562" s="18">
        <v>3.7330000000000001</v>
      </c>
      <c r="J562" s="20">
        <v>6</v>
      </c>
      <c r="K562" s="19">
        <v>4.7756E-2</v>
      </c>
      <c r="L562" s="21">
        <f t="shared" si="32"/>
        <v>1.320972056474119</v>
      </c>
      <c r="M562" s="21">
        <f t="shared" si="33"/>
        <v>-0.37000000000000005</v>
      </c>
      <c r="N562" s="22">
        <f t="shared" si="34"/>
        <v>2.0132730406687815</v>
      </c>
      <c r="O562" s="23">
        <f t="shared" si="35"/>
        <v>0.77378249677119493</v>
      </c>
    </row>
    <row r="563" spans="1:15" x14ac:dyDescent="0.25">
      <c r="A563" s="14" t="s">
        <v>6300</v>
      </c>
      <c r="B563" s="14" t="s">
        <v>1127</v>
      </c>
      <c r="C563" s="15" t="s">
        <v>1128</v>
      </c>
      <c r="D563" s="16">
        <v>9.7190000000000002E-3</v>
      </c>
      <c r="E563" s="17">
        <v>10.6</v>
      </c>
      <c r="F563" s="17">
        <v>10.25</v>
      </c>
      <c r="G563" s="18">
        <v>0.34320000000000001</v>
      </c>
      <c r="H563" s="19">
        <v>9.1969999999999996E-2</v>
      </c>
      <c r="I563" s="18">
        <v>3.7320000000000002</v>
      </c>
      <c r="J563" s="20">
        <v>6</v>
      </c>
      <c r="K563" s="19">
        <v>4.777E-2</v>
      </c>
      <c r="L563" s="21">
        <f t="shared" si="32"/>
        <v>1.3208447587166461</v>
      </c>
      <c r="M563" s="21">
        <f t="shared" si="33"/>
        <v>0.34999999999999931</v>
      </c>
      <c r="N563" s="22">
        <f t="shared" si="34"/>
        <v>2.0123784178745159</v>
      </c>
      <c r="O563" s="23">
        <f t="shared" si="35"/>
        <v>1.2745606273192616</v>
      </c>
    </row>
    <row r="564" spans="1:15" x14ac:dyDescent="0.25">
      <c r="A564" s="14" t="s">
        <v>6301</v>
      </c>
      <c r="B564" s="14" t="s">
        <v>1129</v>
      </c>
      <c r="C564" s="15" t="s">
        <v>1130</v>
      </c>
      <c r="D564" s="16">
        <v>9.7509999999999993E-3</v>
      </c>
      <c r="E564" s="17">
        <v>9.5429999999999993</v>
      </c>
      <c r="F564" s="17">
        <v>8.8170000000000002</v>
      </c>
      <c r="G564" s="18">
        <v>0.72550000000000003</v>
      </c>
      <c r="H564" s="19">
        <v>0.1946</v>
      </c>
      <c r="I564" s="18">
        <v>3.7290000000000001</v>
      </c>
      <c r="J564" s="20">
        <v>6</v>
      </c>
      <c r="K564" s="19">
        <v>4.7835999999999997E-2</v>
      </c>
      <c r="L564" s="21">
        <f t="shared" si="32"/>
        <v>1.3202451427854514</v>
      </c>
      <c r="M564" s="21">
        <f t="shared" si="33"/>
        <v>0.72599999999999953</v>
      </c>
      <c r="N564" s="22">
        <f t="shared" si="34"/>
        <v>2.0109508435617798</v>
      </c>
      <c r="O564" s="23">
        <f t="shared" si="35"/>
        <v>1.6540467368865308</v>
      </c>
    </row>
    <row r="565" spans="1:15" x14ac:dyDescent="0.25">
      <c r="A565" s="14" t="s">
        <v>6302</v>
      </c>
      <c r="B565" s="14" t="s">
        <v>1131</v>
      </c>
      <c r="C565" s="15" t="s">
        <v>1132</v>
      </c>
      <c r="D565" s="16">
        <v>9.7669999999999996E-3</v>
      </c>
      <c r="E565" s="17">
        <v>8.657</v>
      </c>
      <c r="F565" s="17">
        <v>7.8890000000000002</v>
      </c>
      <c r="G565" s="18">
        <v>0.76780000000000004</v>
      </c>
      <c r="H565" s="19">
        <v>0.20599999999999999</v>
      </c>
      <c r="I565" s="18">
        <v>3.7269999999999999</v>
      </c>
      <c r="J565" s="20">
        <v>6</v>
      </c>
      <c r="K565" s="19">
        <v>4.7835999999999997E-2</v>
      </c>
      <c r="L565" s="21">
        <f t="shared" si="32"/>
        <v>1.3202451427854514</v>
      </c>
      <c r="M565" s="21">
        <f t="shared" si="33"/>
        <v>0.76799999999999946</v>
      </c>
      <c r="N565" s="22">
        <f t="shared" si="34"/>
        <v>2.010238812281222</v>
      </c>
      <c r="O565" s="23">
        <f t="shared" si="35"/>
        <v>1.7029074154978894</v>
      </c>
    </row>
    <row r="566" spans="1:15" x14ac:dyDescent="0.25">
      <c r="A566" s="14" t="s">
        <v>6303</v>
      </c>
      <c r="B566" s="14" t="s">
        <v>1133</v>
      </c>
      <c r="C566" s="15" t="s">
        <v>1134</v>
      </c>
      <c r="D566" s="16">
        <v>9.809E-3</v>
      </c>
      <c r="E566" s="17">
        <v>10.61</v>
      </c>
      <c r="F566" s="17">
        <v>10.01</v>
      </c>
      <c r="G566" s="18">
        <v>0.59350000000000003</v>
      </c>
      <c r="H566" s="19">
        <v>0.15939999999999999</v>
      </c>
      <c r="I566" s="18">
        <v>3.7240000000000002</v>
      </c>
      <c r="J566" s="20">
        <v>6</v>
      </c>
      <c r="K566" s="19">
        <v>4.7955999999999999E-2</v>
      </c>
      <c r="L566" s="21">
        <f t="shared" si="32"/>
        <v>1.3191570484750741</v>
      </c>
      <c r="M566" s="21">
        <f t="shared" si="33"/>
        <v>0.6</v>
      </c>
      <c r="N566" s="22">
        <f t="shared" si="34"/>
        <v>2.0083752654659945</v>
      </c>
      <c r="O566" s="23">
        <f t="shared" si="35"/>
        <v>1.515716566510398</v>
      </c>
    </row>
    <row r="567" spans="1:15" x14ac:dyDescent="0.25">
      <c r="A567" s="14" t="s">
        <v>6304</v>
      </c>
      <c r="B567" s="14" t="s">
        <v>1135</v>
      </c>
      <c r="C567" s="15" t="s">
        <v>1136</v>
      </c>
      <c r="D567" s="16">
        <v>9.8359999999999993E-3</v>
      </c>
      <c r="E567" s="17">
        <v>9.8330000000000002</v>
      </c>
      <c r="F567" s="17">
        <v>10.16</v>
      </c>
      <c r="G567" s="18">
        <v>-0.32229999999999998</v>
      </c>
      <c r="H567" s="19">
        <v>8.6599999999999996E-2</v>
      </c>
      <c r="I567" s="18">
        <v>3.7210000000000001</v>
      </c>
      <c r="J567" s="20">
        <v>6</v>
      </c>
      <c r="K567" s="19">
        <v>4.8003999999999998E-2</v>
      </c>
      <c r="L567" s="21">
        <f t="shared" si="32"/>
        <v>1.3187225729254706</v>
      </c>
      <c r="M567" s="21">
        <f t="shared" si="33"/>
        <v>-0.32699999999999996</v>
      </c>
      <c r="N567" s="22">
        <f t="shared" si="34"/>
        <v>2.0071814799333203</v>
      </c>
      <c r="O567" s="23">
        <f t="shared" si="35"/>
        <v>0.79719247654053615</v>
      </c>
    </row>
    <row r="568" spans="1:15" x14ac:dyDescent="0.25">
      <c r="A568" s="14" t="s">
        <v>6305</v>
      </c>
      <c r="B568" s="14" t="s">
        <v>1139</v>
      </c>
      <c r="C568" s="15" t="s">
        <v>1140</v>
      </c>
      <c r="D568" s="16">
        <v>9.9319999999999999E-3</v>
      </c>
      <c r="E568" s="17">
        <v>9.8710000000000004</v>
      </c>
      <c r="F568" s="17">
        <v>10.42</v>
      </c>
      <c r="G568" s="18">
        <v>-0.54820000000000002</v>
      </c>
      <c r="H568" s="19">
        <v>0.14760000000000001</v>
      </c>
      <c r="I568" s="18">
        <v>3.7130000000000001</v>
      </c>
      <c r="J568" s="20">
        <v>6</v>
      </c>
      <c r="K568" s="19">
        <v>4.8300000000000003E-2</v>
      </c>
      <c r="L568" s="21">
        <f t="shared" si="32"/>
        <v>1.3160528692484876</v>
      </c>
      <c r="M568" s="21">
        <f t="shared" si="33"/>
        <v>-0.54899999999999904</v>
      </c>
      <c r="N568" s="22">
        <f t="shared" si="34"/>
        <v>2.0029632891174729</v>
      </c>
      <c r="O568" s="23">
        <f t="shared" si="35"/>
        <v>0.68349372597090519</v>
      </c>
    </row>
    <row r="569" spans="1:15" x14ac:dyDescent="0.25">
      <c r="A569" s="14" t="s">
        <v>6306</v>
      </c>
      <c r="B569" s="14" t="s">
        <v>1137</v>
      </c>
      <c r="C569" s="15" t="s">
        <v>1138</v>
      </c>
      <c r="D569" s="16">
        <v>9.9179999999999997E-3</v>
      </c>
      <c r="E569" s="17">
        <v>9.8360000000000003</v>
      </c>
      <c r="F569" s="17">
        <v>9.2509999999999994</v>
      </c>
      <c r="G569" s="18">
        <v>0.58509999999999995</v>
      </c>
      <c r="H569" s="19">
        <v>0.1575</v>
      </c>
      <c r="I569" s="18">
        <v>3.714</v>
      </c>
      <c r="J569" s="20">
        <v>6</v>
      </c>
      <c r="K569" s="19">
        <v>4.8300000000000003E-2</v>
      </c>
      <c r="L569" s="21">
        <f t="shared" si="32"/>
        <v>1.3160528692484876</v>
      </c>
      <c r="M569" s="21">
        <f t="shared" si="33"/>
        <v>0.58500000000000019</v>
      </c>
      <c r="N569" s="22">
        <f t="shared" si="34"/>
        <v>2.0035758960449086</v>
      </c>
      <c r="O569" s="23">
        <f t="shared" si="35"/>
        <v>1.5000389892858184</v>
      </c>
    </row>
    <row r="570" spans="1:15" x14ac:dyDescent="0.25">
      <c r="A570" s="14" t="s">
        <v>6307</v>
      </c>
      <c r="B570" s="14" t="s">
        <v>1141</v>
      </c>
      <c r="C570" s="15" t="s">
        <v>1142</v>
      </c>
      <c r="D570" s="16">
        <v>9.9520000000000008E-3</v>
      </c>
      <c r="E570" s="17">
        <v>10.5</v>
      </c>
      <c r="F570" s="17">
        <v>10.24</v>
      </c>
      <c r="G570" s="18">
        <v>0.26219999999999999</v>
      </c>
      <c r="H570" s="19">
        <v>7.0639999999999994E-2</v>
      </c>
      <c r="I570" s="18">
        <v>3.7109999999999999</v>
      </c>
      <c r="J570" s="20">
        <v>6</v>
      </c>
      <c r="K570" s="19">
        <v>4.8314999999999997E-2</v>
      </c>
      <c r="L570" s="21">
        <f t="shared" si="32"/>
        <v>1.3159180161246273</v>
      </c>
      <c r="M570" s="21">
        <f t="shared" si="33"/>
        <v>0.2599999999999999</v>
      </c>
      <c r="N570" s="22">
        <f t="shared" si="34"/>
        <v>2.0020896326532562</v>
      </c>
      <c r="O570" s="23">
        <f t="shared" si="35"/>
        <v>1.1974787046189286</v>
      </c>
    </row>
    <row r="571" spans="1:15" x14ac:dyDescent="0.25">
      <c r="A571" s="14" t="s">
        <v>6308</v>
      </c>
      <c r="B571" s="14" t="s">
        <v>1143</v>
      </c>
      <c r="C571" s="15" t="s">
        <v>1144</v>
      </c>
      <c r="D571" s="16">
        <v>1.0083E-2</v>
      </c>
      <c r="E571" s="17">
        <v>12.05</v>
      </c>
      <c r="F571" s="17">
        <v>12.31</v>
      </c>
      <c r="G571" s="18">
        <v>-0.26779999999999998</v>
      </c>
      <c r="H571" s="19">
        <v>7.238E-2</v>
      </c>
      <c r="I571" s="18">
        <v>3.7</v>
      </c>
      <c r="J571" s="20">
        <v>6</v>
      </c>
      <c r="K571" s="19">
        <v>4.8866E-2</v>
      </c>
      <c r="L571" s="21">
        <f t="shared" si="32"/>
        <v>1.3109932093455816</v>
      </c>
      <c r="M571" s="21">
        <f t="shared" si="33"/>
        <v>-0.25999999999999984</v>
      </c>
      <c r="N571" s="22">
        <f t="shared" si="34"/>
        <v>1.9964102328108602</v>
      </c>
      <c r="O571" s="23">
        <f t="shared" si="35"/>
        <v>0.83508791942836946</v>
      </c>
    </row>
    <row r="572" spans="1:15" x14ac:dyDescent="0.25">
      <c r="A572" s="14" t="s">
        <v>6309</v>
      </c>
      <c r="B572" s="14" t="s">
        <v>1145</v>
      </c>
      <c r="C572" s="15" t="s">
        <v>1146</v>
      </c>
      <c r="D572" s="16">
        <v>1.0123E-2</v>
      </c>
      <c r="E572" s="17">
        <v>10.77</v>
      </c>
      <c r="F572" s="17">
        <v>10.24</v>
      </c>
      <c r="G572" s="18">
        <v>0.53580000000000005</v>
      </c>
      <c r="H572" s="19">
        <v>0.1449</v>
      </c>
      <c r="I572" s="18">
        <v>3.6970000000000001</v>
      </c>
      <c r="J572" s="20">
        <v>6</v>
      </c>
      <c r="K572" s="19">
        <v>4.8972000000000002E-2</v>
      </c>
      <c r="L572" s="21">
        <f t="shared" si="32"/>
        <v>1.3100521591791041</v>
      </c>
      <c r="M572" s="21">
        <f t="shared" si="33"/>
        <v>0.52999999999999881</v>
      </c>
      <c r="N572" s="22">
        <f t="shared" si="34"/>
        <v>1.9946907631514832</v>
      </c>
      <c r="O572" s="23">
        <f t="shared" si="35"/>
        <v>1.4439291955224949</v>
      </c>
    </row>
    <row r="573" spans="1:15" x14ac:dyDescent="0.25">
      <c r="A573" s="14" t="s">
        <v>6310</v>
      </c>
      <c r="B573" s="14" t="s">
        <v>1147</v>
      </c>
      <c r="C573" s="15" t="s">
        <v>1148</v>
      </c>
      <c r="D573" s="16">
        <v>1.0204E-2</v>
      </c>
      <c r="E573" s="17">
        <v>8.4510000000000005</v>
      </c>
      <c r="F573" s="17">
        <v>8.6850000000000005</v>
      </c>
      <c r="G573" s="18">
        <v>-0.23369999999999999</v>
      </c>
      <c r="H573" s="19">
        <v>6.3320000000000001E-2</v>
      </c>
      <c r="I573" s="18">
        <v>3.69</v>
      </c>
      <c r="J573" s="20">
        <v>6</v>
      </c>
      <c r="K573" s="19">
        <v>4.9276E-2</v>
      </c>
      <c r="L573" s="21">
        <f t="shared" si="32"/>
        <v>1.3073645534498357</v>
      </c>
      <c r="M573" s="21">
        <f t="shared" si="33"/>
        <v>-0.23399999999999915</v>
      </c>
      <c r="N573" s="22">
        <f t="shared" si="34"/>
        <v>1.9912295500622472</v>
      </c>
      <c r="O573" s="23">
        <f t="shared" si="35"/>
        <v>0.85027416006419632</v>
      </c>
    </row>
    <row r="574" spans="1:15" x14ac:dyDescent="0.25">
      <c r="A574" s="14" t="s">
        <v>6311</v>
      </c>
      <c r="B574" s="14" t="s">
        <v>1149</v>
      </c>
      <c r="C574" s="15" t="s">
        <v>1150</v>
      </c>
      <c r="D574" s="16">
        <v>1.0226000000000001E-2</v>
      </c>
      <c r="E574" s="17">
        <v>12.39</v>
      </c>
      <c r="F574" s="17">
        <v>12.67</v>
      </c>
      <c r="G574" s="18">
        <v>-0.2777</v>
      </c>
      <c r="H574" s="19">
        <v>7.528E-2</v>
      </c>
      <c r="I574" s="18">
        <v>3.6890000000000001</v>
      </c>
      <c r="J574" s="20">
        <v>6</v>
      </c>
      <c r="K574" s="19">
        <v>4.9297000000000001E-2</v>
      </c>
      <c r="L574" s="21">
        <f t="shared" si="32"/>
        <v>1.307179509182989</v>
      </c>
      <c r="M574" s="21">
        <f t="shared" si="33"/>
        <v>-0.28000000000000064</v>
      </c>
      <c r="N574" s="22">
        <f t="shared" si="34"/>
        <v>1.9902942116094817</v>
      </c>
      <c r="O574" s="23">
        <f t="shared" si="35"/>
        <v>0.82359101726757278</v>
      </c>
    </row>
    <row r="575" spans="1:15" x14ac:dyDescent="0.25">
      <c r="A575" s="14" t="s">
        <v>6312</v>
      </c>
      <c r="B575" s="14" t="s">
        <v>1157</v>
      </c>
      <c r="C575" s="15" t="s">
        <v>1158</v>
      </c>
      <c r="D575" s="16">
        <v>1.0359999999999999E-2</v>
      </c>
      <c r="E575" s="17">
        <v>9.9090000000000007</v>
      </c>
      <c r="F575" s="17">
        <v>9.4480000000000004</v>
      </c>
      <c r="G575" s="18">
        <v>0.46089999999999998</v>
      </c>
      <c r="H575" s="19">
        <v>0.12529999999999999</v>
      </c>
      <c r="I575" s="18">
        <v>3.6779999999999999</v>
      </c>
      <c r="J575" s="20">
        <v>6</v>
      </c>
      <c r="K575" s="19">
        <v>4.9598000000000003E-2</v>
      </c>
      <c r="L575" s="21">
        <f t="shared" si="32"/>
        <v>1.3045358357371442</v>
      </c>
      <c r="M575" s="21">
        <f t="shared" si="33"/>
        <v>0.46100000000000008</v>
      </c>
      <c r="N575" s="22">
        <f t="shared" si="34"/>
        <v>1.9846402445907858</v>
      </c>
      <c r="O575" s="23">
        <f t="shared" si="35"/>
        <v>1.3764956015906973</v>
      </c>
    </row>
    <row r="576" spans="1:15" x14ac:dyDescent="0.25">
      <c r="A576" s="14" t="s">
        <v>6313</v>
      </c>
      <c r="B576" s="14" t="s">
        <v>1151</v>
      </c>
      <c r="C576" s="15" t="s">
        <v>1152</v>
      </c>
      <c r="D576" s="16">
        <v>1.0324E-2</v>
      </c>
      <c r="E576" s="17">
        <v>12.92</v>
      </c>
      <c r="F576" s="17">
        <v>13.14</v>
      </c>
      <c r="G576" s="18">
        <v>-0.22259999999999999</v>
      </c>
      <c r="H576" s="19">
        <v>6.0479999999999999E-2</v>
      </c>
      <c r="I576" s="18">
        <v>3.681</v>
      </c>
      <c r="J576" s="20">
        <v>6</v>
      </c>
      <c r="K576" s="19">
        <v>4.9598000000000003E-2</v>
      </c>
      <c r="L576" s="21">
        <f t="shared" si="32"/>
        <v>1.3045358357371442</v>
      </c>
      <c r="M576" s="21">
        <f t="shared" si="33"/>
        <v>-0.22000000000000081</v>
      </c>
      <c r="N576" s="22">
        <f t="shared" si="34"/>
        <v>1.9861520041281684</v>
      </c>
      <c r="O576" s="23">
        <f t="shared" si="35"/>
        <v>0.85856543643775329</v>
      </c>
    </row>
    <row r="577" spans="1:15" x14ac:dyDescent="0.25">
      <c r="A577" s="14" t="s">
        <v>6314</v>
      </c>
      <c r="B577" s="14" t="s">
        <v>1153</v>
      </c>
      <c r="C577" s="15" t="s">
        <v>1154</v>
      </c>
      <c r="D577" s="16">
        <v>1.0328E-2</v>
      </c>
      <c r="E577" s="17">
        <v>10.98</v>
      </c>
      <c r="F577" s="17">
        <v>10.58</v>
      </c>
      <c r="G577" s="18">
        <v>0.39369999999999999</v>
      </c>
      <c r="H577" s="19">
        <v>0.107</v>
      </c>
      <c r="I577" s="18">
        <v>3.68</v>
      </c>
      <c r="J577" s="20">
        <v>6</v>
      </c>
      <c r="K577" s="19">
        <v>4.9598000000000003E-2</v>
      </c>
      <c r="L577" s="21">
        <f t="shared" si="32"/>
        <v>1.3045358357371442</v>
      </c>
      <c r="M577" s="21">
        <f t="shared" si="33"/>
        <v>0.40000000000000141</v>
      </c>
      <c r="N577" s="22">
        <f t="shared" si="34"/>
        <v>1.9859837707416359</v>
      </c>
      <c r="O577" s="23">
        <f t="shared" si="35"/>
        <v>1.3195079107728955</v>
      </c>
    </row>
    <row r="578" spans="1:15" x14ac:dyDescent="0.25">
      <c r="A578" s="14" t="s">
        <v>6315</v>
      </c>
      <c r="B578" s="14" t="s">
        <v>1155</v>
      </c>
      <c r="C578" s="15" t="s">
        <v>1156</v>
      </c>
      <c r="D578" s="16">
        <v>1.0349000000000001E-2</v>
      </c>
      <c r="E578" s="17">
        <v>10.74</v>
      </c>
      <c r="F578" s="17">
        <v>11.14</v>
      </c>
      <c r="G578" s="18">
        <v>-0.4017</v>
      </c>
      <c r="H578" s="19">
        <v>0.10920000000000001</v>
      </c>
      <c r="I578" s="18">
        <v>3.6789999999999998</v>
      </c>
      <c r="J578" s="20">
        <v>6</v>
      </c>
      <c r="K578" s="19">
        <v>4.9598000000000003E-2</v>
      </c>
      <c r="L578" s="21">
        <f t="shared" ref="L578:L641" si="36">-LOG(K578,10)</f>
        <v>1.3045358357371442</v>
      </c>
      <c r="M578" s="21">
        <f t="shared" ref="M578:M641" si="37">LOG(O578,2)</f>
        <v>-0.40000000000000008</v>
      </c>
      <c r="N578" s="22">
        <f t="shared" ref="N578:N641" si="38">-LOG(D578,10)</f>
        <v>1.9851016130537942</v>
      </c>
      <c r="O578" s="23">
        <f t="shared" ref="O578:O641" si="39">((2^E578)/(2^F578))</f>
        <v>0.75785828325519899</v>
      </c>
    </row>
    <row r="579" spans="1:15" x14ac:dyDescent="0.25">
      <c r="A579" s="14" t="s">
        <v>6316</v>
      </c>
      <c r="B579" s="14" t="s">
        <v>1159</v>
      </c>
      <c r="C579" s="15" t="s">
        <v>1160</v>
      </c>
      <c r="D579" s="16">
        <v>1.0383999999999999E-2</v>
      </c>
      <c r="E579" s="17">
        <v>8.9149999999999991</v>
      </c>
      <c r="F579" s="17">
        <v>9.1530000000000005</v>
      </c>
      <c r="G579" s="18">
        <v>-0.2374</v>
      </c>
      <c r="H579" s="19">
        <v>6.4579999999999999E-2</v>
      </c>
      <c r="I579" s="18">
        <v>3.6760000000000002</v>
      </c>
      <c r="J579" s="20">
        <v>6</v>
      </c>
      <c r="K579" s="19">
        <v>4.9625000000000002E-2</v>
      </c>
      <c r="L579" s="21">
        <f t="shared" si="36"/>
        <v>1.3042994802288284</v>
      </c>
      <c r="M579" s="21">
        <f t="shared" si="37"/>
        <v>-0.23800000000000177</v>
      </c>
      <c r="N579" s="22">
        <f t="shared" si="38"/>
        <v>1.9836353205437056</v>
      </c>
      <c r="O579" s="23">
        <f t="shared" si="39"/>
        <v>0.84791996463314678</v>
      </c>
    </row>
    <row r="580" spans="1:15" x14ac:dyDescent="0.25">
      <c r="A580" s="14" t="s">
        <v>6317</v>
      </c>
      <c r="B580" s="14" t="s">
        <v>1161</v>
      </c>
      <c r="C580" s="15" t="s">
        <v>1162</v>
      </c>
      <c r="D580" s="16">
        <v>1.0437999999999999E-2</v>
      </c>
      <c r="E580" s="17">
        <v>10.5</v>
      </c>
      <c r="F580" s="17">
        <v>10.210000000000001</v>
      </c>
      <c r="G580" s="18">
        <v>0.29210000000000003</v>
      </c>
      <c r="H580" s="19">
        <v>7.9570000000000002E-2</v>
      </c>
      <c r="I580" s="18">
        <v>3.6709999999999998</v>
      </c>
      <c r="J580" s="20">
        <v>6</v>
      </c>
      <c r="K580" s="19">
        <v>4.9750000000000003E-2</v>
      </c>
      <c r="L580" s="21">
        <f t="shared" si="36"/>
        <v>1.3032069149182557</v>
      </c>
      <c r="M580" s="21">
        <f t="shared" si="37"/>
        <v>0.28999999999999965</v>
      </c>
      <c r="N580" s="22">
        <f t="shared" si="38"/>
        <v>1.9813827074805581</v>
      </c>
      <c r="O580" s="23">
        <f t="shared" si="39"/>
        <v>1.2226402776920682</v>
      </c>
    </row>
    <row r="581" spans="1:15" x14ac:dyDescent="0.25">
      <c r="A581" s="14" t="s">
        <v>6318</v>
      </c>
      <c r="B581" s="14" t="s">
        <v>1163</v>
      </c>
      <c r="C581" s="15" t="s">
        <v>1164</v>
      </c>
      <c r="D581" s="16">
        <v>1.0446E-2</v>
      </c>
      <c r="E581" s="17">
        <v>11.01</v>
      </c>
      <c r="F581" s="17">
        <v>11.33</v>
      </c>
      <c r="G581" s="18">
        <v>-0.31940000000000002</v>
      </c>
      <c r="H581" s="19">
        <v>8.702E-2</v>
      </c>
      <c r="I581" s="18">
        <v>3.6709999999999998</v>
      </c>
      <c r="J581" s="20">
        <v>6</v>
      </c>
      <c r="K581" s="19">
        <v>4.9750000000000003E-2</v>
      </c>
      <c r="L581" s="21">
        <f t="shared" si="36"/>
        <v>1.3032069149182557</v>
      </c>
      <c r="M581" s="21">
        <f t="shared" si="37"/>
        <v>-0.32000000000000095</v>
      </c>
      <c r="N581" s="22">
        <f t="shared" si="38"/>
        <v>1.981049978499025</v>
      </c>
      <c r="O581" s="23">
        <f t="shared" si="39"/>
        <v>0.80106987758962156</v>
      </c>
    </row>
    <row r="582" spans="1:15" x14ac:dyDescent="0.25">
      <c r="A582" s="14" t="s">
        <v>6319</v>
      </c>
      <c r="B582" s="14" t="s">
        <v>1165</v>
      </c>
      <c r="C582" s="15" t="s">
        <v>1166</v>
      </c>
      <c r="D582" s="16">
        <v>1.051E-2</v>
      </c>
      <c r="E582" s="17">
        <v>8.5410000000000004</v>
      </c>
      <c r="F582" s="17">
        <v>7.9969999999999999</v>
      </c>
      <c r="G582" s="18">
        <v>0.54420000000000002</v>
      </c>
      <c r="H582" s="19">
        <v>0.14849999999999999</v>
      </c>
      <c r="I582" s="18">
        <v>3.6659999999999999</v>
      </c>
      <c r="J582" s="20">
        <v>6</v>
      </c>
      <c r="K582" s="19">
        <v>4.9971000000000002E-2</v>
      </c>
      <c r="L582" s="21">
        <f t="shared" si="36"/>
        <v>1.3012819595400744</v>
      </c>
      <c r="M582" s="21">
        <f t="shared" si="37"/>
        <v>0.54400000000000082</v>
      </c>
      <c r="N582" s="22">
        <f t="shared" si="38"/>
        <v>1.9783972839717576</v>
      </c>
      <c r="O582" s="23">
        <f t="shared" si="39"/>
        <v>1.4580093788165798</v>
      </c>
    </row>
    <row r="583" spans="1:15" x14ac:dyDescent="0.25">
      <c r="A583" t="s">
        <v>6320</v>
      </c>
      <c r="B583" t="s">
        <v>1167</v>
      </c>
      <c r="C583" s="3" t="s">
        <v>1168</v>
      </c>
      <c r="D583" s="24">
        <v>1.0592000000000001E-2</v>
      </c>
      <c r="E583" s="25">
        <v>8.8140000000000001</v>
      </c>
      <c r="F583" s="25">
        <v>9.6660000000000004</v>
      </c>
      <c r="G583" s="26">
        <v>-0.85260000000000002</v>
      </c>
      <c r="H583" s="27">
        <v>0.23300000000000001</v>
      </c>
      <c r="I583" s="26">
        <v>3.6589999999999998</v>
      </c>
      <c r="J583" s="28">
        <v>6</v>
      </c>
      <c r="K583" s="27">
        <v>5.0273999999999999E-2</v>
      </c>
      <c r="L583" s="29">
        <f t="shared" si="36"/>
        <v>1.2986565591956889</v>
      </c>
      <c r="M583" s="29">
        <f t="shared" si="37"/>
        <v>-0.85200000000000053</v>
      </c>
      <c r="N583" s="30">
        <f t="shared" si="38"/>
        <v>1.9750220279043751</v>
      </c>
      <c r="O583" s="31">
        <f t="shared" si="39"/>
        <v>0.55401617393246283</v>
      </c>
    </row>
    <row r="584" spans="1:15" x14ac:dyDescent="0.25">
      <c r="A584" t="s">
        <v>6321</v>
      </c>
      <c r="B584" t="s">
        <v>1169</v>
      </c>
      <c r="C584" s="3" t="s">
        <v>1170</v>
      </c>
      <c r="D584" s="24">
        <v>1.0614999999999999E-2</v>
      </c>
      <c r="E584" s="25">
        <v>9.1029999999999998</v>
      </c>
      <c r="F584" s="25">
        <v>8.407</v>
      </c>
      <c r="G584" s="26">
        <v>0.69599999999999995</v>
      </c>
      <c r="H584" s="27">
        <v>0.1903</v>
      </c>
      <c r="I584" s="26">
        <v>3.657</v>
      </c>
      <c r="J584" s="28">
        <v>6</v>
      </c>
      <c r="K584" s="27">
        <v>5.0296E-2</v>
      </c>
      <c r="L584" s="29">
        <f t="shared" si="36"/>
        <v>1.2984665526578689</v>
      </c>
      <c r="M584" s="29">
        <f t="shared" si="37"/>
        <v>0.69599999999999973</v>
      </c>
      <c r="N584" s="30">
        <f t="shared" si="38"/>
        <v>1.9740800014979822</v>
      </c>
      <c r="O584" s="31">
        <f t="shared" si="39"/>
        <v>1.6200069472640914</v>
      </c>
    </row>
    <row r="585" spans="1:15" x14ac:dyDescent="0.25">
      <c r="A585" t="s">
        <v>6322</v>
      </c>
      <c r="B585" t="s">
        <v>1177</v>
      </c>
      <c r="C585" s="3" t="s">
        <v>1178</v>
      </c>
      <c r="D585" s="24">
        <v>1.0848999999999999E-2</v>
      </c>
      <c r="E585" s="25">
        <v>11.62</v>
      </c>
      <c r="F585" s="25">
        <v>11.81</v>
      </c>
      <c r="G585" s="26">
        <v>-0.18970000000000001</v>
      </c>
      <c r="H585" s="27">
        <v>5.2139999999999999E-2</v>
      </c>
      <c r="I585" s="26">
        <v>3.6389999999999998</v>
      </c>
      <c r="J585" s="28">
        <v>6</v>
      </c>
      <c r="K585" s="27">
        <v>5.1053000000000001E-2</v>
      </c>
      <c r="L585" s="29">
        <f t="shared" si="36"/>
        <v>1.2919787326140024</v>
      </c>
      <c r="M585" s="29">
        <f t="shared" si="37"/>
        <v>-0.19000000000000092</v>
      </c>
      <c r="N585" s="30">
        <f t="shared" si="38"/>
        <v>1.964610290801323</v>
      </c>
      <c r="O585" s="31">
        <f t="shared" si="39"/>
        <v>0.87660572131603454</v>
      </c>
    </row>
    <row r="586" spans="1:15" x14ac:dyDescent="0.25">
      <c r="A586" t="s">
        <v>6323</v>
      </c>
      <c r="B586" t="s">
        <v>1171</v>
      </c>
      <c r="C586" s="3" t="s">
        <v>1172</v>
      </c>
      <c r="D586" s="24">
        <v>1.0825E-2</v>
      </c>
      <c r="E586" s="25">
        <v>10.34</v>
      </c>
      <c r="F586" s="25">
        <v>9.7089999999999996</v>
      </c>
      <c r="G586" s="26">
        <v>0.63549999999999995</v>
      </c>
      <c r="H586" s="27">
        <v>0.17460000000000001</v>
      </c>
      <c r="I586" s="26">
        <v>3.641</v>
      </c>
      <c r="J586" s="28">
        <v>6</v>
      </c>
      <c r="K586" s="27">
        <v>5.1053000000000001E-2</v>
      </c>
      <c r="L586" s="29">
        <f t="shared" si="36"/>
        <v>1.2919787326140024</v>
      </c>
      <c r="M586" s="29">
        <f t="shared" si="37"/>
        <v>0.63099999999999912</v>
      </c>
      <c r="N586" s="30">
        <f t="shared" si="38"/>
        <v>1.965572094974597</v>
      </c>
      <c r="O586" s="31">
        <f t="shared" si="39"/>
        <v>1.5486380557064399</v>
      </c>
    </row>
    <row r="587" spans="1:15" x14ac:dyDescent="0.25">
      <c r="A587" t="s">
        <v>6324</v>
      </c>
      <c r="B587" t="s">
        <v>1173</v>
      </c>
      <c r="C587" s="3" t="s">
        <v>1174</v>
      </c>
      <c r="D587" s="24">
        <v>1.0829999999999999E-2</v>
      </c>
      <c r="E587" s="25">
        <v>9.7829999999999995</v>
      </c>
      <c r="F587" s="25">
        <v>9.4039999999999999</v>
      </c>
      <c r="G587" s="26">
        <v>0.37840000000000001</v>
      </c>
      <c r="H587" s="27">
        <v>0.10390000000000001</v>
      </c>
      <c r="I587" s="26">
        <v>3.64</v>
      </c>
      <c r="J587" s="28">
        <v>6</v>
      </c>
      <c r="K587" s="27">
        <v>5.1053000000000001E-2</v>
      </c>
      <c r="L587" s="29">
        <f t="shared" si="36"/>
        <v>1.2919787326140024</v>
      </c>
      <c r="M587" s="29">
        <f t="shared" si="37"/>
        <v>0.37900000000000023</v>
      </c>
      <c r="N587" s="30">
        <f t="shared" si="38"/>
        <v>1.9653715433746797</v>
      </c>
      <c r="O587" s="31">
        <f t="shared" si="39"/>
        <v>1.3004401465484805</v>
      </c>
    </row>
    <row r="588" spans="1:15" x14ac:dyDescent="0.25">
      <c r="A588" t="s">
        <v>6325</v>
      </c>
      <c r="B588" t="s">
        <v>1175</v>
      </c>
      <c r="C588" s="3" t="s">
        <v>1176</v>
      </c>
      <c r="D588" s="24">
        <v>1.0836999999999999E-2</v>
      </c>
      <c r="E588" s="25">
        <v>12.58</v>
      </c>
      <c r="F588" s="25">
        <v>12.87</v>
      </c>
      <c r="G588" s="26">
        <v>-0.28749999999999998</v>
      </c>
      <c r="H588" s="27">
        <v>7.8990000000000005E-2</v>
      </c>
      <c r="I588" s="26">
        <v>3.64</v>
      </c>
      <c r="J588" s="28">
        <v>6</v>
      </c>
      <c r="K588" s="27">
        <v>5.1053000000000001E-2</v>
      </c>
      <c r="L588" s="29">
        <f t="shared" si="36"/>
        <v>1.2919787326140024</v>
      </c>
      <c r="M588" s="29">
        <f t="shared" si="37"/>
        <v>-0.28999999999999732</v>
      </c>
      <c r="N588" s="30">
        <f t="shared" si="38"/>
        <v>1.9650909266322516</v>
      </c>
      <c r="O588" s="31">
        <f t="shared" si="39"/>
        <v>0.81790205855778264</v>
      </c>
    </row>
    <row r="589" spans="1:15" x14ac:dyDescent="0.25">
      <c r="A589" t="s">
        <v>6326</v>
      </c>
      <c r="B589" t="s">
        <v>1179</v>
      </c>
      <c r="C589" s="3" t="s">
        <v>1180</v>
      </c>
      <c r="D589" s="24">
        <v>1.0919E-2</v>
      </c>
      <c r="E589" s="25">
        <v>11.14</v>
      </c>
      <c r="F589" s="25">
        <v>11.84</v>
      </c>
      <c r="G589" s="26">
        <v>-0.70220000000000005</v>
      </c>
      <c r="H589" s="27">
        <v>0.1933</v>
      </c>
      <c r="I589" s="26">
        <v>3.6339999999999999</v>
      </c>
      <c r="J589" s="28">
        <v>6</v>
      </c>
      <c r="K589" s="27">
        <v>5.1191E-2</v>
      </c>
      <c r="L589" s="29">
        <f t="shared" si="36"/>
        <v>1.2908063865614956</v>
      </c>
      <c r="M589" s="29">
        <f t="shared" si="37"/>
        <v>-0.70000000000000007</v>
      </c>
      <c r="N589" s="30">
        <f t="shared" si="38"/>
        <v>1.9618171340093398</v>
      </c>
      <c r="O589" s="31">
        <f t="shared" si="39"/>
        <v>0.61557220667245816</v>
      </c>
    </row>
    <row r="590" spans="1:15" x14ac:dyDescent="0.25">
      <c r="A590" t="s">
        <v>6327</v>
      </c>
      <c r="B590" t="s">
        <v>1181</v>
      </c>
      <c r="C590" s="3" t="s">
        <v>1182</v>
      </c>
      <c r="D590" s="24">
        <v>1.0919999999999999E-2</v>
      </c>
      <c r="E590" s="25">
        <v>9.3019999999999996</v>
      </c>
      <c r="F590" s="25">
        <v>8.1039999999999992</v>
      </c>
      <c r="G590" s="26">
        <v>1.198</v>
      </c>
      <c r="H590" s="27">
        <v>0.32969999999999999</v>
      </c>
      <c r="I590" s="26">
        <v>3.633</v>
      </c>
      <c r="J590" s="28">
        <v>6</v>
      </c>
      <c r="K590" s="27">
        <v>5.1191E-2</v>
      </c>
      <c r="L590" s="29">
        <f t="shared" si="36"/>
        <v>1.2908063865614956</v>
      </c>
      <c r="M590" s="29">
        <f t="shared" si="37"/>
        <v>1.1980000000000004</v>
      </c>
      <c r="N590" s="30">
        <f t="shared" si="38"/>
        <v>1.9617773616312815</v>
      </c>
      <c r="O590" s="31">
        <f t="shared" si="39"/>
        <v>2.2942140484523312</v>
      </c>
    </row>
    <row r="591" spans="1:15" x14ac:dyDescent="0.25">
      <c r="A591" t="s">
        <v>6328</v>
      </c>
      <c r="B591" t="s">
        <v>1183</v>
      </c>
      <c r="C591" s="3" t="s">
        <v>1184</v>
      </c>
      <c r="D591" s="24">
        <v>1.0933999999999999E-2</v>
      </c>
      <c r="E591" s="25">
        <v>8.7739999999999991</v>
      </c>
      <c r="F591" s="25">
        <v>7.6230000000000002</v>
      </c>
      <c r="G591" s="26">
        <v>1.1519999999999999</v>
      </c>
      <c r="H591" s="27">
        <v>0.317</v>
      </c>
      <c r="I591" s="26">
        <v>3.6320000000000001</v>
      </c>
      <c r="J591" s="28">
        <v>6</v>
      </c>
      <c r="K591" s="27">
        <v>5.1191E-2</v>
      </c>
      <c r="L591" s="29">
        <f t="shared" si="36"/>
        <v>1.2908063865614956</v>
      </c>
      <c r="M591" s="29">
        <f t="shared" si="37"/>
        <v>1.1509999999999985</v>
      </c>
      <c r="N591" s="30">
        <f t="shared" si="38"/>
        <v>1.9612209304444614</v>
      </c>
      <c r="O591" s="31">
        <f t="shared" si="39"/>
        <v>2.2206776672572759</v>
      </c>
    </row>
    <row r="592" spans="1:15" x14ac:dyDescent="0.25">
      <c r="A592" t="s">
        <v>6329</v>
      </c>
      <c r="B592" t="s">
        <v>1185</v>
      </c>
      <c r="C592" s="3" t="s">
        <v>1186</v>
      </c>
      <c r="D592" s="24">
        <v>1.0976E-2</v>
      </c>
      <c r="E592" s="25">
        <v>8.2170000000000005</v>
      </c>
      <c r="F592" s="25">
        <v>7.7229999999999999</v>
      </c>
      <c r="G592" s="26">
        <v>0.49430000000000002</v>
      </c>
      <c r="H592" s="27">
        <v>0.13619999999999999</v>
      </c>
      <c r="I592" s="26">
        <v>3.629</v>
      </c>
      <c r="J592" s="28">
        <v>6</v>
      </c>
      <c r="K592" s="27">
        <v>5.1299999999999998E-2</v>
      </c>
      <c r="L592" s="29">
        <f t="shared" si="36"/>
        <v>1.2898826348881836</v>
      </c>
      <c r="M592" s="29">
        <f t="shared" si="37"/>
        <v>0.49400000000000138</v>
      </c>
      <c r="N592" s="30">
        <f t="shared" si="38"/>
        <v>1.9595559016373236</v>
      </c>
      <c r="O592" s="31">
        <f t="shared" si="39"/>
        <v>1.4083442269120821</v>
      </c>
    </row>
    <row r="593" spans="1:15" x14ac:dyDescent="0.25">
      <c r="A593" t="s">
        <v>6330</v>
      </c>
      <c r="B593" t="s">
        <v>1187</v>
      </c>
      <c r="C593" s="3" t="s">
        <v>1188</v>
      </c>
      <c r="D593" s="24">
        <v>1.0996000000000001E-2</v>
      </c>
      <c r="E593" s="25">
        <v>8.6579999999999995</v>
      </c>
      <c r="F593" s="25">
        <v>8.2040000000000006</v>
      </c>
      <c r="G593" s="26">
        <v>0.45400000000000001</v>
      </c>
      <c r="H593" s="27">
        <v>0.12520000000000001</v>
      </c>
      <c r="I593" s="26">
        <v>3.6280000000000001</v>
      </c>
      <c r="J593" s="28">
        <v>6</v>
      </c>
      <c r="K593" s="27">
        <v>5.1306999999999998E-2</v>
      </c>
      <c r="L593" s="29">
        <f t="shared" si="36"/>
        <v>1.2898233784753066</v>
      </c>
      <c r="M593" s="29">
        <f t="shared" si="37"/>
        <v>0.45399999999999857</v>
      </c>
      <c r="N593" s="30">
        <f t="shared" si="38"/>
        <v>1.9587652688285688</v>
      </c>
      <c r="O593" s="31">
        <f t="shared" si="39"/>
        <v>1.3698329799655644</v>
      </c>
    </row>
    <row r="594" spans="1:15" x14ac:dyDescent="0.25">
      <c r="A594" t="s">
        <v>6331</v>
      </c>
      <c r="B594" t="s">
        <v>1189</v>
      </c>
      <c r="C594" s="3" t="s">
        <v>1190</v>
      </c>
      <c r="D594" s="24">
        <v>1.1075E-2</v>
      </c>
      <c r="E594" s="25">
        <v>9.5250000000000004</v>
      </c>
      <c r="F594" s="25">
        <v>9.1530000000000005</v>
      </c>
      <c r="G594" s="26">
        <v>0.37130000000000002</v>
      </c>
      <c r="H594" s="27">
        <v>0.10249999999999999</v>
      </c>
      <c r="I594" s="26">
        <v>3.6219999999999999</v>
      </c>
      <c r="J594" s="28">
        <v>6</v>
      </c>
      <c r="K594" s="27">
        <v>5.1507999999999998E-2</v>
      </c>
      <c r="L594" s="29">
        <f t="shared" si="36"/>
        <v>1.2881253129776384</v>
      </c>
      <c r="M594" s="29">
        <f t="shared" si="37"/>
        <v>0.37199999999999989</v>
      </c>
      <c r="N594" s="30">
        <f t="shared" si="38"/>
        <v>1.9556562651048928</v>
      </c>
      <c r="O594" s="31">
        <f t="shared" si="39"/>
        <v>1.2941456544828533</v>
      </c>
    </row>
    <row r="595" spans="1:15" x14ac:dyDescent="0.25">
      <c r="A595" t="s">
        <v>6332</v>
      </c>
      <c r="B595" t="s">
        <v>1191</v>
      </c>
      <c r="C595" s="3" t="s">
        <v>1192</v>
      </c>
      <c r="D595" s="24">
        <v>1.1076000000000001E-2</v>
      </c>
      <c r="E595" s="25">
        <v>7.9989999999999997</v>
      </c>
      <c r="F595" s="25">
        <v>7.3739999999999997</v>
      </c>
      <c r="G595" s="26">
        <v>0.62470000000000003</v>
      </c>
      <c r="H595" s="27">
        <v>0.17249999999999999</v>
      </c>
      <c r="I595" s="26">
        <v>3.6219999999999999</v>
      </c>
      <c r="J595" s="28">
        <v>6</v>
      </c>
      <c r="K595" s="27">
        <v>5.1507999999999998E-2</v>
      </c>
      <c r="L595" s="29">
        <f t="shared" si="36"/>
        <v>1.2881253129776384</v>
      </c>
      <c r="M595" s="29">
        <f t="shared" si="37"/>
        <v>0.62500000000000056</v>
      </c>
      <c r="N595" s="30">
        <f t="shared" si="38"/>
        <v>1.9556170529264632</v>
      </c>
      <c r="O595" s="31">
        <f t="shared" si="39"/>
        <v>1.5422108254079414</v>
      </c>
    </row>
    <row r="596" spans="1:15" x14ac:dyDescent="0.25">
      <c r="A596" t="s">
        <v>6333</v>
      </c>
      <c r="B596" t="s">
        <v>1193</v>
      </c>
      <c r="C596" s="3" t="s">
        <v>1194</v>
      </c>
      <c r="D596" s="24">
        <v>1.1102000000000001E-2</v>
      </c>
      <c r="E596" s="25">
        <v>9.9060000000000006</v>
      </c>
      <c r="F596" s="25">
        <v>9.6189999999999998</v>
      </c>
      <c r="G596" s="26">
        <v>0.28739999999999999</v>
      </c>
      <c r="H596" s="27">
        <v>7.9409999999999994E-2</v>
      </c>
      <c r="I596" s="26">
        <v>3.62</v>
      </c>
      <c r="J596" s="28">
        <v>6</v>
      </c>
      <c r="K596" s="27">
        <v>5.1542999999999999E-2</v>
      </c>
      <c r="L596" s="29">
        <f t="shared" si="36"/>
        <v>1.2878303074473458</v>
      </c>
      <c r="M596" s="29">
        <f t="shared" si="37"/>
        <v>0.28700000000000114</v>
      </c>
      <c r="N596" s="30">
        <f t="shared" si="38"/>
        <v>1.9545987770041577</v>
      </c>
      <c r="O596" s="31">
        <f t="shared" si="39"/>
        <v>1.2201005102722242</v>
      </c>
    </row>
    <row r="597" spans="1:15" x14ac:dyDescent="0.25">
      <c r="A597" t="s">
        <v>6334</v>
      </c>
      <c r="B597" t="s">
        <v>1197</v>
      </c>
      <c r="C597" s="3" t="s">
        <v>1198</v>
      </c>
      <c r="D597" s="24">
        <v>1.1191E-2</v>
      </c>
      <c r="E597" s="25">
        <v>12.25</v>
      </c>
      <c r="F597" s="25">
        <v>12.55</v>
      </c>
      <c r="G597" s="26">
        <v>-0.2994</v>
      </c>
      <c r="H597" s="27">
        <v>8.2869999999999999E-2</v>
      </c>
      <c r="I597" s="26">
        <v>3.613</v>
      </c>
      <c r="J597" s="28">
        <v>6</v>
      </c>
      <c r="K597" s="27">
        <v>5.1782000000000002E-2</v>
      </c>
      <c r="L597" s="29">
        <f t="shared" si="36"/>
        <v>1.2858211796217021</v>
      </c>
      <c r="M597" s="29">
        <f t="shared" si="37"/>
        <v>-0.30000000000000127</v>
      </c>
      <c r="N597" s="30">
        <f t="shared" si="38"/>
        <v>1.9511311042600692</v>
      </c>
      <c r="O597" s="31">
        <f t="shared" si="39"/>
        <v>0.81225239635623481</v>
      </c>
    </row>
    <row r="598" spans="1:15" x14ac:dyDescent="0.25">
      <c r="A598" t="s">
        <v>6335</v>
      </c>
      <c r="B598" t="s">
        <v>1195</v>
      </c>
      <c r="C598" s="3" t="s">
        <v>1196</v>
      </c>
      <c r="D598" s="24">
        <v>1.119E-2</v>
      </c>
      <c r="E598" s="25">
        <v>13.05</v>
      </c>
      <c r="F598" s="25">
        <v>13.68</v>
      </c>
      <c r="G598" s="26">
        <v>-0.63400000000000001</v>
      </c>
      <c r="H598" s="27">
        <v>0.17549999999999999</v>
      </c>
      <c r="I598" s="26">
        <v>3.613</v>
      </c>
      <c r="J598" s="28">
        <v>6</v>
      </c>
      <c r="K598" s="27">
        <v>5.1782000000000002E-2</v>
      </c>
      <c r="L598" s="29">
        <f t="shared" si="36"/>
        <v>1.2858211796217021</v>
      </c>
      <c r="M598" s="29">
        <f t="shared" si="37"/>
        <v>-0.63</v>
      </c>
      <c r="N598" s="30">
        <f t="shared" si="38"/>
        <v>1.95116991347165</v>
      </c>
      <c r="O598" s="31">
        <f t="shared" si="39"/>
        <v>0.64617641531874614</v>
      </c>
    </row>
    <row r="599" spans="1:15" x14ac:dyDescent="0.25">
      <c r="A599" t="s">
        <v>6336</v>
      </c>
      <c r="B599" t="s">
        <v>1199</v>
      </c>
      <c r="C599" s="3" t="s">
        <v>1200</v>
      </c>
      <c r="D599" s="24">
        <v>1.1287E-2</v>
      </c>
      <c r="E599" s="25">
        <v>9.0090000000000003</v>
      </c>
      <c r="F599" s="25">
        <v>8.6590000000000007</v>
      </c>
      <c r="G599" s="26">
        <v>0.34989999999999999</v>
      </c>
      <c r="H599" s="27">
        <v>9.7040000000000001E-2</v>
      </c>
      <c r="I599" s="26">
        <v>3.6059999999999999</v>
      </c>
      <c r="J599" s="28">
        <v>6</v>
      </c>
      <c r="K599" s="27">
        <v>5.2069999999999998E-2</v>
      </c>
      <c r="L599" s="29">
        <f t="shared" si="36"/>
        <v>1.2834124223243075</v>
      </c>
      <c r="M599" s="29">
        <f t="shared" si="37"/>
        <v>0.34999999999999931</v>
      </c>
      <c r="N599" s="30">
        <f t="shared" si="38"/>
        <v>1.9474214749553418</v>
      </c>
      <c r="O599" s="31">
        <f t="shared" si="39"/>
        <v>1.2745606273192616</v>
      </c>
    </row>
    <row r="600" spans="1:15" x14ac:dyDescent="0.25">
      <c r="A600" t="s">
        <v>6337</v>
      </c>
      <c r="B600" t="s">
        <v>1201</v>
      </c>
      <c r="C600" s="3" t="s">
        <v>1202</v>
      </c>
      <c r="D600" s="24">
        <v>1.1291000000000001E-2</v>
      </c>
      <c r="E600" s="25">
        <v>14.44</v>
      </c>
      <c r="F600" s="25">
        <v>15.01</v>
      </c>
      <c r="G600" s="26">
        <v>-0.56569999999999998</v>
      </c>
      <c r="H600" s="27">
        <v>0.15690000000000001</v>
      </c>
      <c r="I600" s="26">
        <v>3.6059999999999999</v>
      </c>
      <c r="J600" s="28">
        <v>6</v>
      </c>
      <c r="K600" s="27">
        <v>5.2069999999999998E-2</v>
      </c>
      <c r="L600" s="29">
        <f t="shared" si="36"/>
        <v>1.2834124223243075</v>
      </c>
      <c r="M600" s="29">
        <f t="shared" si="37"/>
        <v>-0.57000000000000028</v>
      </c>
      <c r="N600" s="30">
        <f t="shared" si="38"/>
        <v>1.9472675925967815</v>
      </c>
      <c r="O600" s="31">
        <f t="shared" si="39"/>
        <v>0.673616788432845</v>
      </c>
    </row>
    <row r="601" spans="1:15" x14ac:dyDescent="0.25">
      <c r="A601" t="s">
        <v>6338</v>
      </c>
      <c r="B601" t="s">
        <v>1203</v>
      </c>
      <c r="C601" s="3" t="s">
        <v>1204</v>
      </c>
      <c r="D601" s="24">
        <v>1.1391999999999999E-2</v>
      </c>
      <c r="E601" s="25">
        <v>10.1</v>
      </c>
      <c r="F601" s="25">
        <v>10.47</v>
      </c>
      <c r="G601" s="26">
        <v>-0.37009999999999998</v>
      </c>
      <c r="H601" s="27">
        <v>0.1028</v>
      </c>
      <c r="I601" s="26">
        <v>3.5979999999999999</v>
      </c>
      <c r="J601" s="28">
        <v>6</v>
      </c>
      <c r="K601" s="27">
        <v>5.2428000000000002E-2</v>
      </c>
      <c r="L601" s="29">
        <f t="shared" si="36"/>
        <v>1.2804367092428066</v>
      </c>
      <c r="M601" s="29">
        <f t="shared" si="37"/>
        <v>-0.37000000000000133</v>
      </c>
      <c r="N601" s="30">
        <f t="shared" si="38"/>
        <v>1.9434000237072186</v>
      </c>
      <c r="O601" s="31">
        <f t="shared" si="39"/>
        <v>0.77378249677119426</v>
      </c>
    </row>
    <row r="602" spans="1:15" x14ac:dyDescent="0.25">
      <c r="A602" t="s">
        <v>6339</v>
      </c>
      <c r="B602" t="s">
        <v>1205</v>
      </c>
      <c r="C602" s="3" t="s">
        <v>1206</v>
      </c>
      <c r="D602" s="24">
        <v>1.1407E-2</v>
      </c>
      <c r="E602" s="25">
        <v>11.21</v>
      </c>
      <c r="F602" s="25">
        <v>11.57</v>
      </c>
      <c r="G602" s="26">
        <v>-0.36399999999999999</v>
      </c>
      <c r="H602" s="27">
        <v>0.1012</v>
      </c>
      <c r="I602" s="26">
        <v>3.597</v>
      </c>
      <c r="J602" s="28">
        <v>6</v>
      </c>
      <c r="K602" s="27">
        <v>5.2428000000000002E-2</v>
      </c>
      <c r="L602" s="29">
        <f t="shared" si="36"/>
        <v>1.2804367092428066</v>
      </c>
      <c r="M602" s="29">
        <f t="shared" si="37"/>
        <v>-0.35999999999999849</v>
      </c>
      <c r="N602" s="30">
        <f t="shared" si="38"/>
        <v>1.9428285584527338</v>
      </c>
      <c r="O602" s="31">
        <f t="shared" si="39"/>
        <v>0.77916457966050068</v>
      </c>
    </row>
    <row r="603" spans="1:15" x14ac:dyDescent="0.25">
      <c r="A603" t="s">
        <v>6340</v>
      </c>
      <c r="B603" t="s">
        <v>1207</v>
      </c>
      <c r="C603" s="3" t="s">
        <v>1208</v>
      </c>
      <c r="D603" s="24">
        <v>1.1452E-2</v>
      </c>
      <c r="E603" s="25">
        <v>10.94</v>
      </c>
      <c r="F603" s="25">
        <v>11.42</v>
      </c>
      <c r="G603" s="26">
        <v>-0.48649999999999999</v>
      </c>
      <c r="H603" s="27">
        <v>0.13539999999999999</v>
      </c>
      <c r="I603" s="26">
        <v>3.5939999999999999</v>
      </c>
      <c r="J603" s="28">
        <v>6</v>
      </c>
      <c r="K603" s="27">
        <v>5.2547000000000003E-2</v>
      </c>
      <c r="L603" s="29">
        <f t="shared" si="36"/>
        <v>1.2794520735584212</v>
      </c>
      <c r="M603" s="29">
        <f t="shared" si="37"/>
        <v>-0.48000000000000076</v>
      </c>
      <c r="N603" s="30">
        <f t="shared" si="38"/>
        <v>1.9411186606504387</v>
      </c>
      <c r="O603" s="31">
        <f t="shared" si="39"/>
        <v>0.71697762400791332</v>
      </c>
    </row>
    <row r="604" spans="1:15" x14ac:dyDescent="0.25">
      <c r="A604" t="s">
        <v>6341</v>
      </c>
      <c r="B604" t="s">
        <v>1209</v>
      </c>
      <c r="C604" s="3" t="s">
        <v>1210</v>
      </c>
      <c r="D604" s="24">
        <v>1.1475000000000001E-2</v>
      </c>
      <c r="E604" s="25">
        <v>9.9779999999999998</v>
      </c>
      <c r="F604" s="25">
        <v>9.6349999999999998</v>
      </c>
      <c r="G604" s="26">
        <v>0.34320000000000001</v>
      </c>
      <c r="H604" s="27">
        <v>9.5530000000000004E-2</v>
      </c>
      <c r="I604" s="26">
        <v>3.5920000000000001</v>
      </c>
      <c r="J604" s="28">
        <v>6</v>
      </c>
      <c r="K604" s="27">
        <v>5.2566000000000002E-2</v>
      </c>
      <c r="L604" s="29">
        <f t="shared" si="36"/>
        <v>1.2792950692821463</v>
      </c>
      <c r="M604" s="29">
        <f t="shared" si="37"/>
        <v>0.34300000000000036</v>
      </c>
      <c r="N604" s="30">
        <f t="shared" si="38"/>
        <v>1.940247305790701</v>
      </c>
      <c r="O604" s="31">
        <f t="shared" si="39"/>
        <v>1.2683913993258675</v>
      </c>
    </row>
    <row r="605" spans="1:15" x14ac:dyDescent="0.25">
      <c r="A605" t="s">
        <v>6342</v>
      </c>
      <c r="B605" t="s">
        <v>1211</v>
      </c>
      <c r="C605" s="3" t="s">
        <v>1212</v>
      </c>
      <c r="D605" s="24">
        <v>1.1537E-2</v>
      </c>
      <c r="E605" s="25">
        <v>6.4980000000000002</v>
      </c>
      <c r="F605" s="25">
        <v>7.7850000000000001</v>
      </c>
      <c r="G605" s="26">
        <v>-1.2869999999999999</v>
      </c>
      <c r="H605" s="27">
        <v>0.35870000000000002</v>
      </c>
      <c r="I605" s="26">
        <v>3.5880000000000001</v>
      </c>
      <c r="J605" s="28">
        <v>6</v>
      </c>
      <c r="K605" s="27">
        <v>5.2764999999999999E-2</v>
      </c>
      <c r="L605" s="29">
        <f t="shared" si="36"/>
        <v>1.2776540575244186</v>
      </c>
      <c r="M605" s="29">
        <f t="shared" si="37"/>
        <v>-1.2869999999999997</v>
      </c>
      <c r="N605" s="30">
        <f t="shared" si="38"/>
        <v>1.9379071073698311</v>
      </c>
      <c r="O605" s="31">
        <f t="shared" si="39"/>
        <v>0.40980230381875865</v>
      </c>
    </row>
    <row r="606" spans="1:15" x14ac:dyDescent="0.25">
      <c r="A606" t="s">
        <v>6343</v>
      </c>
      <c r="B606" t="s">
        <v>1213</v>
      </c>
      <c r="C606" s="3" t="s">
        <v>1214</v>
      </c>
      <c r="D606" s="24">
        <v>1.1651E-2</v>
      </c>
      <c r="E606" s="25">
        <v>10.88</v>
      </c>
      <c r="F606" s="25">
        <v>10.44</v>
      </c>
      <c r="G606" s="26">
        <v>0.44369999999999998</v>
      </c>
      <c r="H606" s="27">
        <v>0.124</v>
      </c>
      <c r="I606" s="26">
        <v>3.5790000000000002</v>
      </c>
      <c r="J606" s="28">
        <v>6</v>
      </c>
      <c r="K606" s="27">
        <v>5.3197000000000001E-2</v>
      </c>
      <c r="L606" s="29">
        <f t="shared" si="36"/>
        <v>1.2741128586858264</v>
      </c>
      <c r="M606" s="29">
        <f t="shared" si="37"/>
        <v>0.44000000000000178</v>
      </c>
      <c r="N606" s="30">
        <f t="shared" si="38"/>
        <v>1.9336367977415054</v>
      </c>
      <c r="O606" s="31">
        <f t="shared" si="39"/>
        <v>1.3566043274476736</v>
      </c>
    </row>
    <row r="607" spans="1:15" x14ac:dyDescent="0.25">
      <c r="A607" t="s">
        <v>6344</v>
      </c>
      <c r="B607" t="s">
        <v>1215</v>
      </c>
      <c r="C607" s="3" t="s">
        <v>1216</v>
      </c>
      <c r="D607" s="24">
        <v>1.1683000000000001E-2</v>
      </c>
      <c r="E607" s="25">
        <v>11.65</v>
      </c>
      <c r="F607" s="25">
        <v>11.97</v>
      </c>
      <c r="G607" s="26">
        <v>-0.32090000000000002</v>
      </c>
      <c r="H607" s="27">
        <v>8.9719999999999994E-2</v>
      </c>
      <c r="I607" s="26">
        <v>3.577</v>
      </c>
      <c r="J607" s="28">
        <v>6</v>
      </c>
      <c r="K607" s="27">
        <v>5.3254999999999997E-2</v>
      </c>
      <c r="L607" s="29">
        <f t="shared" si="36"/>
        <v>1.2736396109790118</v>
      </c>
      <c r="M607" s="29">
        <f t="shared" si="37"/>
        <v>-0.31999999999999956</v>
      </c>
      <c r="N607" s="30">
        <f t="shared" si="38"/>
        <v>1.9324456233064962</v>
      </c>
      <c r="O607" s="31">
        <f t="shared" si="39"/>
        <v>0.80106987758962234</v>
      </c>
    </row>
    <row r="608" spans="1:15" x14ac:dyDescent="0.25">
      <c r="A608" t="s">
        <v>6345</v>
      </c>
      <c r="B608" t="s">
        <v>1217</v>
      </c>
      <c r="C608" s="3" t="s">
        <v>1218</v>
      </c>
      <c r="D608" s="24">
        <v>1.1844E-2</v>
      </c>
      <c r="E608" s="25">
        <v>10.09</v>
      </c>
      <c r="F608" s="25">
        <v>9.6519999999999992</v>
      </c>
      <c r="G608" s="26">
        <v>0.43380000000000002</v>
      </c>
      <c r="H608" s="27">
        <v>0.1217</v>
      </c>
      <c r="I608" s="26">
        <v>3.5659999999999998</v>
      </c>
      <c r="J608" s="28">
        <v>6</v>
      </c>
      <c r="K608" s="27">
        <v>5.3900999999999998E-2</v>
      </c>
      <c r="L608" s="29">
        <f t="shared" si="36"/>
        <v>1.2684031774764661</v>
      </c>
      <c r="M608" s="29">
        <f t="shared" si="37"/>
        <v>0.43800000000000078</v>
      </c>
      <c r="N608" s="30">
        <f t="shared" si="38"/>
        <v>1.9265016012827381</v>
      </c>
      <c r="O608" s="31">
        <f t="shared" si="39"/>
        <v>1.3547249774853685</v>
      </c>
    </row>
    <row r="609" spans="1:15" x14ac:dyDescent="0.25">
      <c r="A609" t="s">
        <v>6346</v>
      </c>
      <c r="B609" t="s">
        <v>1219</v>
      </c>
      <c r="C609" s="3" t="s">
        <v>1220</v>
      </c>
      <c r="D609" s="24">
        <v>1.1962E-2</v>
      </c>
      <c r="E609" s="25">
        <v>12.43</v>
      </c>
      <c r="F609" s="25">
        <v>12.07</v>
      </c>
      <c r="G609" s="26">
        <v>0.36649999999999999</v>
      </c>
      <c r="H609" s="27">
        <v>0.10299999999999999</v>
      </c>
      <c r="I609" s="26">
        <v>3.5579999999999998</v>
      </c>
      <c r="J609" s="28">
        <v>6</v>
      </c>
      <c r="K609" s="27">
        <v>5.4345999999999998E-2</v>
      </c>
      <c r="L609" s="29">
        <f t="shared" si="36"/>
        <v>1.2648324155492843</v>
      </c>
      <c r="M609" s="29">
        <f t="shared" si="37"/>
        <v>0.35999999999999832</v>
      </c>
      <c r="N609" s="30">
        <f t="shared" si="38"/>
        <v>1.9221962019239116</v>
      </c>
      <c r="O609" s="31">
        <f t="shared" si="39"/>
        <v>1.2834258975629027</v>
      </c>
    </row>
    <row r="610" spans="1:15" x14ac:dyDescent="0.25">
      <c r="A610" t="s">
        <v>6347</v>
      </c>
      <c r="B610" t="s">
        <v>1221</v>
      </c>
      <c r="C610" s="3" t="s">
        <v>1222</v>
      </c>
      <c r="D610" s="24">
        <v>1.1993999999999999E-2</v>
      </c>
      <c r="E610" s="25">
        <v>10.94</v>
      </c>
      <c r="F610" s="25">
        <v>10.7</v>
      </c>
      <c r="G610" s="26">
        <v>0.24460000000000001</v>
      </c>
      <c r="H610" s="27">
        <v>6.88E-2</v>
      </c>
      <c r="I610" s="26">
        <v>3.5550000000000002</v>
      </c>
      <c r="J610" s="28">
        <v>6</v>
      </c>
      <c r="K610" s="27">
        <v>5.4403E-2</v>
      </c>
      <c r="L610" s="29">
        <f t="shared" si="36"/>
        <v>1.2643771508988433</v>
      </c>
      <c r="M610" s="29">
        <f t="shared" si="37"/>
        <v>0.24000000000000041</v>
      </c>
      <c r="N610" s="30">
        <f t="shared" si="38"/>
        <v>1.9210359554982395</v>
      </c>
      <c r="O610" s="31">
        <f t="shared" si="39"/>
        <v>1.1809926614295307</v>
      </c>
    </row>
    <row r="611" spans="1:15" x14ac:dyDescent="0.25">
      <c r="A611" t="s">
        <v>6348</v>
      </c>
      <c r="B611" t="s">
        <v>1223</v>
      </c>
      <c r="C611" s="3" t="s">
        <v>1224</v>
      </c>
      <c r="D611" s="24">
        <v>1.2055E-2</v>
      </c>
      <c r="E611" s="25">
        <v>11.51</v>
      </c>
      <c r="F611" s="25">
        <v>11.15</v>
      </c>
      <c r="G611" s="26">
        <v>0.35560000000000003</v>
      </c>
      <c r="H611" s="27">
        <v>0.10009999999999999</v>
      </c>
      <c r="I611" s="26">
        <v>3.5510000000000002</v>
      </c>
      <c r="J611" s="28">
        <v>6</v>
      </c>
      <c r="K611" s="27">
        <v>5.4588999999999999E-2</v>
      </c>
      <c r="L611" s="29">
        <f t="shared" si="36"/>
        <v>1.2628948613353601</v>
      </c>
      <c r="M611" s="29">
        <f t="shared" si="37"/>
        <v>0.35999999999999982</v>
      </c>
      <c r="N611" s="30">
        <f t="shared" si="38"/>
        <v>1.9188327852865272</v>
      </c>
      <c r="O611" s="31">
        <f t="shared" si="39"/>
        <v>1.283425897562904</v>
      </c>
    </row>
    <row r="612" spans="1:15" x14ac:dyDescent="0.25">
      <c r="A612" t="s">
        <v>6349</v>
      </c>
      <c r="B612" t="s">
        <v>1225</v>
      </c>
      <c r="C612" s="3" t="s">
        <v>1226</v>
      </c>
      <c r="D612" s="24">
        <v>1.2099E-2</v>
      </c>
      <c r="E612" s="25">
        <v>8.5510000000000002</v>
      </c>
      <c r="F612" s="25">
        <v>8.07</v>
      </c>
      <c r="G612" s="26">
        <v>0.48060000000000003</v>
      </c>
      <c r="H612" s="27">
        <v>0.13550000000000001</v>
      </c>
      <c r="I612" s="26">
        <v>3.548</v>
      </c>
      <c r="J612" s="28">
        <v>6</v>
      </c>
      <c r="K612" s="27">
        <v>5.4699999999999999E-2</v>
      </c>
      <c r="L612" s="29">
        <f t="shared" si="36"/>
        <v>1.2620126736665691</v>
      </c>
      <c r="M612" s="29">
        <f t="shared" si="37"/>
        <v>0.48099999999999987</v>
      </c>
      <c r="N612" s="30">
        <f t="shared" si="38"/>
        <v>1.9172505232727188</v>
      </c>
      <c r="O612" s="31">
        <f t="shared" si="39"/>
        <v>1.3957107641221664</v>
      </c>
    </row>
    <row r="613" spans="1:15" x14ac:dyDescent="0.25">
      <c r="A613" t="s">
        <v>6350</v>
      </c>
      <c r="B613" t="s">
        <v>1227</v>
      </c>
      <c r="C613" s="3" t="s">
        <v>1228</v>
      </c>
      <c r="D613" s="24">
        <v>1.2146000000000001E-2</v>
      </c>
      <c r="E613" s="25">
        <v>13.31</v>
      </c>
      <c r="F613" s="25">
        <v>12.55</v>
      </c>
      <c r="G613" s="26">
        <v>0.76200000000000001</v>
      </c>
      <c r="H613" s="27">
        <v>0.21490000000000001</v>
      </c>
      <c r="I613" s="26">
        <v>3.5449999999999999</v>
      </c>
      <c r="J613" s="28">
        <v>6</v>
      </c>
      <c r="K613" s="27">
        <v>5.4820000000000001E-2</v>
      </c>
      <c r="L613" s="29">
        <f t="shared" si="36"/>
        <v>1.2610609687965202</v>
      </c>
      <c r="M613" s="29">
        <f t="shared" si="37"/>
        <v>0.75999999999999879</v>
      </c>
      <c r="N613" s="30">
        <f t="shared" si="38"/>
        <v>1.915566723213455</v>
      </c>
      <c r="O613" s="31">
        <f t="shared" si="39"/>
        <v>1.6934906247250527</v>
      </c>
    </row>
    <row r="614" spans="1:15" x14ac:dyDescent="0.25">
      <c r="A614" t="s">
        <v>6351</v>
      </c>
      <c r="B614" t="s">
        <v>1235</v>
      </c>
      <c r="C614" s="3" t="s">
        <v>1236</v>
      </c>
      <c r="D614" s="24">
        <v>1.2246E-2</v>
      </c>
      <c r="E614" s="25">
        <v>13.08</v>
      </c>
      <c r="F614" s="25">
        <v>13.47</v>
      </c>
      <c r="G614" s="26">
        <v>-0.39090000000000003</v>
      </c>
      <c r="H614" s="27">
        <v>0.1105</v>
      </c>
      <c r="I614" s="26">
        <v>3.5379999999999998</v>
      </c>
      <c r="J614" s="28">
        <v>6</v>
      </c>
      <c r="K614" s="27">
        <v>5.4917000000000001E-2</v>
      </c>
      <c r="L614" s="29">
        <f t="shared" si="36"/>
        <v>1.2602931953797825</v>
      </c>
      <c r="M614" s="29">
        <f t="shared" si="37"/>
        <v>-0.39000000000000101</v>
      </c>
      <c r="N614" s="30">
        <f t="shared" si="38"/>
        <v>1.9120057449002856</v>
      </c>
      <c r="O614" s="31">
        <f t="shared" si="39"/>
        <v>0.763129604480279</v>
      </c>
    </row>
    <row r="615" spans="1:15" x14ac:dyDescent="0.25">
      <c r="A615" t="s">
        <v>6352</v>
      </c>
      <c r="B615" t="s">
        <v>1233</v>
      </c>
      <c r="C615" s="3" t="s">
        <v>1234</v>
      </c>
      <c r="D615" s="24">
        <v>1.2234E-2</v>
      </c>
      <c r="E615" s="25">
        <v>9.9809999999999999</v>
      </c>
      <c r="F615" s="25">
        <v>10.31</v>
      </c>
      <c r="G615" s="26">
        <v>-0.33250000000000002</v>
      </c>
      <c r="H615" s="27">
        <v>9.3950000000000006E-2</v>
      </c>
      <c r="I615" s="26">
        <v>3.5390000000000001</v>
      </c>
      <c r="J615" s="28">
        <v>6</v>
      </c>
      <c r="K615" s="27">
        <v>5.4917000000000001E-2</v>
      </c>
      <c r="L615" s="29">
        <f t="shared" si="36"/>
        <v>1.2602931953797825</v>
      </c>
      <c r="M615" s="29">
        <f t="shared" si="37"/>
        <v>-0.32900000000000079</v>
      </c>
      <c r="N615" s="30">
        <f t="shared" si="38"/>
        <v>1.9124315238382159</v>
      </c>
      <c r="O615" s="31">
        <f t="shared" si="39"/>
        <v>0.7960880987787794</v>
      </c>
    </row>
    <row r="616" spans="1:15" x14ac:dyDescent="0.25">
      <c r="A616" t="s">
        <v>6353</v>
      </c>
      <c r="B616" t="s">
        <v>1229</v>
      </c>
      <c r="C616" s="3" t="s">
        <v>1230</v>
      </c>
      <c r="D616" s="24">
        <v>1.2222E-2</v>
      </c>
      <c r="E616" s="25">
        <v>6.7370000000000001</v>
      </c>
      <c r="F616" s="25">
        <v>5.9379999999999997</v>
      </c>
      <c r="G616" s="26">
        <v>0.79849999999999999</v>
      </c>
      <c r="H616" s="27">
        <v>0.22559999999999999</v>
      </c>
      <c r="I616" s="26">
        <v>3.54</v>
      </c>
      <c r="J616" s="28">
        <v>6</v>
      </c>
      <c r="K616" s="27">
        <v>5.4917000000000001E-2</v>
      </c>
      <c r="L616" s="29">
        <f t="shared" si="36"/>
        <v>1.2602931953797825</v>
      </c>
      <c r="M616" s="29">
        <f t="shared" si="37"/>
        <v>0.79899999999999971</v>
      </c>
      <c r="N616" s="30">
        <f t="shared" si="38"/>
        <v>1.9128577206161919</v>
      </c>
      <c r="O616" s="31">
        <f t="shared" si="39"/>
        <v>1.7398947054173011</v>
      </c>
    </row>
    <row r="617" spans="1:15" x14ac:dyDescent="0.25">
      <c r="A617" t="s">
        <v>6354</v>
      </c>
      <c r="B617" t="s">
        <v>1231</v>
      </c>
      <c r="C617" s="3" t="s">
        <v>1232</v>
      </c>
      <c r="D617" s="24">
        <v>1.2232E-2</v>
      </c>
      <c r="E617" s="25">
        <v>8.7590000000000003</v>
      </c>
      <c r="F617" s="25">
        <v>9.0220000000000002</v>
      </c>
      <c r="G617" s="26">
        <v>-0.26350000000000001</v>
      </c>
      <c r="H617" s="27">
        <v>7.4459999999999998E-2</v>
      </c>
      <c r="I617" s="26">
        <v>3.5390000000000001</v>
      </c>
      <c r="J617" s="28">
        <v>6</v>
      </c>
      <c r="K617" s="27">
        <v>5.4917000000000001E-2</v>
      </c>
      <c r="L617" s="29">
        <f t="shared" si="36"/>
        <v>1.2602931953797825</v>
      </c>
      <c r="M617" s="29">
        <f t="shared" si="37"/>
        <v>-0.26299999999999962</v>
      </c>
      <c r="N617" s="30">
        <f t="shared" si="38"/>
        <v>1.9125025275957361</v>
      </c>
      <c r="O617" s="31">
        <f t="shared" si="39"/>
        <v>0.83335320715921868</v>
      </c>
    </row>
    <row r="618" spans="1:15" x14ac:dyDescent="0.25">
      <c r="A618" t="s">
        <v>6355</v>
      </c>
      <c r="B618" t="s">
        <v>1237</v>
      </c>
      <c r="C618" s="3" t="s">
        <v>1238</v>
      </c>
      <c r="D618" s="24">
        <v>1.2289E-2</v>
      </c>
      <c r="E618" s="25">
        <v>10.85</v>
      </c>
      <c r="F618" s="25">
        <v>10.47</v>
      </c>
      <c r="G618" s="26">
        <v>0.37909999999999999</v>
      </c>
      <c r="H618" s="27">
        <v>0.1072</v>
      </c>
      <c r="I618" s="26">
        <v>3.5350000000000001</v>
      </c>
      <c r="J618" s="28">
        <v>6</v>
      </c>
      <c r="K618" s="27">
        <v>5.5017999999999997E-2</v>
      </c>
      <c r="L618" s="29">
        <f t="shared" si="36"/>
        <v>1.2594952010192355</v>
      </c>
      <c r="M618" s="29">
        <f t="shared" si="37"/>
        <v>0.37999999999999928</v>
      </c>
      <c r="N618" s="30">
        <f t="shared" si="38"/>
        <v>1.9104834557751791</v>
      </c>
      <c r="O618" s="31">
        <f t="shared" si="39"/>
        <v>1.3013418554419329</v>
      </c>
    </row>
    <row r="619" spans="1:15" x14ac:dyDescent="0.25">
      <c r="A619" t="s">
        <v>6356</v>
      </c>
      <c r="B619" t="s">
        <v>1239</v>
      </c>
      <c r="C619" s="3" t="s">
        <v>1240</v>
      </c>
      <c r="D619" s="24">
        <v>1.2338999999999999E-2</v>
      </c>
      <c r="E619" s="25">
        <v>9.3529999999999998</v>
      </c>
      <c r="F619" s="25">
        <v>8.7870000000000008</v>
      </c>
      <c r="G619" s="26">
        <v>0.56540000000000001</v>
      </c>
      <c r="H619" s="27">
        <v>0.16009999999999999</v>
      </c>
      <c r="I619" s="26">
        <v>3.532</v>
      </c>
      <c r="J619" s="28">
        <v>6</v>
      </c>
      <c r="K619" s="27">
        <v>5.5150999999999999E-2</v>
      </c>
      <c r="L619" s="29">
        <f t="shared" si="36"/>
        <v>1.2584466085085675</v>
      </c>
      <c r="M619" s="29">
        <f t="shared" si="37"/>
        <v>0.56599999999999862</v>
      </c>
      <c r="N619" s="30">
        <f t="shared" si="38"/>
        <v>1.9087200357711622</v>
      </c>
      <c r="O619" s="31">
        <f t="shared" si="39"/>
        <v>1.4804132980000475</v>
      </c>
    </row>
    <row r="620" spans="1:15" x14ac:dyDescent="0.25">
      <c r="A620" t="s">
        <v>6357</v>
      </c>
      <c r="B620" t="s">
        <v>1241</v>
      </c>
      <c r="C620" s="3" t="s">
        <v>1242</v>
      </c>
      <c r="D620" s="24">
        <v>1.2387E-2</v>
      </c>
      <c r="E620" s="25">
        <v>11.05</v>
      </c>
      <c r="F620" s="25">
        <v>10.45</v>
      </c>
      <c r="G620" s="26">
        <v>0.60189999999999999</v>
      </c>
      <c r="H620" s="27">
        <v>0.1706</v>
      </c>
      <c r="I620" s="26">
        <v>3.5289999999999999</v>
      </c>
      <c r="J620" s="28">
        <v>6</v>
      </c>
      <c r="K620" s="27">
        <v>5.5275999999999999E-2</v>
      </c>
      <c r="L620" s="29">
        <f t="shared" si="36"/>
        <v>1.257463391841904</v>
      </c>
      <c r="M620" s="29">
        <f t="shared" si="37"/>
        <v>0.6000000000000012</v>
      </c>
      <c r="N620" s="30">
        <f t="shared" si="38"/>
        <v>1.9070338624056351</v>
      </c>
      <c r="O620" s="31">
        <f t="shared" si="39"/>
        <v>1.5157165665103993</v>
      </c>
    </row>
    <row r="621" spans="1:15" x14ac:dyDescent="0.25">
      <c r="A621" t="s">
        <v>6358</v>
      </c>
      <c r="B621" t="s">
        <v>1243</v>
      </c>
      <c r="C621" s="3" t="s">
        <v>1244</v>
      </c>
      <c r="D621" s="24">
        <v>1.2506E-2</v>
      </c>
      <c r="E621" s="25">
        <v>10.25</v>
      </c>
      <c r="F621" s="25">
        <v>10.02</v>
      </c>
      <c r="G621" s="26">
        <v>0.22589999999999999</v>
      </c>
      <c r="H621" s="27">
        <v>6.4159999999999995E-2</v>
      </c>
      <c r="I621" s="26">
        <v>3.5209999999999999</v>
      </c>
      <c r="J621" s="28">
        <v>6</v>
      </c>
      <c r="K621" s="27">
        <v>5.5719999999999999E-2</v>
      </c>
      <c r="L621" s="29">
        <f t="shared" si="36"/>
        <v>1.253988892248074</v>
      </c>
      <c r="M621" s="29">
        <f t="shared" si="37"/>
        <v>0.22999999999999976</v>
      </c>
      <c r="N621" s="30">
        <f t="shared" si="38"/>
        <v>1.9028815756553501</v>
      </c>
      <c r="O621" s="31">
        <f t="shared" si="39"/>
        <v>1.1728349492318786</v>
      </c>
    </row>
    <row r="622" spans="1:15" x14ac:dyDescent="0.25">
      <c r="A622" t="s">
        <v>6359</v>
      </c>
      <c r="B622" t="s">
        <v>1245</v>
      </c>
      <c r="C622" s="3" t="s">
        <v>1246</v>
      </c>
      <c r="D622" s="24">
        <v>1.2633E-2</v>
      </c>
      <c r="E622" s="25">
        <v>9.9529999999999994</v>
      </c>
      <c r="F622" s="25">
        <v>10.38</v>
      </c>
      <c r="G622" s="26">
        <v>-0.43180000000000002</v>
      </c>
      <c r="H622" s="27">
        <v>0.1229</v>
      </c>
      <c r="I622" s="26">
        <v>3.512</v>
      </c>
      <c r="J622" s="28">
        <v>6</v>
      </c>
      <c r="K622" s="27">
        <v>5.6195000000000002E-2</v>
      </c>
      <c r="L622" s="29">
        <f t="shared" si="36"/>
        <v>1.250302324448928</v>
      </c>
      <c r="M622" s="29">
        <f t="shared" si="37"/>
        <v>-0.42700000000000132</v>
      </c>
      <c r="N622" s="30">
        <f t="shared" si="38"/>
        <v>1.8984935038600725</v>
      </c>
      <c r="O622" s="31">
        <f t="shared" si="39"/>
        <v>0.74380688121725191</v>
      </c>
    </row>
    <row r="623" spans="1:15" x14ac:dyDescent="0.25">
      <c r="A623" t="s">
        <v>6360</v>
      </c>
      <c r="B623" t="s">
        <v>1247</v>
      </c>
      <c r="C623" s="3" t="s">
        <v>1248</v>
      </c>
      <c r="D623" s="24">
        <v>1.2675000000000001E-2</v>
      </c>
      <c r="E623" s="25">
        <v>9.6769999999999996</v>
      </c>
      <c r="F623" s="25">
        <v>8.3919999999999995</v>
      </c>
      <c r="G623" s="26">
        <v>1.286</v>
      </c>
      <c r="H623" s="27">
        <v>0.36630000000000001</v>
      </c>
      <c r="I623" s="26">
        <v>3.51</v>
      </c>
      <c r="J623" s="28">
        <v>6</v>
      </c>
      <c r="K623" s="27">
        <v>5.6291000000000001E-2</v>
      </c>
      <c r="L623" s="29">
        <f t="shared" si="36"/>
        <v>1.2495610361039777</v>
      </c>
      <c r="M623" s="29">
        <f t="shared" si="37"/>
        <v>1.2850000000000004</v>
      </c>
      <c r="N623" s="30">
        <f t="shared" si="38"/>
        <v>1.8970520319946262</v>
      </c>
      <c r="O623" s="31">
        <f t="shared" si="39"/>
        <v>2.4368205273503829</v>
      </c>
    </row>
    <row r="624" spans="1:15" x14ac:dyDescent="0.25">
      <c r="A624" t="s">
        <v>6361</v>
      </c>
      <c r="B624" t="s">
        <v>1249</v>
      </c>
      <c r="C624" s="3" t="s">
        <v>1250</v>
      </c>
      <c r="D624" s="24">
        <v>1.2735E-2</v>
      </c>
      <c r="E624" s="25">
        <v>9.0619999999999994</v>
      </c>
      <c r="F624" s="25">
        <v>8.7050000000000001</v>
      </c>
      <c r="G624" s="26">
        <v>0.35720000000000002</v>
      </c>
      <c r="H624" s="27">
        <v>0.1019</v>
      </c>
      <c r="I624" s="26">
        <v>3.5059999999999998</v>
      </c>
      <c r="J624" s="28">
        <v>6</v>
      </c>
      <c r="K624" s="27">
        <v>5.6465000000000001E-2</v>
      </c>
      <c r="L624" s="29">
        <f t="shared" si="36"/>
        <v>1.2482206675234198</v>
      </c>
      <c r="M624" s="29">
        <f t="shared" si="37"/>
        <v>0.35699999999999976</v>
      </c>
      <c r="N624" s="30">
        <f t="shared" si="38"/>
        <v>1.8950010507003656</v>
      </c>
      <c r="O624" s="31">
        <f t="shared" si="39"/>
        <v>1.2807598613297702</v>
      </c>
    </row>
    <row r="625" spans="1:15" x14ac:dyDescent="0.25">
      <c r="A625" t="s">
        <v>6362</v>
      </c>
      <c r="B625" t="s">
        <v>1251</v>
      </c>
      <c r="C625" s="3" t="s">
        <v>1252</v>
      </c>
      <c r="D625" s="24">
        <v>1.2843E-2</v>
      </c>
      <c r="E625" s="25">
        <v>13.26</v>
      </c>
      <c r="F625" s="25">
        <v>14.12</v>
      </c>
      <c r="G625" s="26">
        <v>-0.85980000000000001</v>
      </c>
      <c r="H625" s="27">
        <v>0.2457</v>
      </c>
      <c r="I625" s="26">
        <v>3.4990000000000001</v>
      </c>
      <c r="J625" s="28">
        <v>6</v>
      </c>
      <c r="K625" s="27">
        <v>5.6852E-2</v>
      </c>
      <c r="L625" s="29">
        <f t="shared" si="36"/>
        <v>1.2452542526352515</v>
      </c>
      <c r="M625" s="29">
        <f t="shared" si="37"/>
        <v>-0.85999999999999976</v>
      </c>
      <c r="N625" s="30">
        <f t="shared" si="38"/>
        <v>1.891333517446028</v>
      </c>
      <c r="O625" s="31">
        <f t="shared" si="39"/>
        <v>0.55095255793830544</v>
      </c>
    </row>
    <row r="626" spans="1:15" x14ac:dyDescent="0.25">
      <c r="A626" t="s">
        <v>6363</v>
      </c>
      <c r="B626" t="s">
        <v>1253</v>
      </c>
      <c r="C626" s="3" t="s">
        <v>1254</v>
      </c>
      <c r="D626" s="24">
        <v>1.2952E-2</v>
      </c>
      <c r="E626" s="25">
        <v>12.66</v>
      </c>
      <c r="F626" s="25">
        <v>12.95</v>
      </c>
      <c r="G626" s="26">
        <v>-0.2908</v>
      </c>
      <c r="H626" s="27">
        <v>8.3269999999999997E-2</v>
      </c>
      <c r="I626" s="26">
        <v>3.492</v>
      </c>
      <c r="J626" s="28">
        <v>6</v>
      </c>
      <c r="K626" s="27">
        <v>5.7245999999999998E-2</v>
      </c>
      <c r="L626" s="29">
        <f t="shared" si="36"/>
        <v>1.2422548537674258</v>
      </c>
      <c r="M626" s="29">
        <f t="shared" si="37"/>
        <v>-0.2899999999999997</v>
      </c>
      <c r="N626" s="30">
        <f t="shared" si="38"/>
        <v>1.8876631642546824</v>
      </c>
      <c r="O626" s="31">
        <f t="shared" si="39"/>
        <v>0.81790205855778131</v>
      </c>
    </row>
    <row r="627" spans="1:15" x14ac:dyDescent="0.25">
      <c r="A627" t="s">
        <v>6364</v>
      </c>
      <c r="B627" t="s">
        <v>1255</v>
      </c>
      <c r="C627" s="3" t="s">
        <v>1256</v>
      </c>
      <c r="D627" s="24">
        <v>1.3001E-2</v>
      </c>
      <c r="E627" s="25">
        <v>10.199999999999999</v>
      </c>
      <c r="F627" s="25">
        <v>9.6229999999999993</v>
      </c>
      <c r="G627" s="26">
        <v>0.58079999999999998</v>
      </c>
      <c r="H627" s="27">
        <v>0.16650000000000001</v>
      </c>
      <c r="I627" s="26">
        <v>3.4889999999999999</v>
      </c>
      <c r="J627" s="28">
        <v>6</v>
      </c>
      <c r="K627" s="27">
        <v>5.7368000000000002E-2</v>
      </c>
      <c r="L627" s="29">
        <f t="shared" si="36"/>
        <v>1.2413302905063384</v>
      </c>
      <c r="M627" s="29">
        <f t="shared" si="37"/>
        <v>0.57699999999999929</v>
      </c>
      <c r="N627" s="30">
        <f t="shared" si="38"/>
        <v>1.8860232417101535</v>
      </c>
      <c r="O627" s="31">
        <f t="shared" si="39"/>
        <v>1.4917440266914648</v>
      </c>
    </row>
    <row r="628" spans="1:15" x14ac:dyDescent="0.25">
      <c r="A628" t="s">
        <v>6365</v>
      </c>
      <c r="B628" t="s">
        <v>1257</v>
      </c>
      <c r="C628" s="3" t="s">
        <v>1258</v>
      </c>
      <c r="D628" s="24">
        <v>1.3115E-2</v>
      </c>
      <c r="E628" s="25">
        <v>8.67</v>
      </c>
      <c r="F628" s="25">
        <v>9.0990000000000002</v>
      </c>
      <c r="G628" s="26">
        <v>-0.4294</v>
      </c>
      <c r="H628" s="27">
        <v>0.12330000000000001</v>
      </c>
      <c r="I628" s="26">
        <v>3.4820000000000002</v>
      </c>
      <c r="J628" s="28">
        <v>6</v>
      </c>
      <c r="K628" s="27">
        <v>5.7729000000000003E-2</v>
      </c>
      <c r="L628" s="29">
        <f t="shared" si="36"/>
        <v>1.238605965422612</v>
      </c>
      <c r="M628" s="29">
        <f t="shared" si="37"/>
        <v>-0.42899999999999966</v>
      </c>
      <c r="N628" s="30">
        <f t="shared" si="38"/>
        <v>1.8822317050736275</v>
      </c>
      <c r="O628" s="31">
        <f t="shared" si="39"/>
        <v>0.74277646033041456</v>
      </c>
    </row>
    <row r="629" spans="1:15" x14ac:dyDescent="0.25">
      <c r="A629" t="s">
        <v>6366</v>
      </c>
      <c r="B629" t="s">
        <v>1259</v>
      </c>
      <c r="C629" s="3" t="s">
        <v>1260</v>
      </c>
      <c r="D629" s="24">
        <v>1.3124E-2</v>
      </c>
      <c r="E629" s="25">
        <v>9.6489999999999991</v>
      </c>
      <c r="F629" s="25">
        <v>8.8960000000000008</v>
      </c>
      <c r="G629" s="26">
        <v>0.75360000000000005</v>
      </c>
      <c r="H629" s="27">
        <v>0.2165</v>
      </c>
      <c r="I629" s="26">
        <v>3.4809999999999999</v>
      </c>
      <c r="J629" s="28">
        <v>6</v>
      </c>
      <c r="K629" s="27">
        <v>5.7729000000000003E-2</v>
      </c>
      <c r="L629" s="29">
        <f t="shared" si="36"/>
        <v>1.238605965422612</v>
      </c>
      <c r="M629" s="29">
        <f t="shared" si="37"/>
        <v>0.75299999999999823</v>
      </c>
      <c r="N629" s="30">
        <f t="shared" si="38"/>
        <v>1.8819337782859897</v>
      </c>
      <c r="O629" s="31">
        <f t="shared" si="39"/>
        <v>1.6852936590063012</v>
      </c>
    </row>
    <row r="630" spans="1:15" x14ac:dyDescent="0.25">
      <c r="A630" t="s">
        <v>6367</v>
      </c>
      <c r="B630" t="s">
        <v>1261</v>
      </c>
      <c r="C630" s="3" t="s">
        <v>1262</v>
      </c>
      <c r="D630" s="24">
        <v>1.3388000000000001E-2</v>
      </c>
      <c r="E630" s="25">
        <v>9.1829999999999998</v>
      </c>
      <c r="F630" s="25">
        <v>8.7520000000000007</v>
      </c>
      <c r="G630" s="26">
        <v>0.43070000000000003</v>
      </c>
      <c r="H630" s="27">
        <v>0.12429999999999999</v>
      </c>
      <c r="I630" s="26">
        <v>3.4649999999999999</v>
      </c>
      <c r="J630" s="28">
        <v>6</v>
      </c>
      <c r="K630" s="27">
        <v>5.8796000000000001E-2</v>
      </c>
      <c r="L630" s="29">
        <f t="shared" si="36"/>
        <v>1.230652218771106</v>
      </c>
      <c r="M630" s="29">
        <f t="shared" si="37"/>
        <v>0.43099999999999911</v>
      </c>
      <c r="N630" s="30">
        <f t="shared" si="38"/>
        <v>1.8732842963142604</v>
      </c>
      <c r="O630" s="31">
        <f t="shared" si="39"/>
        <v>1.3481677317370557</v>
      </c>
    </row>
    <row r="631" spans="1:15" x14ac:dyDescent="0.25">
      <c r="A631" t="s">
        <v>6368</v>
      </c>
      <c r="B631" t="s">
        <v>1263</v>
      </c>
      <c r="C631" s="3" t="s">
        <v>1264</v>
      </c>
      <c r="D631" s="24">
        <v>1.3422E-2</v>
      </c>
      <c r="E631" s="25">
        <v>10.59</v>
      </c>
      <c r="F631" s="25">
        <v>10.95</v>
      </c>
      <c r="G631" s="26">
        <v>-0.35389999999999999</v>
      </c>
      <c r="H631" s="27">
        <v>0.1022</v>
      </c>
      <c r="I631" s="26">
        <v>3.4630000000000001</v>
      </c>
      <c r="J631" s="28">
        <v>6</v>
      </c>
      <c r="K631" s="27">
        <v>5.8851000000000001E-2</v>
      </c>
      <c r="L631" s="29">
        <f t="shared" si="36"/>
        <v>1.230246153197911</v>
      </c>
      <c r="M631" s="29">
        <f t="shared" si="37"/>
        <v>-0.35999999999999971</v>
      </c>
      <c r="N631" s="30">
        <f t="shared" si="38"/>
        <v>1.8721827655197263</v>
      </c>
      <c r="O631" s="31">
        <f t="shared" si="39"/>
        <v>0.77916457966050001</v>
      </c>
    </row>
    <row r="632" spans="1:15" x14ac:dyDescent="0.25">
      <c r="A632" t="s">
        <v>6369</v>
      </c>
      <c r="B632" t="s">
        <v>1265</v>
      </c>
      <c r="C632" s="3" t="s">
        <v>1266</v>
      </c>
      <c r="D632" s="24">
        <v>1.3502999999999999E-2</v>
      </c>
      <c r="E632" s="25">
        <v>9.42</v>
      </c>
      <c r="F632" s="25">
        <v>9.1690000000000005</v>
      </c>
      <c r="G632" s="26">
        <v>0.25130000000000002</v>
      </c>
      <c r="H632" s="27">
        <v>7.2669999999999998E-2</v>
      </c>
      <c r="I632" s="26">
        <v>3.4580000000000002</v>
      </c>
      <c r="J632" s="28">
        <v>6</v>
      </c>
      <c r="K632" s="27">
        <v>5.9110999999999997E-2</v>
      </c>
      <c r="L632" s="29">
        <f t="shared" si="36"/>
        <v>1.2283316934880548</v>
      </c>
      <c r="M632" s="29">
        <f t="shared" si="37"/>
        <v>0.25100000000000011</v>
      </c>
      <c r="N632" s="30">
        <f t="shared" si="38"/>
        <v>1.8695697323418585</v>
      </c>
      <c r="O632" s="31">
        <f t="shared" si="39"/>
        <v>1.1900316963066757</v>
      </c>
    </row>
    <row r="633" spans="1:15" x14ac:dyDescent="0.25">
      <c r="A633" t="s">
        <v>6370</v>
      </c>
      <c r="B633" t="s">
        <v>1267</v>
      </c>
      <c r="C633" s="3" t="s">
        <v>1268</v>
      </c>
      <c r="D633" s="24">
        <v>1.3589E-2</v>
      </c>
      <c r="E633" s="25">
        <v>8.0340000000000007</v>
      </c>
      <c r="F633" s="25">
        <v>7.782</v>
      </c>
      <c r="G633" s="26">
        <v>0.25130000000000002</v>
      </c>
      <c r="H633" s="27">
        <v>7.2779999999999997E-2</v>
      </c>
      <c r="I633" s="26">
        <v>3.4529999999999998</v>
      </c>
      <c r="J633" s="28">
        <v>6</v>
      </c>
      <c r="K633" s="27">
        <v>5.9396999999999998E-2</v>
      </c>
      <c r="L633" s="29">
        <f t="shared" si="36"/>
        <v>1.2262354896374581</v>
      </c>
      <c r="M633" s="29">
        <f t="shared" si="37"/>
        <v>0.25200000000000006</v>
      </c>
      <c r="N633" s="30">
        <f t="shared" si="38"/>
        <v>1.8668125013588333</v>
      </c>
      <c r="O633" s="31">
        <f t="shared" si="39"/>
        <v>1.1908568493649683</v>
      </c>
    </row>
    <row r="634" spans="1:15" x14ac:dyDescent="0.25">
      <c r="A634" t="s">
        <v>6371</v>
      </c>
      <c r="B634" t="s">
        <v>1271</v>
      </c>
      <c r="C634" s="3" t="s">
        <v>1272</v>
      </c>
      <c r="D634" s="24">
        <v>1.3684999999999999E-2</v>
      </c>
      <c r="E634" s="25">
        <v>8.6980000000000004</v>
      </c>
      <c r="F634" s="25">
        <v>8.4359999999999999</v>
      </c>
      <c r="G634" s="26">
        <v>0.26200000000000001</v>
      </c>
      <c r="H634" s="27">
        <v>7.5999999999999998E-2</v>
      </c>
      <c r="I634" s="26">
        <v>3.4470000000000001</v>
      </c>
      <c r="J634" s="28">
        <v>6</v>
      </c>
      <c r="K634" s="27">
        <v>5.9626999999999999E-2</v>
      </c>
      <c r="L634" s="29">
        <f t="shared" si="36"/>
        <v>1.224557040666352</v>
      </c>
      <c r="M634" s="29">
        <f t="shared" si="37"/>
        <v>0.26200000000000057</v>
      </c>
      <c r="N634" s="30">
        <f t="shared" si="38"/>
        <v>1.8637551982538574</v>
      </c>
      <c r="O634" s="31">
        <f t="shared" si="39"/>
        <v>1.1991399137911132</v>
      </c>
    </row>
    <row r="635" spans="1:15" x14ac:dyDescent="0.25">
      <c r="A635" t="s">
        <v>6372</v>
      </c>
      <c r="B635" t="s">
        <v>1269</v>
      </c>
      <c r="C635" s="3" t="s">
        <v>1270</v>
      </c>
      <c r="D635" s="24">
        <v>1.3674E-2</v>
      </c>
      <c r="E635" s="25">
        <v>10.34</v>
      </c>
      <c r="F635" s="25">
        <v>9.9269999999999996</v>
      </c>
      <c r="G635" s="26">
        <v>0.41710000000000003</v>
      </c>
      <c r="H635" s="27">
        <v>0.121</v>
      </c>
      <c r="I635" s="26">
        <v>3.448</v>
      </c>
      <c r="J635" s="28">
        <v>6</v>
      </c>
      <c r="K635" s="27">
        <v>5.9626999999999999E-2</v>
      </c>
      <c r="L635" s="29">
        <f t="shared" si="36"/>
        <v>1.224557040666352</v>
      </c>
      <c r="M635" s="29">
        <f t="shared" si="37"/>
        <v>0.41299999999999909</v>
      </c>
      <c r="N635" s="30">
        <f t="shared" si="38"/>
        <v>1.8641044244359806</v>
      </c>
      <c r="O635" s="31">
        <f t="shared" si="39"/>
        <v>1.3314516132363701</v>
      </c>
    </row>
    <row r="636" spans="1:15" x14ac:dyDescent="0.25">
      <c r="A636" t="s">
        <v>6373</v>
      </c>
      <c r="B636" t="s">
        <v>1273</v>
      </c>
      <c r="C636" s="3" t="s">
        <v>1274</v>
      </c>
      <c r="D636" s="24">
        <v>1.3745E-2</v>
      </c>
      <c r="E636" s="25">
        <v>10.1</v>
      </c>
      <c r="F636" s="25">
        <v>9.7249999999999996</v>
      </c>
      <c r="G636" s="26">
        <v>0.37669999999999998</v>
      </c>
      <c r="H636" s="27">
        <v>0.1094</v>
      </c>
      <c r="I636" s="26">
        <v>3.4430000000000001</v>
      </c>
      <c r="J636" s="28">
        <v>6</v>
      </c>
      <c r="K636" s="27">
        <v>5.9794E-2</v>
      </c>
      <c r="L636" s="29">
        <f t="shared" si="36"/>
        <v>1.2233423928949378</v>
      </c>
      <c r="M636" s="29">
        <f t="shared" si="37"/>
        <v>0.37499999999999972</v>
      </c>
      <c r="N636" s="30">
        <f t="shared" si="38"/>
        <v>1.8618552558205124</v>
      </c>
      <c r="O636" s="31">
        <f t="shared" si="39"/>
        <v>1.2968395546510094</v>
      </c>
    </row>
    <row r="637" spans="1:15" x14ac:dyDescent="0.25">
      <c r="A637" t="s">
        <v>6374</v>
      </c>
      <c r="B637" t="s">
        <v>1275</v>
      </c>
      <c r="C637" s="3" t="s">
        <v>1276</v>
      </c>
      <c r="D637" s="24">
        <v>1.3873E-2</v>
      </c>
      <c r="E637" s="25">
        <v>10.38</v>
      </c>
      <c r="F637" s="25">
        <v>10.9</v>
      </c>
      <c r="G637" s="26">
        <v>-0.52159999999999995</v>
      </c>
      <c r="H637" s="27">
        <v>0.15179999999999999</v>
      </c>
      <c r="I637" s="26">
        <v>3.4359999999999999</v>
      </c>
      <c r="J637" s="28">
        <v>6</v>
      </c>
      <c r="K637" s="27">
        <v>6.0254000000000002E-2</v>
      </c>
      <c r="L637" s="29">
        <f t="shared" si="36"/>
        <v>1.2200141168814838</v>
      </c>
      <c r="M637" s="29">
        <f t="shared" si="37"/>
        <v>-0.51999999999999968</v>
      </c>
      <c r="N637" s="30">
        <f t="shared" si="38"/>
        <v>1.8578296137239045</v>
      </c>
      <c r="O637" s="31">
        <f t="shared" si="39"/>
        <v>0.6973718331752029</v>
      </c>
    </row>
    <row r="638" spans="1:15" x14ac:dyDescent="0.25">
      <c r="A638" t="s">
        <v>6375</v>
      </c>
      <c r="B638" t="s">
        <v>1277</v>
      </c>
      <c r="C638" s="3" t="s">
        <v>1278</v>
      </c>
      <c r="D638" s="24">
        <v>1.3957000000000001E-2</v>
      </c>
      <c r="E638" s="25">
        <v>8.5630000000000006</v>
      </c>
      <c r="F638" s="25">
        <v>7.843</v>
      </c>
      <c r="G638" s="26">
        <v>0.7198</v>
      </c>
      <c r="H638" s="27">
        <v>0.20979999999999999</v>
      </c>
      <c r="I638" s="26">
        <v>3.431</v>
      </c>
      <c r="J638" s="28">
        <v>6</v>
      </c>
      <c r="K638" s="27">
        <v>6.0526000000000003E-2</v>
      </c>
      <c r="L638" s="29">
        <f t="shared" si="36"/>
        <v>1.2180580264893817</v>
      </c>
      <c r="M638" s="29">
        <f t="shared" si="37"/>
        <v>0.72000000000000097</v>
      </c>
      <c r="N638" s="30">
        <f t="shared" si="38"/>
        <v>1.855207921502285</v>
      </c>
      <c r="O638" s="31">
        <f t="shared" si="39"/>
        <v>1.6471820345351473</v>
      </c>
    </row>
    <row r="639" spans="1:15" x14ac:dyDescent="0.25">
      <c r="A639" t="s">
        <v>6376</v>
      </c>
      <c r="B639" t="s">
        <v>1279</v>
      </c>
      <c r="C639" s="3" t="s">
        <v>1280</v>
      </c>
      <c r="D639" s="24">
        <v>1.4021E-2</v>
      </c>
      <c r="E639" s="25">
        <v>11.97</v>
      </c>
      <c r="F639" s="25">
        <v>11.54</v>
      </c>
      <c r="G639" s="26">
        <v>0.42730000000000001</v>
      </c>
      <c r="H639" s="27">
        <v>0.12470000000000001</v>
      </c>
      <c r="I639" s="26">
        <v>3.427</v>
      </c>
      <c r="J639" s="28">
        <v>6</v>
      </c>
      <c r="K639" s="27">
        <v>6.0707999999999998E-2</v>
      </c>
      <c r="L639" s="29">
        <f t="shared" si="36"/>
        <v>1.2167540745438077</v>
      </c>
      <c r="M639" s="29">
        <f t="shared" si="37"/>
        <v>0.43</v>
      </c>
      <c r="N639" s="30">
        <f t="shared" si="38"/>
        <v>1.8532210106921669</v>
      </c>
      <c r="O639" s="31">
        <f t="shared" si="39"/>
        <v>1.3472335768656902</v>
      </c>
    </row>
    <row r="640" spans="1:15" x14ac:dyDescent="0.25">
      <c r="A640" t="s">
        <v>6377</v>
      </c>
      <c r="B640" t="s">
        <v>1289</v>
      </c>
      <c r="C640" s="3" t="s">
        <v>1290</v>
      </c>
      <c r="D640" s="24">
        <v>1.4249E-2</v>
      </c>
      <c r="E640" s="25">
        <v>10.01</v>
      </c>
      <c r="F640" s="25">
        <v>9.5739999999999998</v>
      </c>
      <c r="G640" s="26">
        <v>0.43959999999999999</v>
      </c>
      <c r="H640" s="27">
        <v>0.1288</v>
      </c>
      <c r="I640" s="26">
        <v>3.4140000000000001</v>
      </c>
      <c r="J640" s="28">
        <v>6</v>
      </c>
      <c r="K640" s="27">
        <v>6.1214999999999999E-2</v>
      </c>
      <c r="L640" s="29">
        <f t="shared" si="36"/>
        <v>1.2131421461710477</v>
      </c>
      <c r="M640" s="29">
        <f t="shared" si="37"/>
        <v>0.43600000000000005</v>
      </c>
      <c r="N640" s="30">
        <f t="shared" si="38"/>
        <v>1.84621561353063</v>
      </c>
      <c r="O640" s="31">
        <f t="shared" si="39"/>
        <v>1.3528482310502745</v>
      </c>
    </row>
    <row r="641" spans="1:15" x14ac:dyDescent="0.25">
      <c r="A641" t="s">
        <v>6378</v>
      </c>
      <c r="B641" t="s">
        <v>1285</v>
      </c>
      <c r="C641" s="3" t="s">
        <v>1286</v>
      </c>
      <c r="D641" s="24">
        <v>1.4227999999999999E-2</v>
      </c>
      <c r="E641" s="25">
        <v>7.548</v>
      </c>
      <c r="F641" s="25">
        <v>7.1079999999999997</v>
      </c>
      <c r="G641" s="26">
        <v>0.44069999999999998</v>
      </c>
      <c r="H641" s="27">
        <v>0.129</v>
      </c>
      <c r="I641" s="26">
        <v>3.415</v>
      </c>
      <c r="J641" s="28">
        <v>6</v>
      </c>
      <c r="K641" s="27">
        <v>6.1214999999999999E-2</v>
      </c>
      <c r="L641" s="29">
        <f t="shared" si="36"/>
        <v>1.2131421461710477</v>
      </c>
      <c r="M641" s="29">
        <f t="shared" si="37"/>
        <v>0.44000000000000039</v>
      </c>
      <c r="N641" s="30">
        <f t="shared" si="38"/>
        <v>1.8468561434862572</v>
      </c>
      <c r="O641" s="31">
        <f t="shared" si="39"/>
        <v>1.3566043274476722</v>
      </c>
    </row>
    <row r="642" spans="1:15" x14ac:dyDescent="0.25">
      <c r="A642" t="s">
        <v>6379</v>
      </c>
      <c r="B642" t="s">
        <v>1283</v>
      </c>
      <c r="C642" s="3" t="s">
        <v>1284</v>
      </c>
      <c r="D642" s="24">
        <v>1.4203E-2</v>
      </c>
      <c r="E642" s="25">
        <v>10.06</v>
      </c>
      <c r="F642" s="25">
        <v>10.33</v>
      </c>
      <c r="G642" s="26">
        <v>-0.2676</v>
      </c>
      <c r="H642" s="27">
        <v>7.8329999999999997E-2</v>
      </c>
      <c r="I642" s="26">
        <v>3.4169999999999998</v>
      </c>
      <c r="J642" s="28">
        <v>6</v>
      </c>
      <c r="K642" s="27">
        <v>6.1214999999999999E-2</v>
      </c>
      <c r="L642" s="29">
        <f t="shared" ref="L642:L705" si="40">-LOG(K642,10)</f>
        <v>1.2131421461710477</v>
      </c>
      <c r="M642" s="29">
        <f t="shared" ref="M642:M705" si="41">LOG(O642,2)</f>
        <v>-0.27000000000000024</v>
      </c>
      <c r="N642" s="30">
        <f t="shared" ref="N642:N705" si="42">-LOG(D642,10)</f>
        <v>1.8476199129523971</v>
      </c>
      <c r="O642" s="31">
        <f t="shared" ref="O642:O705" si="43">((2^E642)/(2^F642))</f>
        <v>0.82931954581444156</v>
      </c>
    </row>
    <row r="643" spans="1:15" x14ac:dyDescent="0.25">
      <c r="A643" t="s">
        <v>6380</v>
      </c>
      <c r="B643" t="s">
        <v>1281</v>
      </c>
      <c r="C643" s="3" t="s">
        <v>1282</v>
      </c>
      <c r="D643" s="24">
        <v>1.4187999999999999E-2</v>
      </c>
      <c r="E643" s="25">
        <v>9.8409999999999993</v>
      </c>
      <c r="F643" s="25">
        <v>10.24</v>
      </c>
      <c r="G643" s="26">
        <v>-0.39600000000000002</v>
      </c>
      <c r="H643" s="27">
        <v>0.1159</v>
      </c>
      <c r="I643" s="26">
        <v>3.4169999999999998</v>
      </c>
      <c r="J643" s="28">
        <v>6</v>
      </c>
      <c r="K643" s="27">
        <v>6.1214999999999999E-2</v>
      </c>
      <c r="L643" s="29">
        <f t="shared" si="40"/>
        <v>1.2131421461710477</v>
      </c>
      <c r="M643" s="29">
        <f t="shared" si="41"/>
        <v>-0.39900000000000074</v>
      </c>
      <c r="N643" s="30">
        <f t="shared" si="42"/>
        <v>1.8480788202000946</v>
      </c>
      <c r="O643" s="31">
        <f t="shared" si="43"/>
        <v>0.75838377268722068</v>
      </c>
    </row>
    <row r="644" spans="1:15" x14ac:dyDescent="0.25">
      <c r="A644" t="s">
        <v>6381</v>
      </c>
      <c r="B644" t="s">
        <v>1287</v>
      </c>
      <c r="C644" s="3" t="s">
        <v>1288</v>
      </c>
      <c r="D644" s="24">
        <v>1.4239E-2</v>
      </c>
      <c r="E644" s="25">
        <v>10.09</v>
      </c>
      <c r="F644" s="25">
        <v>10.4</v>
      </c>
      <c r="G644" s="26">
        <v>-0.313</v>
      </c>
      <c r="H644" s="27">
        <v>9.1679999999999998E-2</v>
      </c>
      <c r="I644" s="26">
        <v>3.415</v>
      </c>
      <c r="J644" s="28">
        <v>6</v>
      </c>
      <c r="K644" s="27">
        <v>6.1214999999999999E-2</v>
      </c>
      <c r="L644" s="29">
        <f t="shared" si="40"/>
        <v>1.2131421461710477</v>
      </c>
      <c r="M644" s="29">
        <f t="shared" si="41"/>
        <v>-0.31000000000000033</v>
      </c>
      <c r="N644" s="30">
        <f t="shared" si="42"/>
        <v>1.8465205099780753</v>
      </c>
      <c r="O644" s="31">
        <f t="shared" si="43"/>
        <v>0.80664175922212611</v>
      </c>
    </row>
    <row r="645" spans="1:15" x14ac:dyDescent="0.25">
      <c r="A645" t="s">
        <v>6382</v>
      </c>
      <c r="B645" t="s">
        <v>1291</v>
      </c>
      <c r="C645" s="3" t="s">
        <v>1292</v>
      </c>
      <c r="D645" s="24">
        <v>1.4288E-2</v>
      </c>
      <c r="E645" s="25">
        <v>10.95</v>
      </c>
      <c r="F645" s="25">
        <v>11.44</v>
      </c>
      <c r="G645" s="26">
        <v>-0.48849999999999999</v>
      </c>
      <c r="H645" s="27">
        <v>0.14319999999999999</v>
      </c>
      <c r="I645" s="26">
        <v>3.4119999999999999</v>
      </c>
      <c r="J645" s="28">
        <v>6</v>
      </c>
      <c r="K645" s="27">
        <v>6.1283999999999998E-2</v>
      </c>
      <c r="L645" s="29">
        <f t="shared" si="40"/>
        <v>1.212652896096835</v>
      </c>
      <c r="M645" s="29">
        <f t="shared" si="41"/>
        <v>-0.48999999999999988</v>
      </c>
      <c r="N645" s="30">
        <f t="shared" si="42"/>
        <v>1.8450285584555288</v>
      </c>
      <c r="O645" s="31">
        <f t="shared" si="43"/>
        <v>0.71202509779853596</v>
      </c>
    </row>
    <row r="646" spans="1:15" x14ac:dyDescent="0.25">
      <c r="A646" t="s">
        <v>6383</v>
      </c>
      <c r="B646" t="s">
        <v>1293</v>
      </c>
      <c r="C646" s="3" t="s">
        <v>1294</v>
      </c>
      <c r="D646" s="24">
        <v>1.4367E-2</v>
      </c>
      <c r="E646" s="25">
        <v>14.56</v>
      </c>
      <c r="F646" s="25">
        <v>14.94</v>
      </c>
      <c r="G646" s="26">
        <v>-0.38040000000000002</v>
      </c>
      <c r="H646" s="27">
        <v>0.11169999999999999</v>
      </c>
      <c r="I646" s="26">
        <v>3.407</v>
      </c>
      <c r="J646" s="28">
        <v>6</v>
      </c>
      <c r="K646" s="27">
        <v>6.1434000000000002E-2</v>
      </c>
      <c r="L646" s="29">
        <f t="shared" si="40"/>
        <v>1.211591206618055</v>
      </c>
      <c r="M646" s="29">
        <f t="shared" si="41"/>
        <v>-0.37999999999999912</v>
      </c>
      <c r="N646" s="30">
        <f t="shared" si="42"/>
        <v>1.8426339082377297</v>
      </c>
      <c r="O646" s="31">
        <f t="shared" si="43"/>
        <v>0.76843759064400663</v>
      </c>
    </row>
    <row r="647" spans="1:15" x14ac:dyDescent="0.25">
      <c r="A647" t="s">
        <v>6384</v>
      </c>
      <c r="B647" t="s">
        <v>1295</v>
      </c>
      <c r="C647" s="3" t="s">
        <v>1296</v>
      </c>
      <c r="D647" s="24">
        <v>1.4367E-2</v>
      </c>
      <c r="E647" s="25">
        <v>9.5269999999999992</v>
      </c>
      <c r="F647" s="25">
        <v>8.9149999999999991</v>
      </c>
      <c r="G647" s="26">
        <v>0.61219999999999997</v>
      </c>
      <c r="H647" s="27">
        <v>0.1797</v>
      </c>
      <c r="I647" s="26">
        <v>3.407</v>
      </c>
      <c r="J647" s="28">
        <v>6</v>
      </c>
      <c r="K647" s="27">
        <v>6.1434000000000002E-2</v>
      </c>
      <c r="L647" s="29">
        <f t="shared" si="40"/>
        <v>1.211591206618055</v>
      </c>
      <c r="M647" s="29">
        <f t="shared" si="41"/>
        <v>0.61199999999999999</v>
      </c>
      <c r="N647" s="30">
        <f t="shared" si="42"/>
        <v>1.8426339082377297</v>
      </c>
      <c r="O647" s="31">
        <f t="shared" si="43"/>
        <v>1.5283765207651665</v>
      </c>
    </row>
    <row r="648" spans="1:15" x14ac:dyDescent="0.25">
      <c r="A648" t="s">
        <v>6385</v>
      </c>
      <c r="B648" t="s">
        <v>1297</v>
      </c>
      <c r="C648" s="3" t="s">
        <v>1298</v>
      </c>
      <c r="D648" s="24">
        <v>1.4473E-2</v>
      </c>
      <c r="E648" s="25">
        <v>9.3049999999999997</v>
      </c>
      <c r="F648" s="25">
        <v>8.9529999999999994</v>
      </c>
      <c r="G648" s="26">
        <v>0.35199999999999998</v>
      </c>
      <c r="H648" s="27">
        <v>0.10349999999999999</v>
      </c>
      <c r="I648" s="26">
        <v>3.4009999999999998</v>
      </c>
      <c r="J648" s="28">
        <v>6</v>
      </c>
      <c r="K648" s="27">
        <v>6.1558000000000002E-2</v>
      </c>
      <c r="L648" s="29">
        <f t="shared" si="40"/>
        <v>1.2107154987020554</v>
      </c>
      <c r="M648" s="29">
        <f t="shared" si="41"/>
        <v>0.3520000000000002</v>
      </c>
      <c r="N648" s="30">
        <f t="shared" si="42"/>
        <v>1.8394414378924415</v>
      </c>
      <c r="O648" s="31">
        <f t="shared" si="43"/>
        <v>1.2763287688289531</v>
      </c>
    </row>
    <row r="649" spans="1:15" x14ac:dyDescent="0.25">
      <c r="A649" t="s">
        <v>6386</v>
      </c>
      <c r="B649" t="s">
        <v>1299</v>
      </c>
      <c r="C649" s="3" t="s">
        <v>1300</v>
      </c>
      <c r="D649" s="24">
        <v>1.4478E-2</v>
      </c>
      <c r="E649" s="25">
        <v>11.43</v>
      </c>
      <c r="F649" s="25">
        <v>10.3</v>
      </c>
      <c r="G649" s="26">
        <v>1.1220000000000001</v>
      </c>
      <c r="H649" s="27">
        <v>0.32979999999999998</v>
      </c>
      <c r="I649" s="26">
        <v>3.4009999999999998</v>
      </c>
      <c r="J649" s="28">
        <v>6</v>
      </c>
      <c r="K649" s="27">
        <v>6.1558000000000002E-2</v>
      </c>
      <c r="L649" s="29">
        <f t="shared" si="40"/>
        <v>1.2107154987020554</v>
      </c>
      <c r="M649" s="29">
        <f t="shared" si="41"/>
        <v>1.1299999999999988</v>
      </c>
      <c r="N649" s="30">
        <f t="shared" si="42"/>
        <v>1.8392914277075705</v>
      </c>
      <c r="O649" s="31">
        <f t="shared" si="43"/>
        <v>2.1885874025214771</v>
      </c>
    </row>
    <row r="650" spans="1:15" x14ac:dyDescent="0.25">
      <c r="A650" t="s">
        <v>6387</v>
      </c>
      <c r="B650" t="s">
        <v>1301</v>
      </c>
      <c r="C650" s="3" t="s">
        <v>1302</v>
      </c>
      <c r="D650" s="24">
        <v>1.448E-2</v>
      </c>
      <c r="E650" s="25">
        <v>9.3659999999999997</v>
      </c>
      <c r="F650" s="25">
        <v>8.9879999999999995</v>
      </c>
      <c r="G650" s="26">
        <v>0.37830000000000003</v>
      </c>
      <c r="H650" s="27">
        <v>0.11119999999999999</v>
      </c>
      <c r="I650" s="26">
        <v>3.4009999999999998</v>
      </c>
      <c r="J650" s="28">
        <v>6</v>
      </c>
      <c r="K650" s="27">
        <v>6.1558000000000002E-2</v>
      </c>
      <c r="L650" s="29">
        <f t="shared" si="40"/>
        <v>1.2107154987020554</v>
      </c>
      <c r="M650" s="29">
        <f t="shared" si="41"/>
        <v>0.378000000000001</v>
      </c>
      <c r="N650" s="30">
        <f t="shared" si="42"/>
        <v>1.8392314381388715</v>
      </c>
      <c r="O650" s="31">
        <f t="shared" si="43"/>
        <v>1.2995390624554408</v>
      </c>
    </row>
    <row r="651" spans="1:15" x14ac:dyDescent="0.25">
      <c r="A651" t="s">
        <v>6388</v>
      </c>
      <c r="B651" t="s">
        <v>1303</v>
      </c>
      <c r="C651" s="3" t="s">
        <v>1304</v>
      </c>
      <c r="D651" s="24">
        <v>1.4485E-2</v>
      </c>
      <c r="E651" s="25">
        <v>9.27</v>
      </c>
      <c r="F651" s="25">
        <v>9.5399999999999991</v>
      </c>
      <c r="G651" s="26">
        <v>-0.26960000000000001</v>
      </c>
      <c r="H651" s="27">
        <v>7.9269999999999993E-2</v>
      </c>
      <c r="I651" s="26">
        <v>3.4009999999999998</v>
      </c>
      <c r="J651" s="28">
        <v>6</v>
      </c>
      <c r="K651" s="27">
        <v>6.1558000000000002E-2</v>
      </c>
      <c r="L651" s="29">
        <f t="shared" si="40"/>
        <v>1.2107154987020554</v>
      </c>
      <c r="M651" s="29">
        <f t="shared" si="41"/>
        <v>-0.27000000000000024</v>
      </c>
      <c r="N651" s="30">
        <f t="shared" si="42"/>
        <v>1.8390815004602192</v>
      </c>
      <c r="O651" s="31">
        <f t="shared" si="43"/>
        <v>0.82931954581444156</v>
      </c>
    </row>
    <row r="652" spans="1:15" x14ac:dyDescent="0.25">
      <c r="A652" t="s">
        <v>6389</v>
      </c>
      <c r="B652" t="s">
        <v>1305</v>
      </c>
      <c r="C652" s="3" t="s">
        <v>1306</v>
      </c>
      <c r="D652" s="24">
        <v>1.4508999999999999E-2</v>
      </c>
      <c r="E652" s="25">
        <v>9.2129999999999992</v>
      </c>
      <c r="F652" s="25">
        <v>8.7789999999999999</v>
      </c>
      <c r="G652" s="26">
        <v>0.4345</v>
      </c>
      <c r="H652" s="27">
        <v>0.1278</v>
      </c>
      <c r="I652" s="26">
        <v>3.399</v>
      </c>
      <c r="J652" s="28">
        <v>6</v>
      </c>
      <c r="K652" s="27">
        <v>6.1565000000000002E-2</v>
      </c>
      <c r="L652" s="29">
        <f t="shared" si="40"/>
        <v>1.2106661161922629</v>
      </c>
      <c r="M652" s="29">
        <f t="shared" si="41"/>
        <v>0.43399999999999905</v>
      </c>
      <c r="N652" s="30">
        <f t="shared" si="42"/>
        <v>1.8383625192954096</v>
      </c>
      <c r="O652" s="31">
        <f t="shared" si="43"/>
        <v>1.3509740845356366</v>
      </c>
    </row>
    <row r="653" spans="1:15" x14ac:dyDescent="0.25">
      <c r="A653" t="s">
        <v>6390</v>
      </c>
      <c r="B653" t="s">
        <v>1309</v>
      </c>
      <c r="C653" s="3" t="s">
        <v>1310</v>
      </c>
      <c r="D653" s="24">
        <v>1.4638999999999999E-2</v>
      </c>
      <c r="E653" s="25">
        <v>11.65</v>
      </c>
      <c r="F653" s="25">
        <v>11.99</v>
      </c>
      <c r="G653" s="26">
        <v>-0.33850000000000002</v>
      </c>
      <c r="H653" s="27">
        <v>9.98E-2</v>
      </c>
      <c r="I653" s="26">
        <v>3.3919999999999999</v>
      </c>
      <c r="J653" s="28">
        <v>6</v>
      </c>
      <c r="K653" s="27">
        <v>6.1879000000000003E-2</v>
      </c>
      <c r="L653" s="29">
        <f t="shared" si="40"/>
        <v>1.2084567133629593</v>
      </c>
      <c r="M653" s="29">
        <f t="shared" si="41"/>
        <v>-0.34000000000000025</v>
      </c>
      <c r="N653" s="30">
        <f t="shared" si="42"/>
        <v>1.8344885892144467</v>
      </c>
      <c r="O653" s="31">
        <f t="shared" si="43"/>
        <v>0.790041311863377</v>
      </c>
    </row>
    <row r="654" spans="1:15" x14ac:dyDescent="0.25">
      <c r="A654" t="s">
        <v>6391</v>
      </c>
      <c r="B654" t="s">
        <v>1307</v>
      </c>
      <c r="C654" s="3" t="s">
        <v>1308</v>
      </c>
      <c r="D654" s="24">
        <v>1.4633999999999999E-2</v>
      </c>
      <c r="E654" s="25">
        <v>10.16</v>
      </c>
      <c r="F654" s="25">
        <v>9.41</v>
      </c>
      <c r="G654" s="26">
        <v>0.75460000000000005</v>
      </c>
      <c r="H654" s="27">
        <v>0.22239999999999999</v>
      </c>
      <c r="I654" s="26">
        <v>3.3919999999999999</v>
      </c>
      <c r="J654" s="28">
        <v>6</v>
      </c>
      <c r="K654" s="27">
        <v>6.1879000000000003E-2</v>
      </c>
      <c r="L654" s="29">
        <f t="shared" si="40"/>
        <v>1.2084567133629593</v>
      </c>
      <c r="M654" s="29">
        <f t="shared" si="41"/>
        <v>0.74999999999999967</v>
      </c>
      <c r="N654" s="30">
        <f t="shared" si="42"/>
        <v>1.8346369493026256</v>
      </c>
      <c r="O654" s="31">
        <f t="shared" si="43"/>
        <v>1.6817928305074286</v>
      </c>
    </row>
    <row r="655" spans="1:15" x14ac:dyDescent="0.25">
      <c r="A655" t="s">
        <v>6392</v>
      </c>
      <c r="B655" t="s">
        <v>1311</v>
      </c>
      <c r="C655" s="3" t="s">
        <v>1312</v>
      </c>
      <c r="D655" s="24">
        <v>1.465E-2</v>
      </c>
      <c r="E655" s="25">
        <v>9.5939999999999994</v>
      </c>
      <c r="F655" s="25">
        <v>9.2070000000000007</v>
      </c>
      <c r="G655" s="26">
        <v>0.38729999999999998</v>
      </c>
      <c r="H655" s="27">
        <v>0.1142</v>
      </c>
      <c r="I655" s="26">
        <v>3.391</v>
      </c>
      <c r="J655" s="28">
        <v>6</v>
      </c>
      <c r="K655" s="27">
        <v>6.1879000000000003E-2</v>
      </c>
      <c r="L655" s="29">
        <f t="shared" si="40"/>
        <v>1.2084567133629593</v>
      </c>
      <c r="M655" s="29">
        <f t="shared" si="41"/>
        <v>0.38699999999999873</v>
      </c>
      <c r="N655" s="30">
        <f t="shared" si="42"/>
        <v>1.8341623753098715</v>
      </c>
      <c r="O655" s="31">
        <f t="shared" si="43"/>
        <v>1.3076713485367577</v>
      </c>
    </row>
    <row r="656" spans="1:15" x14ac:dyDescent="0.25">
      <c r="A656" t="s">
        <v>6393</v>
      </c>
      <c r="B656" t="s">
        <v>1315</v>
      </c>
      <c r="C656" s="3" t="s">
        <v>1316</v>
      </c>
      <c r="D656" s="24">
        <v>1.4749999999999999E-2</v>
      </c>
      <c r="E656" s="25">
        <v>7.7670000000000003</v>
      </c>
      <c r="F656" s="25">
        <v>8.8170000000000002</v>
      </c>
      <c r="G656" s="26">
        <v>-1.0509999999999999</v>
      </c>
      <c r="H656" s="27">
        <v>0.31030000000000002</v>
      </c>
      <c r="I656" s="26">
        <v>3.3860000000000001</v>
      </c>
      <c r="J656" s="28">
        <v>6</v>
      </c>
      <c r="K656" s="27">
        <v>6.2109999999999999E-2</v>
      </c>
      <c r="L656" s="29">
        <f t="shared" si="40"/>
        <v>1.2068384707544491</v>
      </c>
      <c r="M656" s="29">
        <f t="shared" si="41"/>
        <v>-1.0499999999999996</v>
      </c>
      <c r="N656" s="30">
        <f t="shared" si="42"/>
        <v>1.8312079796858178</v>
      </c>
      <c r="O656" s="31">
        <f t="shared" si="43"/>
        <v>0.48296816446242297</v>
      </c>
    </row>
    <row r="657" spans="1:15" x14ac:dyDescent="0.25">
      <c r="A657" t="s">
        <v>6394</v>
      </c>
      <c r="B657" t="s">
        <v>1313</v>
      </c>
      <c r="C657" s="3" t="s">
        <v>1314</v>
      </c>
      <c r="D657" s="24">
        <v>1.4739E-2</v>
      </c>
      <c r="E657" s="25">
        <v>7.9649999999999999</v>
      </c>
      <c r="F657" s="25">
        <v>7.532</v>
      </c>
      <c r="G657" s="26">
        <v>0.4325</v>
      </c>
      <c r="H657" s="27">
        <v>0.12770000000000001</v>
      </c>
      <c r="I657" s="26">
        <v>3.387</v>
      </c>
      <c r="J657" s="28">
        <v>6</v>
      </c>
      <c r="K657" s="27">
        <v>6.2109999999999999E-2</v>
      </c>
      <c r="L657" s="29">
        <f t="shared" si="40"/>
        <v>1.2068384707544491</v>
      </c>
      <c r="M657" s="29">
        <f t="shared" si="41"/>
        <v>0.43299999999999866</v>
      </c>
      <c r="N657" s="30">
        <f t="shared" si="42"/>
        <v>1.8315319811455155</v>
      </c>
      <c r="O657" s="31">
        <f t="shared" si="43"/>
        <v>1.3500379851227444</v>
      </c>
    </row>
    <row r="658" spans="1:15" x14ac:dyDescent="0.25">
      <c r="A658" t="s">
        <v>6395</v>
      </c>
      <c r="B658" t="s">
        <v>1317</v>
      </c>
      <c r="C658" s="3" t="s">
        <v>1318</v>
      </c>
      <c r="D658" s="24">
        <v>1.4840000000000001E-2</v>
      </c>
      <c r="E658" s="25">
        <v>11.85</v>
      </c>
      <c r="F658" s="25">
        <v>11.46</v>
      </c>
      <c r="G658" s="26">
        <v>0.39179999999999998</v>
      </c>
      <c r="H658" s="27">
        <v>0.1159</v>
      </c>
      <c r="I658" s="26">
        <v>3.3809999999999998</v>
      </c>
      <c r="J658" s="28">
        <v>6</v>
      </c>
      <c r="K658" s="27">
        <v>6.2394999999999999E-2</v>
      </c>
      <c r="L658" s="29">
        <f t="shared" si="40"/>
        <v>1.2048502109491825</v>
      </c>
      <c r="M658" s="29">
        <f t="shared" si="41"/>
        <v>0.38999999999999962</v>
      </c>
      <c r="N658" s="30">
        <f t="shared" si="42"/>
        <v>1.8285660990569916</v>
      </c>
      <c r="O658" s="31">
        <f t="shared" si="43"/>
        <v>1.3103934038583629</v>
      </c>
    </row>
    <row r="659" spans="1:15" x14ac:dyDescent="0.25">
      <c r="A659" t="s">
        <v>6396</v>
      </c>
      <c r="B659" t="s">
        <v>1319</v>
      </c>
      <c r="C659" s="3" t="s">
        <v>1320</v>
      </c>
      <c r="D659" s="24">
        <v>1.5126000000000001E-2</v>
      </c>
      <c r="E659" s="25">
        <v>14.37</v>
      </c>
      <c r="F659" s="25">
        <v>14.75</v>
      </c>
      <c r="G659" s="26">
        <v>-0.38009999999999999</v>
      </c>
      <c r="H659" s="27">
        <v>0.1129</v>
      </c>
      <c r="I659" s="26">
        <v>3.3660000000000001</v>
      </c>
      <c r="J659" s="28">
        <v>6</v>
      </c>
      <c r="K659" s="27">
        <v>6.3412999999999997E-2</v>
      </c>
      <c r="L659" s="29">
        <f t="shared" si="40"/>
        <v>1.1978217003278433</v>
      </c>
      <c r="M659" s="29">
        <f t="shared" si="41"/>
        <v>-0.37999999999999939</v>
      </c>
      <c r="N659" s="30">
        <f t="shared" si="42"/>
        <v>1.8202759039399103</v>
      </c>
      <c r="O659" s="31">
        <f t="shared" si="43"/>
        <v>0.76843759064400652</v>
      </c>
    </row>
    <row r="660" spans="1:15" x14ac:dyDescent="0.25">
      <c r="A660" t="s">
        <v>6397</v>
      </c>
      <c r="B660" t="s">
        <v>1321</v>
      </c>
      <c r="C660" s="3" t="s">
        <v>1322</v>
      </c>
      <c r="D660" s="24">
        <v>1.5128000000000001E-2</v>
      </c>
      <c r="E660" s="25">
        <v>8.3580000000000005</v>
      </c>
      <c r="F660" s="25">
        <v>7.8719999999999999</v>
      </c>
      <c r="G660" s="26">
        <v>0.4859</v>
      </c>
      <c r="H660" s="27">
        <v>0.1444</v>
      </c>
      <c r="I660" s="26">
        <v>3.3650000000000002</v>
      </c>
      <c r="J660" s="28">
        <v>6</v>
      </c>
      <c r="K660" s="27">
        <v>6.3412999999999997E-2</v>
      </c>
      <c r="L660" s="29">
        <f t="shared" si="40"/>
        <v>1.1978217003278433</v>
      </c>
      <c r="M660" s="29">
        <f t="shared" si="41"/>
        <v>0.48600000000000054</v>
      </c>
      <c r="N660" s="30">
        <f t="shared" si="42"/>
        <v>1.8202184841630165</v>
      </c>
      <c r="O660" s="31">
        <f t="shared" si="43"/>
        <v>1.4005563208872052</v>
      </c>
    </row>
    <row r="661" spans="1:15" x14ac:dyDescent="0.25">
      <c r="A661" t="s">
        <v>6398</v>
      </c>
      <c r="B661" t="s">
        <v>1323</v>
      </c>
      <c r="C661" s="3" t="s">
        <v>1324</v>
      </c>
      <c r="D661" s="24">
        <v>1.5239000000000001E-2</v>
      </c>
      <c r="E661" s="25">
        <v>14.11</v>
      </c>
      <c r="F661" s="25">
        <v>14.44</v>
      </c>
      <c r="G661" s="26">
        <v>-0.32950000000000002</v>
      </c>
      <c r="H661" s="27">
        <v>9.8089999999999997E-2</v>
      </c>
      <c r="I661" s="26">
        <v>3.36</v>
      </c>
      <c r="J661" s="28">
        <v>6</v>
      </c>
      <c r="K661" s="27">
        <v>6.3781000000000004E-2</v>
      </c>
      <c r="L661" s="29">
        <f t="shared" si="40"/>
        <v>1.1953086758883353</v>
      </c>
      <c r="M661" s="29">
        <f t="shared" si="41"/>
        <v>-0.32999999999999857</v>
      </c>
      <c r="N661" s="30">
        <f t="shared" si="42"/>
        <v>1.8170435309446489</v>
      </c>
      <c r="O661" s="31">
        <f t="shared" si="43"/>
        <v>0.79553648375491948</v>
      </c>
    </row>
    <row r="662" spans="1:15" x14ac:dyDescent="0.25">
      <c r="A662" t="s">
        <v>6399</v>
      </c>
      <c r="B662" t="s">
        <v>1325</v>
      </c>
      <c r="C662" s="3" t="s">
        <v>1326</v>
      </c>
      <c r="D662" s="24">
        <v>1.5269E-2</v>
      </c>
      <c r="E662" s="25">
        <v>8.5839999999999996</v>
      </c>
      <c r="F662" s="25">
        <v>8.0969999999999995</v>
      </c>
      <c r="G662" s="26">
        <v>0.4864</v>
      </c>
      <c r="H662" s="27">
        <v>0.1449</v>
      </c>
      <c r="I662" s="26">
        <v>3.3580000000000001</v>
      </c>
      <c r="J662" s="28">
        <v>6</v>
      </c>
      <c r="K662" s="27">
        <v>6.3810000000000006E-2</v>
      </c>
      <c r="L662" s="29">
        <f t="shared" si="40"/>
        <v>1.1951112553776084</v>
      </c>
      <c r="M662" s="29">
        <f t="shared" si="41"/>
        <v>0.48699999999999954</v>
      </c>
      <c r="N662" s="30">
        <f t="shared" si="42"/>
        <v>1.8161894049018654</v>
      </c>
      <c r="O662" s="31">
        <f t="shared" si="43"/>
        <v>1.4015274490807454</v>
      </c>
    </row>
    <row r="663" spans="1:15" x14ac:dyDescent="0.25">
      <c r="A663" t="s">
        <v>6400</v>
      </c>
      <c r="B663" t="s">
        <v>1327</v>
      </c>
      <c r="C663" s="3" t="s">
        <v>1328</v>
      </c>
      <c r="D663" s="24">
        <v>1.5298000000000001E-2</v>
      </c>
      <c r="E663" s="25">
        <v>9.61</v>
      </c>
      <c r="F663" s="25">
        <v>9.0299999999999994</v>
      </c>
      <c r="G663" s="26">
        <v>0.58069999999999999</v>
      </c>
      <c r="H663" s="27">
        <v>0.17299999999999999</v>
      </c>
      <c r="I663" s="26">
        <v>3.3559999999999999</v>
      </c>
      <c r="J663" s="28">
        <v>6</v>
      </c>
      <c r="K663" s="27">
        <v>6.3836000000000004E-2</v>
      </c>
      <c r="L663" s="29">
        <f t="shared" si="40"/>
        <v>1.1949343339435543</v>
      </c>
      <c r="M663" s="29">
        <f t="shared" si="41"/>
        <v>0.58000000000000029</v>
      </c>
      <c r="N663" s="30">
        <f t="shared" si="42"/>
        <v>1.815365343413726</v>
      </c>
      <c r="O663" s="31">
        <f t="shared" si="43"/>
        <v>1.4948492486349387</v>
      </c>
    </row>
    <row r="664" spans="1:15" x14ac:dyDescent="0.25">
      <c r="A664" t="s">
        <v>6401</v>
      </c>
      <c r="B664" t="s">
        <v>1329</v>
      </c>
      <c r="C664" s="3" t="s">
        <v>1330</v>
      </c>
      <c r="D664" s="24">
        <v>1.5429E-2</v>
      </c>
      <c r="E664" s="25">
        <v>9.5519999999999996</v>
      </c>
      <c r="F664" s="25">
        <v>9.2579999999999991</v>
      </c>
      <c r="G664" s="26">
        <v>0.29370000000000002</v>
      </c>
      <c r="H664" s="27">
        <v>8.77E-2</v>
      </c>
      <c r="I664" s="26">
        <v>3.3490000000000002</v>
      </c>
      <c r="J664" s="28">
        <v>6</v>
      </c>
      <c r="K664" s="27">
        <v>6.4224000000000003E-2</v>
      </c>
      <c r="L664" s="29">
        <f t="shared" si="40"/>
        <v>1.1923026491926085</v>
      </c>
      <c r="M664" s="29">
        <f t="shared" si="41"/>
        <v>0.29399999999999993</v>
      </c>
      <c r="N664" s="30">
        <f t="shared" si="42"/>
        <v>1.8116622209592472</v>
      </c>
      <c r="O664" s="31">
        <f t="shared" si="43"/>
        <v>1.2260348600531563</v>
      </c>
    </row>
    <row r="665" spans="1:15" x14ac:dyDescent="0.25">
      <c r="A665" t="s">
        <v>6402</v>
      </c>
      <c r="B665" t="s">
        <v>1331</v>
      </c>
      <c r="C665" s="3" t="s">
        <v>1332</v>
      </c>
      <c r="D665" s="24">
        <v>1.5438E-2</v>
      </c>
      <c r="E665" s="25">
        <v>9.3130000000000006</v>
      </c>
      <c r="F665" s="25">
        <v>9.0690000000000008</v>
      </c>
      <c r="G665" s="26">
        <v>0.24390000000000001</v>
      </c>
      <c r="H665" s="27">
        <v>7.2819999999999996E-2</v>
      </c>
      <c r="I665" s="26">
        <v>3.3490000000000002</v>
      </c>
      <c r="J665" s="28">
        <v>6</v>
      </c>
      <c r="K665" s="27">
        <v>6.4224000000000003E-2</v>
      </c>
      <c r="L665" s="29">
        <f t="shared" si="40"/>
        <v>1.1923026491926085</v>
      </c>
      <c r="M665" s="29">
        <f t="shared" si="41"/>
        <v>0.24399999999999958</v>
      </c>
      <c r="N665" s="30">
        <f t="shared" si="42"/>
        <v>1.8114089634060095</v>
      </c>
      <c r="O665" s="31">
        <f t="shared" si="43"/>
        <v>1.1842716118536323</v>
      </c>
    </row>
    <row r="666" spans="1:15" x14ac:dyDescent="0.25">
      <c r="A666" t="s">
        <v>6403</v>
      </c>
      <c r="B666" t="s">
        <v>1333</v>
      </c>
      <c r="C666" s="3" t="s">
        <v>1334</v>
      </c>
      <c r="D666" s="24">
        <v>1.5466000000000001E-2</v>
      </c>
      <c r="E666" s="25">
        <v>8.1890000000000001</v>
      </c>
      <c r="F666" s="25">
        <v>7.7</v>
      </c>
      <c r="G666" s="26">
        <v>0.4894</v>
      </c>
      <c r="H666" s="27">
        <v>0.1462</v>
      </c>
      <c r="I666" s="26">
        <v>3.3479999999999999</v>
      </c>
      <c r="J666" s="28">
        <v>6</v>
      </c>
      <c r="K666" s="27">
        <v>6.4245999999999998E-2</v>
      </c>
      <c r="L666" s="29">
        <f t="shared" si="40"/>
        <v>1.1921539066271025</v>
      </c>
      <c r="M666" s="29">
        <f t="shared" si="41"/>
        <v>0.48900000000000038</v>
      </c>
      <c r="N666" s="30">
        <f t="shared" si="42"/>
        <v>1.8106219941579698</v>
      </c>
      <c r="O666" s="31">
        <f t="shared" si="43"/>
        <v>1.4034717260390757</v>
      </c>
    </row>
    <row r="667" spans="1:15" x14ac:dyDescent="0.25">
      <c r="A667" t="s">
        <v>6404</v>
      </c>
      <c r="B667" t="s">
        <v>1335</v>
      </c>
      <c r="C667" s="3" t="s">
        <v>1336</v>
      </c>
      <c r="D667" s="24">
        <v>1.5497E-2</v>
      </c>
      <c r="E667" s="25">
        <v>10.71</v>
      </c>
      <c r="F667" s="25">
        <v>10.89</v>
      </c>
      <c r="G667" s="26">
        <v>-0.17780000000000001</v>
      </c>
      <c r="H667" s="27">
        <v>5.314E-2</v>
      </c>
      <c r="I667" s="26">
        <v>3.3460000000000001</v>
      </c>
      <c r="J667" s="28">
        <v>6</v>
      </c>
      <c r="K667" s="27">
        <v>6.4278000000000002E-2</v>
      </c>
      <c r="L667" s="29">
        <f t="shared" si="40"/>
        <v>1.1919376447039118</v>
      </c>
      <c r="M667" s="29">
        <f t="shared" si="41"/>
        <v>-0.17999999999999913</v>
      </c>
      <c r="N667" s="30">
        <f t="shared" si="42"/>
        <v>1.8097523669618034</v>
      </c>
      <c r="O667" s="31">
        <f t="shared" si="43"/>
        <v>0.88270299629065541</v>
      </c>
    </row>
    <row r="668" spans="1:15" x14ac:dyDescent="0.25">
      <c r="A668" t="s">
        <v>6405</v>
      </c>
      <c r="B668" t="s">
        <v>1337</v>
      </c>
      <c r="C668" s="3" t="s">
        <v>1338</v>
      </c>
      <c r="D668" s="24">
        <v>1.5618999999999999E-2</v>
      </c>
      <c r="E668" s="25">
        <v>10.69</v>
      </c>
      <c r="F668" s="25">
        <v>11.22</v>
      </c>
      <c r="G668" s="26">
        <v>-0.53200000000000003</v>
      </c>
      <c r="H668" s="27">
        <v>0.1593</v>
      </c>
      <c r="I668" s="26">
        <v>3.34</v>
      </c>
      <c r="J668" s="28">
        <v>6</v>
      </c>
      <c r="K668" s="27">
        <v>6.4685999999999994E-2</v>
      </c>
      <c r="L668" s="29">
        <f t="shared" si="40"/>
        <v>1.1891897035764323</v>
      </c>
      <c r="M668" s="29">
        <f t="shared" si="41"/>
        <v>-0.53000000000000014</v>
      </c>
      <c r="N668" s="30">
        <f t="shared" si="42"/>
        <v>1.8063467750928008</v>
      </c>
      <c r="O668" s="31">
        <f t="shared" si="43"/>
        <v>0.69255473405546231</v>
      </c>
    </row>
    <row r="669" spans="1:15" x14ac:dyDescent="0.25">
      <c r="A669" t="s">
        <v>6406</v>
      </c>
      <c r="B669" t="s">
        <v>1339</v>
      </c>
      <c r="C669" s="3" t="s">
        <v>1340</v>
      </c>
      <c r="D669" s="24">
        <v>1.5657999999999998E-2</v>
      </c>
      <c r="E669" s="25">
        <v>10.44</v>
      </c>
      <c r="F669" s="25">
        <v>10.79</v>
      </c>
      <c r="G669" s="26">
        <v>-0.35060000000000002</v>
      </c>
      <c r="H669" s="27">
        <v>0.105</v>
      </c>
      <c r="I669" s="26">
        <v>3.3380000000000001</v>
      </c>
      <c r="J669" s="28">
        <v>6</v>
      </c>
      <c r="K669" s="27">
        <v>6.4751000000000003E-2</v>
      </c>
      <c r="L669" s="29">
        <f t="shared" si="40"/>
        <v>1.1887535200478176</v>
      </c>
      <c r="M669" s="29">
        <f t="shared" si="41"/>
        <v>-0.34999999999999931</v>
      </c>
      <c r="N669" s="30">
        <f t="shared" si="42"/>
        <v>1.8052637112713052</v>
      </c>
      <c r="O669" s="31">
        <f t="shared" si="43"/>
        <v>0.7845840978967511</v>
      </c>
    </row>
    <row r="670" spans="1:15" x14ac:dyDescent="0.25">
      <c r="A670" t="s">
        <v>6407</v>
      </c>
      <c r="B670" t="s">
        <v>1341</v>
      </c>
      <c r="C670" s="3" t="s">
        <v>1342</v>
      </c>
      <c r="D670" s="24">
        <v>1.5753E-2</v>
      </c>
      <c r="E670" s="25">
        <v>9.8889999999999993</v>
      </c>
      <c r="F670" s="25">
        <v>10.32</v>
      </c>
      <c r="G670" s="26">
        <v>-0.43409999999999999</v>
      </c>
      <c r="H670" s="27">
        <v>0.13020000000000001</v>
      </c>
      <c r="I670" s="26">
        <v>3.3330000000000002</v>
      </c>
      <c r="J670" s="28">
        <v>6</v>
      </c>
      <c r="K670" s="27">
        <v>6.5046000000000007E-2</v>
      </c>
      <c r="L670" s="29">
        <f t="shared" si="40"/>
        <v>1.1867794051952516</v>
      </c>
      <c r="M670" s="29">
        <f t="shared" si="41"/>
        <v>-0.43100000000000022</v>
      </c>
      <c r="N670" s="30">
        <f t="shared" si="42"/>
        <v>1.8026367269932804</v>
      </c>
      <c r="O670" s="31">
        <f t="shared" si="43"/>
        <v>0.74174746692056082</v>
      </c>
    </row>
    <row r="671" spans="1:15" x14ac:dyDescent="0.25">
      <c r="A671" t="s">
        <v>6408</v>
      </c>
      <c r="B671" t="s">
        <v>1349</v>
      </c>
      <c r="C671" s="3" t="s">
        <v>1350</v>
      </c>
      <c r="D671" s="24">
        <v>1.6098000000000001E-2</v>
      </c>
      <c r="E671" s="25">
        <v>8.8190000000000008</v>
      </c>
      <c r="F671" s="25">
        <v>8.3059999999999992</v>
      </c>
      <c r="G671" s="26">
        <v>0.51300000000000001</v>
      </c>
      <c r="H671" s="27">
        <v>0.1547</v>
      </c>
      <c r="I671" s="26">
        <v>3.3149999999999999</v>
      </c>
      <c r="J671" s="28">
        <v>6</v>
      </c>
      <c r="K671" s="27">
        <v>6.6074999999999995E-2</v>
      </c>
      <c r="L671" s="29">
        <f t="shared" si="40"/>
        <v>1.179962828196252</v>
      </c>
      <c r="M671" s="29">
        <f t="shared" si="41"/>
        <v>0.51300000000000157</v>
      </c>
      <c r="N671" s="30">
        <f t="shared" si="42"/>
        <v>1.7932280769444173</v>
      </c>
      <c r="O671" s="31">
        <f t="shared" si="43"/>
        <v>1.4270145057178802</v>
      </c>
    </row>
    <row r="672" spans="1:15" x14ac:dyDescent="0.25">
      <c r="A672" t="s">
        <v>6409</v>
      </c>
      <c r="B672" t="s">
        <v>1347</v>
      </c>
      <c r="C672" s="3" t="s">
        <v>1348</v>
      </c>
      <c r="D672" s="24">
        <v>1.6095999999999999E-2</v>
      </c>
      <c r="E672" s="25">
        <v>9.0440000000000005</v>
      </c>
      <c r="F672" s="25">
        <v>9.2829999999999995</v>
      </c>
      <c r="G672" s="26">
        <v>-0.23930000000000001</v>
      </c>
      <c r="H672" s="27">
        <v>7.2169999999999998E-2</v>
      </c>
      <c r="I672" s="26">
        <v>3.3149999999999999</v>
      </c>
      <c r="J672" s="28">
        <v>6</v>
      </c>
      <c r="K672" s="27">
        <v>6.6074999999999995E-2</v>
      </c>
      <c r="L672" s="29">
        <f t="shared" si="40"/>
        <v>1.179962828196252</v>
      </c>
      <c r="M672" s="29">
        <f t="shared" si="41"/>
        <v>-0.2389999999999986</v>
      </c>
      <c r="N672" s="30">
        <f t="shared" si="42"/>
        <v>1.7932820366241664</v>
      </c>
      <c r="O672" s="31">
        <f t="shared" si="43"/>
        <v>0.8473324349461191</v>
      </c>
    </row>
    <row r="673" spans="1:15" x14ac:dyDescent="0.25">
      <c r="A673" t="s">
        <v>6410</v>
      </c>
      <c r="B673" t="s">
        <v>1345</v>
      </c>
      <c r="C673" s="3" t="s">
        <v>1346</v>
      </c>
      <c r="D673" s="24">
        <v>1.6074999999999999E-2</v>
      </c>
      <c r="E673" s="25">
        <v>7.9470000000000001</v>
      </c>
      <c r="F673" s="25">
        <v>7.3659999999999997</v>
      </c>
      <c r="G673" s="26">
        <v>0.58089999999999997</v>
      </c>
      <c r="H673" s="27">
        <v>0.17519999999999999</v>
      </c>
      <c r="I673" s="26">
        <v>3.3159999999999998</v>
      </c>
      <c r="J673" s="28">
        <v>6</v>
      </c>
      <c r="K673" s="27">
        <v>6.6074999999999995E-2</v>
      </c>
      <c r="L673" s="29">
        <f t="shared" si="40"/>
        <v>1.179962828196252</v>
      </c>
      <c r="M673" s="29">
        <f t="shared" si="41"/>
        <v>0.58100000000000107</v>
      </c>
      <c r="N673" s="30">
        <f t="shared" si="42"/>
        <v>1.7938490184037403</v>
      </c>
      <c r="O673" s="31">
        <f t="shared" si="43"/>
        <v>1.495885758362391</v>
      </c>
    </row>
    <row r="674" spans="1:15" x14ac:dyDescent="0.25">
      <c r="A674" t="s">
        <v>6411</v>
      </c>
      <c r="B674" t="s">
        <v>1343</v>
      </c>
      <c r="C674" s="3" t="s">
        <v>1344</v>
      </c>
      <c r="D674" s="24">
        <v>1.6074999999999999E-2</v>
      </c>
      <c r="E674" s="25">
        <v>8.3369999999999997</v>
      </c>
      <c r="F674" s="25">
        <v>8.9179999999999993</v>
      </c>
      <c r="G674" s="26">
        <v>-0.58030000000000004</v>
      </c>
      <c r="H674" s="27">
        <v>0.17499999999999999</v>
      </c>
      <c r="I674" s="26">
        <v>3.3159999999999998</v>
      </c>
      <c r="J674" s="28">
        <v>6</v>
      </c>
      <c r="K674" s="27">
        <v>6.6074999999999995E-2</v>
      </c>
      <c r="L674" s="29">
        <f t="shared" si="40"/>
        <v>1.179962828196252</v>
      </c>
      <c r="M674" s="29">
        <f t="shared" si="41"/>
        <v>-0.58099999999999841</v>
      </c>
      <c r="N674" s="30">
        <f t="shared" si="42"/>
        <v>1.7938490184037403</v>
      </c>
      <c r="O674" s="31">
        <f t="shared" si="43"/>
        <v>0.66850024770256777</v>
      </c>
    </row>
    <row r="675" spans="1:15" x14ac:dyDescent="0.25">
      <c r="A675" t="s">
        <v>6412</v>
      </c>
      <c r="B675" t="s">
        <v>1355</v>
      </c>
      <c r="C675" s="3" t="s">
        <v>1356</v>
      </c>
      <c r="D675" s="24">
        <v>1.6320000000000001E-2</v>
      </c>
      <c r="E675" s="25">
        <v>10.32</v>
      </c>
      <c r="F675" s="25">
        <v>9.9529999999999994</v>
      </c>
      <c r="G675" s="26">
        <v>0.36680000000000001</v>
      </c>
      <c r="H675" s="27">
        <v>0.111</v>
      </c>
      <c r="I675" s="26">
        <v>3.3039999999999998</v>
      </c>
      <c r="J675" s="28">
        <v>6</v>
      </c>
      <c r="K675" s="27">
        <v>6.6688999999999998E-2</v>
      </c>
      <c r="L675" s="29">
        <f t="shared" si="40"/>
        <v>1.1759457947681515</v>
      </c>
      <c r="M675" s="29">
        <f t="shared" si="41"/>
        <v>0.36700000000000005</v>
      </c>
      <c r="N675" s="30">
        <f t="shared" si="42"/>
        <v>1.7872798455821577</v>
      </c>
      <c r="O675" s="31">
        <f t="shared" si="43"/>
        <v>1.2896682506558859</v>
      </c>
    </row>
    <row r="676" spans="1:15" x14ac:dyDescent="0.25">
      <c r="A676" t="s">
        <v>6413</v>
      </c>
      <c r="B676" t="s">
        <v>1353</v>
      </c>
      <c r="C676" s="3" t="s">
        <v>1354</v>
      </c>
      <c r="D676" s="24">
        <v>1.6320000000000001E-2</v>
      </c>
      <c r="E676" s="25">
        <v>10.32</v>
      </c>
      <c r="F676" s="25">
        <v>9.9529999999999994</v>
      </c>
      <c r="G676" s="26">
        <v>0.36680000000000001</v>
      </c>
      <c r="H676" s="27">
        <v>0.111</v>
      </c>
      <c r="I676" s="26">
        <v>3.3039999999999998</v>
      </c>
      <c r="J676" s="28">
        <v>6</v>
      </c>
      <c r="K676" s="27">
        <v>6.6688999999999998E-2</v>
      </c>
      <c r="L676" s="29">
        <f t="shared" si="40"/>
        <v>1.1759457947681515</v>
      </c>
      <c r="M676" s="29">
        <f t="shared" si="41"/>
        <v>0.36700000000000005</v>
      </c>
      <c r="N676" s="30">
        <f t="shared" si="42"/>
        <v>1.7872798455821577</v>
      </c>
      <c r="O676" s="31">
        <f t="shared" si="43"/>
        <v>1.2896682506558859</v>
      </c>
    </row>
    <row r="677" spans="1:15" x14ac:dyDescent="0.25">
      <c r="A677" t="s">
        <v>6414</v>
      </c>
      <c r="B677" t="s">
        <v>1351</v>
      </c>
      <c r="C677" s="3" t="s">
        <v>1352</v>
      </c>
      <c r="D677" s="24">
        <v>1.6278999999999998E-2</v>
      </c>
      <c r="E677" s="25">
        <v>8.1720000000000006</v>
      </c>
      <c r="F677" s="25">
        <v>7.5439999999999996</v>
      </c>
      <c r="G677" s="26">
        <v>0.62870000000000004</v>
      </c>
      <c r="H677" s="27">
        <v>0.19009999999999999</v>
      </c>
      <c r="I677" s="26">
        <v>3.306</v>
      </c>
      <c r="J677" s="28">
        <v>6</v>
      </c>
      <c r="K677" s="27">
        <v>6.6688999999999998E-2</v>
      </c>
      <c r="L677" s="29">
        <f t="shared" si="40"/>
        <v>1.1759457947681515</v>
      </c>
      <c r="M677" s="29">
        <f t="shared" si="41"/>
        <v>0.62800000000000156</v>
      </c>
      <c r="N677" s="30">
        <f t="shared" si="42"/>
        <v>1.7883722768313834</v>
      </c>
      <c r="O677" s="31">
        <f t="shared" si="43"/>
        <v>1.5454210992959763</v>
      </c>
    </row>
    <row r="678" spans="1:15" x14ac:dyDescent="0.25">
      <c r="A678" t="s">
        <v>6415</v>
      </c>
      <c r="B678" t="s">
        <v>1357</v>
      </c>
      <c r="C678" s="3" t="s">
        <v>1358</v>
      </c>
      <c r="D678" s="24">
        <v>1.6365999999999999E-2</v>
      </c>
      <c r="E678" s="25">
        <v>11.96</v>
      </c>
      <c r="F678" s="25">
        <v>11.42</v>
      </c>
      <c r="G678" s="26">
        <v>0.54339999999999999</v>
      </c>
      <c r="H678" s="27">
        <v>0.1646</v>
      </c>
      <c r="I678" s="26">
        <v>3.302</v>
      </c>
      <c r="J678" s="28">
        <v>6</v>
      </c>
      <c r="K678" s="27">
        <v>6.6776000000000002E-2</v>
      </c>
      <c r="L678" s="29">
        <f t="shared" si="40"/>
        <v>1.1753795995068139</v>
      </c>
      <c r="M678" s="29">
        <f t="shared" si="41"/>
        <v>0.54000000000000037</v>
      </c>
      <c r="N678" s="30">
        <f t="shared" si="42"/>
        <v>1.7860574531599216</v>
      </c>
      <c r="O678" s="31">
        <f t="shared" si="43"/>
        <v>1.4539725173203109</v>
      </c>
    </row>
    <row r="679" spans="1:15" x14ac:dyDescent="0.25">
      <c r="A679" t="s">
        <v>6416</v>
      </c>
      <c r="B679" t="s">
        <v>1359</v>
      </c>
      <c r="C679" s="3" t="s">
        <v>1360</v>
      </c>
      <c r="D679" s="24">
        <v>1.6416E-2</v>
      </c>
      <c r="E679" s="25">
        <v>10.41</v>
      </c>
      <c r="F679" s="25">
        <v>10.19</v>
      </c>
      <c r="G679" s="26">
        <v>0.2165</v>
      </c>
      <c r="H679" s="27">
        <v>6.5610000000000002E-2</v>
      </c>
      <c r="I679" s="26">
        <v>3.3</v>
      </c>
      <c r="J679" s="28">
        <v>6</v>
      </c>
      <c r="K679" s="27">
        <v>6.6881999999999997E-2</v>
      </c>
      <c r="L679" s="29">
        <f t="shared" si="40"/>
        <v>1.1746907484880471</v>
      </c>
      <c r="M679" s="29">
        <f t="shared" si="41"/>
        <v>0.22000000000000053</v>
      </c>
      <c r="N679" s="30">
        <f t="shared" si="42"/>
        <v>1.7847326565682777</v>
      </c>
      <c r="O679" s="31">
        <f t="shared" si="43"/>
        <v>1.1647335864684563</v>
      </c>
    </row>
    <row r="680" spans="1:15" x14ac:dyDescent="0.25">
      <c r="A680" t="s">
        <v>6417</v>
      </c>
      <c r="B680" t="s">
        <v>1363</v>
      </c>
      <c r="C680" s="3" t="s">
        <v>1364</v>
      </c>
      <c r="D680" s="24">
        <v>1.6563000000000001E-2</v>
      </c>
      <c r="E680" s="25">
        <v>10.76</v>
      </c>
      <c r="F680" s="25">
        <v>11.13</v>
      </c>
      <c r="G680" s="26">
        <v>-0.37240000000000001</v>
      </c>
      <c r="H680" s="27">
        <v>0.11310000000000001</v>
      </c>
      <c r="I680" s="26">
        <v>3.2919999999999998</v>
      </c>
      <c r="J680" s="28">
        <v>6</v>
      </c>
      <c r="K680" s="27">
        <v>6.7282999999999996E-2</v>
      </c>
      <c r="L680" s="29">
        <f t="shared" si="40"/>
        <v>1.1720946525490423</v>
      </c>
      <c r="M680" s="29">
        <f t="shared" si="41"/>
        <v>-0.37000000000000005</v>
      </c>
      <c r="N680" s="30">
        <f t="shared" si="42"/>
        <v>1.780860998140199</v>
      </c>
      <c r="O680" s="31">
        <f t="shared" si="43"/>
        <v>0.77378249677119493</v>
      </c>
    </row>
    <row r="681" spans="1:15" x14ac:dyDescent="0.25">
      <c r="A681" t="s">
        <v>6418</v>
      </c>
      <c r="B681" t="s">
        <v>1361</v>
      </c>
      <c r="C681" s="3" t="s">
        <v>1362</v>
      </c>
      <c r="D681" s="24">
        <v>1.6559999999999998E-2</v>
      </c>
      <c r="E681" s="25">
        <v>10.19</v>
      </c>
      <c r="F681" s="25">
        <v>10.53</v>
      </c>
      <c r="G681" s="26">
        <v>-0.33879999999999999</v>
      </c>
      <c r="H681" s="27">
        <v>0.10290000000000001</v>
      </c>
      <c r="I681" s="26">
        <v>3.2930000000000001</v>
      </c>
      <c r="J681" s="28">
        <v>6</v>
      </c>
      <c r="K681" s="27">
        <v>6.7282999999999996E-2</v>
      </c>
      <c r="L681" s="29">
        <f t="shared" si="40"/>
        <v>1.1720946525490423</v>
      </c>
      <c r="M681" s="29">
        <f t="shared" si="41"/>
        <v>-0.33999999999999886</v>
      </c>
      <c r="N681" s="30">
        <f t="shared" si="42"/>
        <v>1.7809396675511386</v>
      </c>
      <c r="O681" s="31">
        <f t="shared" si="43"/>
        <v>0.79004131186337778</v>
      </c>
    </row>
    <row r="682" spans="1:15" x14ac:dyDescent="0.25">
      <c r="A682" t="s">
        <v>6419</v>
      </c>
      <c r="B682" t="s">
        <v>1365</v>
      </c>
      <c r="C682" s="3" t="s">
        <v>1366</v>
      </c>
      <c r="D682" s="24">
        <v>1.6615000000000001E-2</v>
      </c>
      <c r="E682" s="25">
        <v>10.09</v>
      </c>
      <c r="F682" s="25">
        <v>9.6989999999999998</v>
      </c>
      <c r="G682" s="26">
        <v>0.3931</v>
      </c>
      <c r="H682" s="27">
        <v>0.1195</v>
      </c>
      <c r="I682" s="26">
        <v>3.29</v>
      </c>
      <c r="J682" s="28">
        <v>6</v>
      </c>
      <c r="K682" s="27">
        <v>6.7396999999999999E-2</v>
      </c>
      <c r="L682" s="29">
        <f t="shared" si="40"/>
        <v>1.1713594345098208</v>
      </c>
      <c r="M682" s="29">
        <f t="shared" si="41"/>
        <v>0.39100000000000013</v>
      </c>
      <c r="N682" s="30">
        <f t="shared" si="42"/>
        <v>1.7794996543852701</v>
      </c>
      <c r="O682" s="31">
        <f t="shared" si="43"/>
        <v>1.3113020142156471</v>
      </c>
    </row>
    <row r="683" spans="1:15" x14ac:dyDescent="0.25">
      <c r="A683" t="s">
        <v>6420</v>
      </c>
      <c r="B683" t="s">
        <v>1367</v>
      </c>
      <c r="C683" s="3" t="s">
        <v>1368</v>
      </c>
      <c r="D683" s="24">
        <v>1.6657999999999999E-2</v>
      </c>
      <c r="E683" s="25">
        <v>9.4450000000000003</v>
      </c>
      <c r="F683" s="25">
        <v>9.1470000000000002</v>
      </c>
      <c r="G683" s="26">
        <v>0.29749999999999999</v>
      </c>
      <c r="H683" s="27">
        <v>9.0480000000000005E-2</v>
      </c>
      <c r="I683" s="26">
        <v>3.2879999999999998</v>
      </c>
      <c r="J683" s="28">
        <v>6</v>
      </c>
      <c r="K683" s="27">
        <v>6.7472000000000004E-2</v>
      </c>
      <c r="L683" s="29">
        <f t="shared" si="40"/>
        <v>1.1708764163292116</v>
      </c>
      <c r="M683" s="29">
        <f t="shared" si="41"/>
        <v>0.2979999999999991</v>
      </c>
      <c r="N683" s="30">
        <f t="shared" si="42"/>
        <v>1.7783771422512102</v>
      </c>
      <c r="O683" s="31">
        <f t="shared" si="43"/>
        <v>1.22943886725458</v>
      </c>
    </row>
    <row r="684" spans="1:15" x14ac:dyDescent="0.25">
      <c r="A684" t="s">
        <v>6421</v>
      </c>
      <c r="B684" t="s">
        <v>1369</v>
      </c>
      <c r="C684" s="3" t="s">
        <v>1370</v>
      </c>
      <c r="D684" s="24">
        <v>1.6754000000000002E-2</v>
      </c>
      <c r="E684" s="25">
        <v>9.9309999999999992</v>
      </c>
      <c r="F684" s="25">
        <v>8.5920000000000005</v>
      </c>
      <c r="G684" s="26">
        <v>1.339</v>
      </c>
      <c r="H684" s="27">
        <v>0.40770000000000001</v>
      </c>
      <c r="I684" s="26">
        <v>3.2829999999999999</v>
      </c>
      <c r="J684" s="28">
        <v>6</v>
      </c>
      <c r="K684" s="27">
        <v>6.7760000000000001E-2</v>
      </c>
      <c r="L684" s="29">
        <f t="shared" si="40"/>
        <v>1.1690266026773495</v>
      </c>
      <c r="M684" s="29">
        <f t="shared" si="41"/>
        <v>1.3389999999999989</v>
      </c>
      <c r="N684" s="30">
        <f t="shared" si="42"/>
        <v>1.7758814888936194</v>
      </c>
      <c r="O684" s="31">
        <f t="shared" si="43"/>
        <v>2.5297590847078717</v>
      </c>
    </row>
    <row r="685" spans="1:15" x14ac:dyDescent="0.25">
      <c r="A685" t="s">
        <v>6422</v>
      </c>
      <c r="B685" t="s">
        <v>1371</v>
      </c>
      <c r="C685" s="3" t="s">
        <v>1372</v>
      </c>
      <c r="D685" s="24">
        <v>1.6788999999999998E-2</v>
      </c>
      <c r="E685" s="25">
        <v>10.28</v>
      </c>
      <c r="F685" s="25">
        <v>9.9979999999999993</v>
      </c>
      <c r="G685" s="26">
        <v>0.27879999999999999</v>
      </c>
      <c r="H685" s="27">
        <v>8.4959999999999994E-2</v>
      </c>
      <c r="I685" s="26">
        <v>3.282</v>
      </c>
      <c r="J685" s="28">
        <v>6</v>
      </c>
      <c r="K685" s="27">
        <v>6.7801E-2</v>
      </c>
      <c r="L685" s="29">
        <f t="shared" si="40"/>
        <v>1.1687639006568427</v>
      </c>
      <c r="M685" s="29">
        <f t="shared" si="41"/>
        <v>0.28200000000000008</v>
      </c>
      <c r="N685" s="30">
        <f t="shared" si="42"/>
        <v>1.7749751708908699</v>
      </c>
      <c r="O685" s="31">
        <f t="shared" si="43"/>
        <v>1.2158792831830971</v>
      </c>
    </row>
    <row r="686" spans="1:15" x14ac:dyDescent="0.25">
      <c r="A686" t="s">
        <v>6423</v>
      </c>
      <c r="B686" t="s">
        <v>1373</v>
      </c>
      <c r="C686" s="3" t="s">
        <v>1374</v>
      </c>
      <c r="D686" s="24">
        <v>1.6816999999999999E-2</v>
      </c>
      <c r="E686" s="25">
        <v>9.0730000000000004</v>
      </c>
      <c r="F686" s="25">
        <v>8.7710000000000008</v>
      </c>
      <c r="G686" s="26">
        <v>0.30159999999999998</v>
      </c>
      <c r="H686" s="27">
        <v>9.196E-2</v>
      </c>
      <c r="I686" s="26">
        <v>3.28</v>
      </c>
      <c r="J686" s="28">
        <v>6</v>
      </c>
      <c r="K686" s="27">
        <v>6.7816000000000001E-2</v>
      </c>
      <c r="L686" s="29">
        <f t="shared" si="40"/>
        <v>1.1686678298507471</v>
      </c>
      <c r="M686" s="29">
        <f t="shared" si="41"/>
        <v>0.30199999999999949</v>
      </c>
      <c r="N686" s="30">
        <f t="shared" si="42"/>
        <v>1.7742514758181354</v>
      </c>
      <c r="O686" s="31">
        <f t="shared" si="43"/>
        <v>1.2328523254638062</v>
      </c>
    </row>
    <row r="687" spans="1:15" x14ac:dyDescent="0.25">
      <c r="A687" t="s">
        <v>6424</v>
      </c>
      <c r="B687" t="s">
        <v>1375</v>
      </c>
      <c r="C687" s="3" t="s">
        <v>1376</v>
      </c>
      <c r="D687" s="24">
        <v>1.7044E-2</v>
      </c>
      <c r="E687" s="25">
        <v>9.9960000000000004</v>
      </c>
      <c r="F687" s="25">
        <v>9.6300000000000008</v>
      </c>
      <c r="G687" s="26">
        <v>0.36649999999999999</v>
      </c>
      <c r="H687" s="27">
        <v>0.11210000000000001</v>
      </c>
      <c r="I687" s="26">
        <v>3.27</v>
      </c>
      <c r="J687" s="28">
        <v>6</v>
      </c>
      <c r="K687" s="27">
        <v>6.8629999999999997E-2</v>
      </c>
      <c r="L687" s="29">
        <f t="shared" si="40"/>
        <v>1.1634860011093284</v>
      </c>
      <c r="M687" s="29">
        <f t="shared" si="41"/>
        <v>0.36599999999999844</v>
      </c>
      <c r="N687" s="30">
        <f t="shared" si="42"/>
        <v>1.7684284744715841</v>
      </c>
      <c r="O687" s="31">
        <f t="shared" si="43"/>
        <v>1.2887746304850141</v>
      </c>
    </row>
    <row r="688" spans="1:15" x14ac:dyDescent="0.25">
      <c r="A688" t="s">
        <v>6425</v>
      </c>
      <c r="B688" t="s">
        <v>1381</v>
      </c>
      <c r="C688" s="3" t="s">
        <v>1382</v>
      </c>
      <c r="D688" s="24">
        <v>1.7409000000000001E-2</v>
      </c>
      <c r="E688" s="25">
        <v>8.7639999999999993</v>
      </c>
      <c r="F688" s="25">
        <v>8.4469999999999992</v>
      </c>
      <c r="G688" s="26">
        <v>0.31730000000000003</v>
      </c>
      <c r="H688" s="27">
        <v>9.7549999999999998E-2</v>
      </c>
      <c r="I688" s="26">
        <v>3.2530000000000001</v>
      </c>
      <c r="J688" s="28">
        <v>6</v>
      </c>
      <c r="K688" s="27">
        <v>6.9796999999999998E-2</v>
      </c>
      <c r="L688" s="29">
        <f t="shared" si="40"/>
        <v>1.1561632437299254</v>
      </c>
      <c r="M688" s="29">
        <f t="shared" si="41"/>
        <v>0.31699999999999967</v>
      </c>
      <c r="N688" s="30">
        <f t="shared" si="42"/>
        <v>1.7592261747158069</v>
      </c>
      <c r="O688" s="31">
        <f t="shared" si="43"/>
        <v>1.2457374155694736</v>
      </c>
    </row>
    <row r="689" spans="1:15" x14ac:dyDescent="0.25">
      <c r="A689" t="s">
        <v>6426</v>
      </c>
      <c r="B689" t="s">
        <v>1377</v>
      </c>
      <c r="C689" s="3" t="s">
        <v>1378</v>
      </c>
      <c r="D689" s="24">
        <v>1.7367E-2</v>
      </c>
      <c r="E689" s="25">
        <v>14.31</v>
      </c>
      <c r="F689" s="25">
        <v>14.59</v>
      </c>
      <c r="G689" s="26">
        <v>-0.2777</v>
      </c>
      <c r="H689" s="27">
        <v>8.5330000000000003E-2</v>
      </c>
      <c r="I689" s="26">
        <v>3.2549999999999999</v>
      </c>
      <c r="J689" s="28">
        <v>6</v>
      </c>
      <c r="K689" s="27">
        <v>6.9796999999999998E-2</v>
      </c>
      <c r="L689" s="29">
        <f t="shared" si="40"/>
        <v>1.1561632437299254</v>
      </c>
      <c r="M689" s="29">
        <f t="shared" si="41"/>
        <v>-0.28000000000000042</v>
      </c>
      <c r="N689" s="30">
        <f t="shared" si="42"/>
        <v>1.7602751957135339</v>
      </c>
      <c r="O689" s="31">
        <f t="shared" si="43"/>
        <v>0.82359101726757289</v>
      </c>
    </row>
    <row r="690" spans="1:15" x14ac:dyDescent="0.25">
      <c r="A690" t="s">
        <v>6427</v>
      </c>
      <c r="B690" t="s">
        <v>1379</v>
      </c>
      <c r="C690" s="3" t="s">
        <v>1380</v>
      </c>
      <c r="D690" s="24">
        <v>1.7387E-2</v>
      </c>
      <c r="E690" s="25">
        <v>7.8890000000000002</v>
      </c>
      <c r="F690" s="25">
        <v>7.4530000000000003</v>
      </c>
      <c r="G690" s="26">
        <v>0.436</v>
      </c>
      <c r="H690" s="27">
        <v>0.13400000000000001</v>
      </c>
      <c r="I690" s="26">
        <v>3.254</v>
      </c>
      <c r="J690" s="28">
        <v>6</v>
      </c>
      <c r="K690" s="27">
        <v>6.9796999999999998E-2</v>
      </c>
      <c r="L690" s="29">
        <f t="shared" si="40"/>
        <v>1.1561632437299254</v>
      </c>
      <c r="M690" s="29">
        <f t="shared" si="41"/>
        <v>0.43600000000000005</v>
      </c>
      <c r="N690" s="30">
        <f t="shared" si="42"/>
        <v>1.7597753458777223</v>
      </c>
      <c r="O690" s="31">
        <f t="shared" si="43"/>
        <v>1.3528482310502745</v>
      </c>
    </row>
    <row r="691" spans="1:15" x14ac:dyDescent="0.25">
      <c r="A691" t="s">
        <v>6428</v>
      </c>
      <c r="B691" t="s">
        <v>1383</v>
      </c>
      <c r="C691" s="3" t="s">
        <v>1384</v>
      </c>
      <c r="D691" s="24">
        <v>1.7500000000000002E-2</v>
      </c>
      <c r="E691" s="25">
        <v>13.69</v>
      </c>
      <c r="F691" s="25">
        <v>13.4</v>
      </c>
      <c r="G691" s="26">
        <v>0.29409999999999997</v>
      </c>
      <c r="H691" s="27">
        <v>9.0550000000000005E-2</v>
      </c>
      <c r="I691" s="26">
        <v>3.2480000000000002</v>
      </c>
      <c r="J691" s="28">
        <v>6</v>
      </c>
      <c r="K691" s="27">
        <v>7.0057999999999995E-2</v>
      </c>
      <c r="L691" s="29">
        <f t="shared" si="40"/>
        <v>1.1545422649823833</v>
      </c>
      <c r="M691" s="29">
        <f t="shared" si="41"/>
        <v>0.28999999999999965</v>
      </c>
      <c r="N691" s="30">
        <f t="shared" si="42"/>
        <v>1.7569619513137051</v>
      </c>
      <c r="O691" s="31">
        <f t="shared" si="43"/>
        <v>1.2226402776920682</v>
      </c>
    </row>
    <row r="692" spans="1:15" x14ac:dyDescent="0.25">
      <c r="A692" t="s">
        <v>6429</v>
      </c>
      <c r="B692" t="s">
        <v>1385</v>
      </c>
      <c r="C692" s="3" t="s">
        <v>1386</v>
      </c>
      <c r="D692" s="24">
        <v>1.7670999999999999E-2</v>
      </c>
      <c r="E692" s="25">
        <v>9.3490000000000002</v>
      </c>
      <c r="F692" s="25">
        <v>9.5879999999999992</v>
      </c>
      <c r="G692" s="26">
        <v>-0.2387</v>
      </c>
      <c r="H692" s="27">
        <v>7.3660000000000003E-2</v>
      </c>
      <c r="I692" s="26">
        <v>3.2410000000000001</v>
      </c>
      <c r="J692" s="28">
        <v>6</v>
      </c>
      <c r="K692" s="27">
        <v>7.0643999999999998E-2</v>
      </c>
      <c r="L692" s="29">
        <f t="shared" si="40"/>
        <v>1.150924718140206</v>
      </c>
      <c r="M692" s="29">
        <f t="shared" si="41"/>
        <v>-0.2389999999999986</v>
      </c>
      <c r="N692" s="30">
        <f t="shared" si="42"/>
        <v>1.7527388731195326</v>
      </c>
      <c r="O692" s="31">
        <f t="shared" si="43"/>
        <v>0.8473324349461191</v>
      </c>
    </row>
    <row r="693" spans="1:15" x14ac:dyDescent="0.25">
      <c r="A693" t="s">
        <v>6430</v>
      </c>
      <c r="B693" t="s">
        <v>1387</v>
      </c>
      <c r="C693" s="3" t="s">
        <v>1388</v>
      </c>
      <c r="D693" s="24">
        <v>1.7738E-2</v>
      </c>
      <c r="E693" s="25">
        <v>12.28</v>
      </c>
      <c r="F693" s="25">
        <v>11.94</v>
      </c>
      <c r="G693" s="26">
        <v>0.3392</v>
      </c>
      <c r="H693" s="27">
        <v>0.1048</v>
      </c>
      <c r="I693" s="26">
        <v>3.238</v>
      </c>
      <c r="J693" s="28">
        <v>6</v>
      </c>
      <c r="K693" s="27">
        <v>7.0806999999999995E-2</v>
      </c>
      <c r="L693" s="29">
        <f t="shared" si="40"/>
        <v>1.1499238057128056</v>
      </c>
      <c r="M693" s="29">
        <f t="shared" si="41"/>
        <v>0.34000000000000025</v>
      </c>
      <c r="N693" s="30">
        <f t="shared" si="42"/>
        <v>1.7510953494383203</v>
      </c>
      <c r="O693" s="31">
        <f t="shared" si="43"/>
        <v>1.2657565939702802</v>
      </c>
    </row>
    <row r="694" spans="1:15" x14ac:dyDescent="0.25">
      <c r="A694" t="s">
        <v>6431</v>
      </c>
      <c r="B694" t="s">
        <v>1395</v>
      </c>
      <c r="C694" s="3" t="s">
        <v>1396</v>
      </c>
      <c r="D694" s="24">
        <v>1.7894E-2</v>
      </c>
      <c r="E694" s="25">
        <v>12.91</v>
      </c>
      <c r="F694" s="25">
        <v>11.45</v>
      </c>
      <c r="G694" s="26">
        <v>1.4610000000000001</v>
      </c>
      <c r="H694" s="27">
        <v>0.45219999999999999</v>
      </c>
      <c r="I694" s="26">
        <v>3.2309999999999999</v>
      </c>
      <c r="J694" s="28">
        <v>6</v>
      </c>
      <c r="K694" s="27">
        <v>7.1021000000000001E-2</v>
      </c>
      <c r="L694" s="29">
        <f t="shared" si="40"/>
        <v>1.1486132169763297</v>
      </c>
      <c r="M694" s="29">
        <f t="shared" si="41"/>
        <v>1.4600000000000004</v>
      </c>
      <c r="N694" s="30">
        <f t="shared" si="42"/>
        <v>1.747292566992718</v>
      </c>
      <c r="O694" s="31">
        <f t="shared" si="43"/>
        <v>2.7510836362794877</v>
      </c>
    </row>
    <row r="695" spans="1:15" x14ac:dyDescent="0.25">
      <c r="A695" t="s">
        <v>6432</v>
      </c>
      <c r="B695" t="s">
        <v>1389</v>
      </c>
      <c r="C695" s="3" t="s">
        <v>1390</v>
      </c>
      <c r="D695" s="24">
        <v>1.7860999999999998E-2</v>
      </c>
      <c r="E695" s="25">
        <v>10.29</v>
      </c>
      <c r="F695" s="25">
        <v>9.6359999999999992</v>
      </c>
      <c r="G695" s="26">
        <v>0.65290000000000004</v>
      </c>
      <c r="H695" s="27">
        <v>0.20200000000000001</v>
      </c>
      <c r="I695" s="26">
        <v>3.2320000000000002</v>
      </c>
      <c r="J695" s="28">
        <v>6</v>
      </c>
      <c r="K695" s="27">
        <v>7.1021000000000001E-2</v>
      </c>
      <c r="L695" s="29">
        <f t="shared" si="40"/>
        <v>1.1486132169763297</v>
      </c>
      <c r="M695" s="29">
        <f t="shared" si="41"/>
        <v>0.65399999999999969</v>
      </c>
      <c r="N695" s="30">
        <f t="shared" si="42"/>
        <v>1.7480942295278721</v>
      </c>
      <c r="O695" s="31">
        <f t="shared" si="43"/>
        <v>1.5735248907071315</v>
      </c>
    </row>
    <row r="696" spans="1:15" x14ac:dyDescent="0.25">
      <c r="A696" t="s">
        <v>6433</v>
      </c>
      <c r="B696" t="s">
        <v>1393</v>
      </c>
      <c r="C696" s="3" t="s">
        <v>1394</v>
      </c>
      <c r="D696" s="24">
        <v>1.7888000000000001E-2</v>
      </c>
      <c r="E696" s="25">
        <v>9.9640000000000004</v>
      </c>
      <c r="F696" s="25">
        <v>9.3879999999999999</v>
      </c>
      <c r="G696" s="26">
        <v>0.57609999999999995</v>
      </c>
      <c r="H696" s="27">
        <v>0.17829999999999999</v>
      </c>
      <c r="I696" s="26">
        <v>3.2309999999999999</v>
      </c>
      <c r="J696" s="28">
        <v>6</v>
      </c>
      <c r="K696" s="27">
        <v>7.1021000000000001E-2</v>
      </c>
      <c r="L696" s="29">
        <f t="shared" si="40"/>
        <v>1.1486132169763297</v>
      </c>
      <c r="M696" s="29">
        <f t="shared" si="41"/>
        <v>0.57600000000000018</v>
      </c>
      <c r="N696" s="30">
        <f t="shared" si="42"/>
        <v>1.7474382137936706</v>
      </c>
      <c r="O696" s="31">
        <f t="shared" si="43"/>
        <v>1.4907103867989207</v>
      </c>
    </row>
    <row r="697" spans="1:15" x14ac:dyDescent="0.25">
      <c r="A697" t="s">
        <v>6434</v>
      </c>
      <c r="B697" t="s">
        <v>1391</v>
      </c>
      <c r="C697" s="3" t="s">
        <v>1392</v>
      </c>
      <c r="D697" s="24">
        <v>1.7885999999999999E-2</v>
      </c>
      <c r="E697" s="25">
        <v>10.84</v>
      </c>
      <c r="F697" s="25">
        <v>11.19</v>
      </c>
      <c r="G697" s="26">
        <v>-0.3574</v>
      </c>
      <c r="H697" s="27">
        <v>0.1106</v>
      </c>
      <c r="I697" s="26">
        <v>3.2309999999999999</v>
      </c>
      <c r="J697" s="28">
        <v>6</v>
      </c>
      <c r="K697" s="27">
        <v>7.1021000000000001E-2</v>
      </c>
      <c r="L697" s="29">
        <f t="shared" si="40"/>
        <v>1.1486132169763297</v>
      </c>
      <c r="M697" s="29">
        <f t="shared" si="41"/>
        <v>-0.35000000000000059</v>
      </c>
      <c r="N697" s="30">
        <f t="shared" si="42"/>
        <v>1.7474867735837254</v>
      </c>
      <c r="O697" s="31">
        <f t="shared" si="43"/>
        <v>0.78458409789675043</v>
      </c>
    </row>
    <row r="698" spans="1:15" x14ac:dyDescent="0.25">
      <c r="A698" t="s">
        <v>6435</v>
      </c>
      <c r="B698" t="s">
        <v>1397</v>
      </c>
      <c r="C698" s="3" t="s">
        <v>1398</v>
      </c>
      <c r="D698" s="24">
        <v>1.8043E-2</v>
      </c>
      <c r="E698" s="25">
        <v>10.71</v>
      </c>
      <c r="F698" s="25">
        <v>10.38</v>
      </c>
      <c r="G698" s="26">
        <v>0.33339999999999997</v>
      </c>
      <c r="H698" s="27">
        <v>0.10340000000000001</v>
      </c>
      <c r="I698" s="26">
        <v>3.2240000000000002</v>
      </c>
      <c r="J698" s="28">
        <v>6</v>
      </c>
      <c r="K698" s="27">
        <v>7.1510000000000004E-2</v>
      </c>
      <c r="L698" s="29">
        <f t="shared" si="40"/>
        <v>1.1456332219591303</v>
      </c>
      <c r="M698" s="29">
        <f t="shared" si="41"/>
        <v>0.33000000000000007</v>
      </c>
      <c r="N698" s="30">
        <f t="shared" si="42"/>
        <v>1.743691250878066</v>
      </c>
      <c r="O698" s="31">
        <f t="shared" si="43"/>
        <v>1.2570133745218284</v>
      </c>
    </row>
    <row r="699" spans="1:15" x14ac:dyDescent="0.25">
      <c r="A699" t="s">
        <v>6436</v>
      </c>
      <c r="B699" t="s">
        <v>1401</v>
      </c>
      <c r="C699" s="3" t="s">
        <v>1402</v>
      </c>
      <c r="D699" s="24">
        <v>1.8386E-2</v>
      </c>
      <c r="E699" s="25">
        <v>9.0449999999999999</v>
      </c>
      <c r="F699" s="25">
        <v>9.3059999999999992</v>
      </c>
      <c r="G699" s="26">
        <v>-0.2616</v>
      </c>
      <c r="H699" s="27">
        <v>8.1530000000000005E-2</v>
      </c>
      <c r="I699" s="26">
        <v>3.2090000000000001</v>
      </c>
      <c r="J699" s="28">
        <v>6</v>
      </c>
      <c r="K699" s="27">
        <v>7.2659000000000001E-2</v>
      </c>
      <c r="L699" s="29">
        <f t="shared" si="40"/>
        <v>1.1387105835923581</v>
      </c>
      <c r="M699" s="29">
        <f t="shared" si="41"/>
        <v>-0.26099999999999868</v>
      </c>
      <c r="N699" s="30">
        <f t="shared" si="42"/>
        <v>1.735512744219311</v>
      </c>
      <c r="O699" s="31">
        <f t="shared" si="43"/>
        <v>0.83450928115540979</v>
      </c>
    </row>
    <row r="700" spans="1:15" x14ac:dyDescent="0.25">
      <c r="A700" t="s">
        <v>6437</v>
      </c>
      <c r="B700" t="s">
        <v>1399</v>
      </c>
      <c r="C700" s="3" t="s">
        <v>1400</v>
      </c>
      <c r="D700" s="24">
        <v>1.8363000000000001E-2</v>
      </c>
      <c r="E700" s="25">
        <v>8.8309999999999995</v>
      </c>
      <c r="F700" s="25">
        <v>9.2850000000000001</v>
      </c>
      <c r="G700" s="26">
        <v>-0.45469999999999999</v>
      </c>
      <c r="H700" s="27">
        <v>0.14169999999999999</v>
      </c>
      <c r="I700" s="26">
        <v>3.21</v>
      </c>
      <c r="J700" s="28">
        <v>6</v>
      </c>
      <c r="K700" s="27">
        <v>7.2659000000000001E-2</v>
      </c>
      <c r="L700" s="29">
        <f t="shared" si="40"/>
        <v>1.1387105835923581</v>
      </c>
      <c r="M700" s="29">
        <f t="shared" si="41"/>
        <v>-0.45400000000000118</v>
      </c>
      <c r="N700" s="30">
        <f t="shared" si="42"/>
        <v>1.7360563657811499</v>
      </c>
      <c r="O700" s="31">
        <f t="shared" si="43"/>
        <v>0.73001600532726019</v>
      </c>
    </row>
    <row r="701" spans="1:15" x14ac:dyDescent="0.25">
      <c r="A701" t="s">
        <v>6438</v>
      </c>
      <c r="B701" t="s">
        <v>1403</v>
      </c>
      <c r="C701" s="3" t="s">
        <v>1404</v>
      </c>
      <c r="D701" s="24">
        <v>1.8577E-2</v>
      </c>
      <c r="E701" s="25">
        <v>10.49</v>
      </c>
      <c r="F701" s="25">
        <v>10.83</v>
      </c>
      <c r="G701" s="26">
        <v>-0.3453</v>
      </c>
      <c r="H701" s="27">
        <v>0.1079</v>
      </c>
      <c r="I701" s="26">
        <v>3.2010000000000001</v>
      </c>
      <c r="J701" s="28">
        <v>6</v>
      </c>
      <c r="K701" s="27">
        <v>7.331E-2</v>
      </c>
      <c r="L701" s="29">
        <f t="shared" si="40"/>
        <v>1.1348367804939137</v>
      </c>
      <c r="M701" s="29">
        <f t="shared" si="41"/>
        <v>-0.34000000000000025</v>
      </c>
      <c r="N701" s="30">
        <f t="shared" si="42"/>
        <v>1.7310244189021928</v>
      </c>
      <c r="O701" s="31">
        <f t="shared" si="43"/>
        <v>0.790041311863377</v>
      </c>
    </row>
    <row r="702" spans="1:15" x14ac:dyDescent="0.25">
      <c r="A702" t="s">
        <v>6439</v>
      </c>
      <c r="B702" t="s">
        <v>1405</v>
      </c>
      <c r="C702" s="3" t="s">
        <v>1406</v>
      </c>
      <c r="D702" s="24">
        <v>1.8624000000000002E-2</v>
      </c>
      <c r="E702" s="25">
        <v>8.2889999999999997</v>
      </c>
      <c r="F702" s="25">
        <v>8.1150000000000002</v>
      </c>
      <c r="G702" s="26">
        <v>0.17380000000000001</v>
      </c>
      <c r="H702" s="27">
        <v>5.4339999999999999E-2</v>
      </c>
      <c r="I702" s="26">
        <v>3.1989999999999998</v>
      </c>
      <c r="J702" s="28">
        <v>6</v>
      </c>
      <c r="K702" s="27">
        <v>7.3388999999999996E-2</v>
      </c>
      <c r="L702" s="29">
        <f t="shared" si="40"/>
        <v>1.1343690299654583</v>
      </c>
      <c r="M702" s="29">
        <f t="shared" si="41"/>
        <v>0.17399999999999921</v>
      </c>
      <c r="N702" s="30">
        <f t="shared" si="42"/>
        <v>1.7299270370302053</v>
      </c>
      <c r="O702" s="31">
        <f t="shared" si="43"/>
        <v>1.1281821374565109</v>
      </c>
    </row>
    <row r="703" spans="1:15" x14ac:dyDescent="0.25">
      <c r="A703" t="s">
        <v>6440</v>
      </c>
      <c r="B703" t="s">
        <v>1407</v>
      </c>
      <c r="C703" s="3" t="s">
        <v>1408</v>
      </c>
      <c r="D703" s="24">
        <v>1.8822999999999999E-2</v>
      </c>
      <c r="E703" s="25">
        <v>9.77</v>
      </c>
      <c r="F703" s="25">
        <v>10</v>
      </c>
      <c r="G703" s="26">
        <v>-0.23050000000000001</v>
      </c>
      <c r="H703" s="27">
        <v>7.2260000000000005E-2</v>
      </c>
      <c r="I703" s="26">
        <v>3.1909999999999998</v>
      </c>
      <c r="J703" s="28">
        <v>6</v>
      </c>
      <c r="K703" s="27">
        <v>7.4068999999999996E-2</v>
      </c>
      <c r="L703" s="29">
        <f t="shared" si="40"/>
        <v>1.1303635186859722</v>
      </c>
      <c r="M703" s="29">
        <f t="shared" si="41"/>
        <v>-0.23000000000000115</v>
      </c>
      <c r="N703" s="30">
        <f t="shared" si="42"/>
        <v>1.7253111577624414</v>
      </c>
      <c r="O703" s="31">
        <f t="shared" si="43"/>
        <v>0.85263489176795604</v>
      </c>
    </row>
    <row r="704" spans="1:15" x14ac:dyDescent="0.25">
      <c r="A704" t="s">
        <v>6441</v>
      </c>
      <c r="B704" t="s">
        <v>1409</v>
      </c>
      <c r="C704" s="3" t="s">
        <v>1410</v>
      </c>
      <c r="D704" s="24">
        <v>1.8908999999999999E-2</v>
      </c>
      <c r="E704" s="25">
        <v>8.5589999999999993</v>
      </c>
      <c r="F704" s="25">
        <v>8.0549999999999997</v>
      </c>
      <c r="G704" s="26">
        <v>0.50449999999999995</v>
      </c>
      <c r="H704" s="27">
        <v>0.1583</v>
      </c>
      <c r="I704" s="26">
        <v>3.1869999999999998</v>
      </c>
      <c r="J704" s="28">
        <v>6</v>
      </c>
      <c r="K704" s="27">
        <v>7.4299000000000004E-2</v>
      </c>
      <c r="L704" s="29">
        <f t="shared" si="40"/>
        <v>1.1290170314265646</v>
      </c>
      <c r="M704" s="29">
        <f t="shared" si="41"/>
        <v>0.50399999999999934</v>
      </c>
      <c r="N704" s="30">
        <f t="shared" si="42"/>
        <v>1.7233314381547225</v>
      </c>
      <c r="O704" s="31">
        <f t="shared" si="43"/>
        <v>1.418140035679458</v>
      </c>
    </row>
    <row r="705" spans="1:15" x14ac:dyDescent="0.25">
      <c r="A705" t="s">
        <v>6442</v>
      </c>
      <c r="B705" t="s">
        <v>1415</v>
      </c>
      <c r="C705" s="3" t="s">
        <v>1416</v>
      </c>
      <c r="D705" s="24">
        <v>1.9088999999999998E-2</v>
      </c>
      <c r="E705" s="25">
        <v>8.7240000000000002</v>
      </c>
      <c r="F705" s="25">
        <v>9.1419999999999995</v>
      </c>
      <c r="G705" s="26">
        <v>-0.41860000000000003</v>
      </c>
      <c r="H705" s="27">
        <v>0.13159999999999999</v>
      </c>
      <c r="I705" s="26">
        <v>3.1789999999999998</v>
      </c>
      <c r="J705" s="28">
        <v>6</v>
      </c>
      <c r="K705" s="27">
        <v>7.4690000000000006E-2</v>
      </c>
      <c r="L705" s="29">
        <f t="shared" si="40"/>
        <v>1.1267375405612732</v>
      </c>
      <c r="M705" s="29">
        <f t="shared" si="41"/>
        <v>-0.41799999999999976</v>
      </c>
      <c r="N705" s="30">
        <f t="shared" si="42"/>
        <v>1.7192168220441131</v>
      </c>
      <c r="O705" s="31">
        <f t="shared" si="43"/>
        <v>0.74846149339634582</v>
      </c>
    </row>
    <row r="706" spans="1:15" x14ac:dyDescent="0.25">
      <c r="A706" t="s">
        <v>6443</v>
      </c>
      <c r="B706" t="s">
        <v>1411</v>
      </c>
      <c r="C706" s="3" t="s">
        <v>1412</v>
      </c>
      <c r="D706" s="24">
        <v>1.9071999999999999E-2</v>
      </c>
      <c r="E706" s="25">
        <v>8.5069999999999997</v>
      </c>
      <c r="F706" s="25">
        <v>8.7390000000000008</v>
      </c>
      <c r="G706" s="26">
        <v>-0.2319</v>
      </c>
      <c r="H706" s="27">
        <v>7.2929999999999995E-2</v>
      </c>
      <c r="I706" s="26">
        <v>3.18</v>
      </c>
      <c r="J706" s="28">
        <v>6</v>
      </c>
      <c r="K706" s="27">
        <v>7.4690000000000006E-2</v>
      </c>
      <c r="L706" s="29">
        <f t="shared" ref="L706:L769" si="44">-LOG(K706,10)</f>
        <v>1.1267375405612732</v>
      </c>
      <c r="M706" s="29">
        <f t="shared" ref="M706:M769" si="45">LOG(O706,2)</f>
        <v>-0.23200000000000212</v>
      </c>
      <c r="N706" s="30">
        <f t="shared" ref="N706:N769" si="46">-LOG(D706,10)</f>
        <v>1.7196037619398574</v>
      </c>
      <c r="O706" s="31">
        <f t="shared" ref="O706:O769" si="47">((2^E706)/(2^F706))</f>
        <v>0.8514537077489438</v>
      </c>
    </row>
    <row r="707" spans="1:15" x14ac:dyDescent="0.25">
      <c r="A707" t="s">
        <v>6444</v>
      </c>
      <c r="B707" t="s">
        <v>1413</v>
      </c>
      <c r="C707" s="3" t="s">
        <v>1414</v>
      </c>
      <c r="D707" s="24">
        <v>1.9085999999999999E-2</v>
      </c>
      <c r="E707" s="25">
        <v>9.923</v>
      </c>
      <c r="F707" s="25">
        <v>10.33</v>
      </c>
      <c r="G707" s="26">
        <v>-0.40989999999999999</v>
      </c>
      <c r="H707" s="27">
        <v>0.12889999999999999</v>
      </c>
      <c r="I707" s="26">
        <v>3.18</v>
      </c>
      <c r="J707" s="28">
        <v>6</v>
      </c>
      <c r="K707" s="27">
        <v>7.4690000000000006E-2</v>
      </c>
      <c r="L707" s="29">
        <f t="shared" si="44"/>
        <v>1.1267375405612732</v>
      </c>
      <c r="M707" s="29">
        <f t="shared" si="45"/>
        <v>-0.40700000000000064</v>
      </c>
      <c r="N707" s="30">
        <f t="shared" si="46"/>
        <v>1.719285080508993</v>
      </c>
      <c r="O707" s="31">
        <f t="shared" si="47"/>
        <v>0.75419003834328913</v>
      </c>
    </row>
    <row r="708" spans="1:15" x14ac:dyDescent="0.25">
      <c r="A708" t="s">
        <v>6445</v>
      </c>
      <c r="B708" t="s">
        <v>1421</v>
      </c>
      <c r="C708" s="3" t="s">
        <v>1422</v>
      </c>
      <c r="D708" s="24">
        <v>1.9347E-2</v>
      </c>
      <c r="E708" s="25">
        <v>7.7949999999999999</v>
      </c>
      <c r="F708" s="25">
        <v>7.0369999999999999</v>
      </c>
      <c r="G708" s="26">
        <v>0.7581</v>
      </c>
      <c r="H708" s="27">
        <v>0.2392</v>
      </c>
      <c r="I708" s="26">
        <v>3.169</v>
      </c>
      <c r="J708" s="28">
        <v>6</v>
      </c>
      <c r="K708" s="27">
        <v>7.5378000000000001E-2</v>
      </c>
      <c r="L708" s="29">
        <f t="shared" si="44"/>
        <v>1.1227553898432565</v>
      </c>
      <c r="M708" s="29">
        <f t="shared" si="45"/>
        <v>0.75800000000000034</v>
      </c>
      <c r="N708" s="30">
        <f t="shared" si="46"/>
        <v>1.7133863683429957</v>
      </c>
      <c r="O708" s="31">
        <f t="shared" si="47"/>
        <v>1.6911445747550333</v>
      </c>
    </row>
    <row r="709" spans="1:15" x14ac:dyDescent="0.25">
      <c r="A709" t="s">
        <v>6446</v>
      </c>
      <c r="B709" t="s">
        <v>1419</v>
      </c>
      <c r="C709" s="3" t="s">
        <v>1420</v>
      </c>
      <c r="D709" s="24">
        <v>1.9331000000000001E-2</v>
      </c>
      <c r="E709" s="25">
        <v>8.1389999999999993</v>
      </c>
      <c r="F709" s="25">
        <v>6.8120000000000003</v>
      </c>
      <c r="G709" s="26">
        <v>1.327</v>
      </c>
      <c r="H709" s="27">
        <v>0.41849999999999998</v>
      </c>
      <c r="I709" s="26">
        <v>3.169</v>
      </c>
      <c r="J709" s="28">
        <v>6</v>
      </c>
      <c r="K709" s="27">
        <v>7.5378000000000001E-2</v>
      </c>
      <c r="L709" s="29">
        <f t="shared" si="44"/>
        <v>1.1227553898432565</v>
      </c>
      <c r="M709" s="29">
        <f t="shared" si="45"/>
        <v>1.3270000000000002</v>
      </c>
      <c r="N709" s="30">
        <f t="shared" si="46"/>
        <v>1.7137456791712089</v>
      </c>
      <c r="O709" s="31">
        <f t="shared" si="47"/>
        <v>2.5088044090419901</v>
      </c>
    </row>
    <row r="710" spans="1:15" x14ac:dyDescent="0.25">
      <c r="A710" t="s">
        <v>6447</v>
      </c>
      <c r="B710" t="s">
        <v>1417</v>
      </c>
      <c r="C710" s="3" t="s">
        <v>1418</v>
      </c>
      <c r="D710" s="24">
        <v>1.9304000000000002E-2</v>
      </c>
      <c r="E710" s="25">
        <v>8.3019999999999996</v>
      </c>
      <c r="F710" s="25">
        <v>7.923</v>
      </c>
      <c r="G710" s="26">
        <v>0.37909999999999999</v>
      </c>
      <c r="H710" s="27">
        <v>0.1196</v>
      </c>
      <c r="I710" s="26">
        <v>3.1709999999999998</v>
      </c>
      <c r="J710" s="28">
        <v>6</v>
      </c>
      <c r="K710" s="27">
        <v>7.5378000000000001E-2</v>
      </c>
      <c r="L710" s="29">
        <f t="shared" si="44"/>
        <v>1.1227553898432565</v>
      </c>
      <c r="M710" s="29">
        <f t="shared" si="45"/>
        <v>0.379</v>
      </c>
      <c r="N710" s="30">
        <f t="shared" si="46"/>
        <v>1.7143526910992704</v>
      </c>
      <c r="O710" s="31">
        <f t="shared" si="47"/>
        <v>1.3004401465484803</v>
      </c>
    </row>
    <row r="711" spans="1:15" x14ac:dyDescent="0.25">
      <c r="A711" t="s">
        <v>6448</v>
      </c>
      <c r="B711" t="s">
        <v>1423</v>
      </c>
      <c r="C711" s="3" t="s">
        <v>1424</v>
      </c>
      <c r="D711" s="24">
        <v>1.9560999999999999E-2</v>
      </c>
      <c r="E711" s="25">
        <v>8.2129999999999992</v>
      </c>
      <c r="F711" s="25">
        <v>8.8800000000000008</v>
      </c>
      <c r="G711" s="26">
        <v>-0.66690000000000005</v>
      </c>
      <c r="H711" s="27">
        <v>0.21099999999999999</v>
      </c>
      <c r="I711" s="26">
        <v>3.16</v>
      </c>
      <c r="J711" s="28">
        <v>6</v>
      </c>
      <c r="K711" s="27">
        <v>7.6104000000000005E-2</v>
      </c>
      <c r="L711" s="29">
        <f t="shared" si="44"/>
        <v>1.1185925162613051</v>
      </c>
      <c r="M711" s="29">
        <f t="shared" si="45"/>
        <v>-0.66700000000000148</v>
      </c>
      <c r="N711" s="30">
        <f t="shared" si="46"/>
        <v>1.7086089469215928</v>
      </c>
      <c r="O711" s="31">
        <f t="shared" si="47"/>
        <v>0.629814989973699</v>
      </c>
    </row>
    <row r="712" spans="1:15" x14ac:dyDescent="0.25">
      <c r="A712" t="s">
        <v>6449</v>
      </c>
      <c r="B712" t="s">
        <v>1427</v>
      </c>
      <c r="C712" s="3" t="s">
        <v>1428</v>
      </c>
      <c r="D712" s="24">
        <v>1.9687E-2</v>
      </c>
      <c r="E712" s="25">
        <v>9.1809999999999992</v>
      </c>
      <c r="F712" s="25">
        <v>8.6479999999999997</v>
      </c>
      <c r="G712" s="26">
        <v>0.53349999999999997</v>
      </c>
      <c r="H712" s="27">
        <v>0.1691</v>
      </c>
      <c r="I712" s="26">
        <v>3.1549999999999998</v>
      </c>
      <c r="J712" s="28">
        <v>6</v>
      </c>
      <c r="K712" s="27">
        <v>7.6190999999999995E-2</v>
      </c>
      <c r="L712" s="29">
        <f t="shared" si="44"/>
        <v>1.1180963263136947</v>
      </c>
      <c r="M712" s="29">
        <f t="shared" si="45"/>
        <v>0.5329999999999987</v>
      </c>
      <c r="N712" s="30">
        <f t="shared" si="46"/>
        <v>1.7058204587075139</v>
      </c>
      <c r="O712" s="31">
        <f t="shared" si="47"/>
        <v>1.4469348858705244</v>
      </c>
    </row>
    <row r="713" spans="1:15" x14ac:dyDescent="0.25">
      <c r="A713" t="s">
        <v>6450</v>
      </c>
      <c r="B713" t="s">
        <v>1429</v>
      </c>
      <c r="C713" s="3" t="s">
        <v>1430</v>
      </c>
      <c r="D713" s="24">
        <v>1.9689999999999999E-2</v>
      </c>
      <c r="E713" s="25">
        <v>10.130000000000001</v>
      </c>
      <c r="F713" s="25">
        <v>9.9329999999999998</v>
      </c>
      <c r="G713" s="26">
        <v>0.2024</v>
      </c>
      <c r="H713" s="27">
        <v>6.4140000000000003E-2</v>
      </c>
      <c r="I713" s="26">
        <v>3.1549999999999998</v>
      </c>
      <c r="J713" s="28">
        <v>6</v>
      </c>
      <c r="K713" s="27">
        <v>7.6190999999999995E-2</v>
      </c>
      <c r="L713" s="29">
        <f t="shared" si="44"/>
        <v>1.1180963263136947</v>
      </c>
      <c r="M713" s="29">
        <f t="shared" si="45"/>
        <v>0.19699999999999993</v>
      </c>
      <c r="N713" s="30">
        <f t="shared" si="46"/>
        <v>1.7057542838618818</v>
      </c>
      <c r="O713" s="31">
        <f t="shared" si="47"/>
        <v>1.1463121857283778</v>
      </c>
    </row>
    <row r="714" spans="1:15" x14ac:dyDescent="0.25">
      <c r="A714" t="s">
        <v>6451</v>
      </c>
      <c r="B714" t="s">
        <v>1431</v>
      </c>
      <c r="C714" s="3" t="s">
        <v>1432</v>
      </c>
      <c r="D714" s="24">
        <v>1.9694E-2</v>
      </c>
      <c r="E714" s="25">
        <v>8.8539999999999992</v>
      </c>
      <c r="F714" s="25">
        <v>8.032</v>
      </c>
      <c r="G714" s="26">
        <v>0.82120000000000004</v>
      </c>
      <c r="H714" s="27">
        <v>0.26029999999999998</v>
      </c>
      <c r="I714" s="26">
        <v>3.1549999999999998</v>
      </c>
      <c r="J714" s="28">
        <v>6</v>
      </c>
      <c r="K714" s="27">
        <v>7.6190999999999995E-2</v>
      </c>
      <c r="L714" s="29">
        <f t="shared" si="44"/>
        <v>1.1180963263136947</v>
      </c>
      <c r="M714" s="29">
        <f t="shared" si="45"/>
        <v>0.8219999999999994</v>
      </c>
      <c r="N714" s="30">
        <f t="shared" si="46"/>
        <v>1.7056660664165442</v>
      </c>
      <c r="O714" s="31">
        <f t="shared" si="47"/>
        <v>1.7678550621273414</v>
      </c>
    </row>
    <row r="715" spans="1:15" x14ac:dyDescent="0.25">
      <c r="A715" t="s">
        <v>6452</v>
      </c>
      <c r="B715" t="s">
        <v>1425</v>
      </c>
      <c r="C715" s="3" t="s">
        <v>1426</v>
      </c>
      <c r="D715" s="24">
        <v>1.9637000000000002E-2</v>
      </c>
      <c r="E715" s="25">
        <v>9.2270000000000003</v>
      </c>
      <c r="F715" s="25">
        <v>8.8710000000000004</v>
      </c>
      <c r="G715" s="26">
        <v>0.35560000000000003</v>
      </c>
      <c r="H715" s="27">
        <v>0.11260000000000001</v>
      </c>
      <c r="I715" s="26">
        <v>3.157</v>
      </c>
      <c r="J715" s="28">
        <v>6</v>
      </c>
      <c r="K715" s="27">
        <v>7.6190999999999995E-2</v>
      </c>
      <c r="L715" s="29">
        <f t="shared" si="44"/>
        <v>1.1180963263136947</v>
      </c>
      <c r="M715" s="29">
        <f t="shared" si="45"/>
        <v>0.35599999999999943</v>
      </c>
      <c r="N715" s="30">
        <f t="shared" si="46"/>
        <v>1.7069248598771358</v>
      </c>
      <c r="O715" s="31">
        <f t="shared" si="47"/>
        <v>1.2798724138443074</v>
      </c>
    </row>
    <row r="716" spans="1:15" x14ac:dyDescent="0.25">
      <c r="A716" t="s">
        <v>6453</v>
      </c>
      <c r="B716" t="s">
        <v>1433</v>
      </c>
      <c r="C716" s="3" t="s">
        <v>1434</v>
      </c>
      <c r="D716" s="24">
        <v>1.9720999999999999E-2</v>
      </c>
      <c r="E716" s="25">
        <v>12.33</v>
      </c>
      <c r="F716" s="25">
        <v>12.04</v>
      </c>
      <c r="G716" s="26">
        <v>0.28889999999999999</v>
      </c>
      <c r="H716" s="27">
        <v>9.1609999999999997E-2</v>
      </c>
      <c r="I716" s="26">
        <v>3.1539999999999999</v>
      </c>
      <c r="J716" s="28">
        <v>6</v>
      </c>
      <c r="K716" s="27">
        <v>7.6190999999999995E-2</v>
      </c>
      <c r="L716" s="29">
        <f t="shared" si="44"/>
        <v>1.1180963263136947</v>
      </c>
      <c r="M716" s="29">
        <f t="shared" si="45"/>
        <v>0.2900000000000022</v>
      </c>
      <c r="N716" s="30">
        <f t="shared" si="46"/>
        <v>1.7050710669064326</v>
      </c>
      <c r="O716" s="31">
        <f t="shared" si="47"/>
        <v>1.2226402776920704</v>
      </c>
    </row>
    <row r="717" spans="1:15" x14ac:dyDescent="0.25">
      <c r="A717" t="s">
        <v>6454</v>
      </c>
      <c r="B717" t="s">
        <v>1443</v>
      </c>
      <c r="C717" s="3" t="s">
        <v>1444</v>
      </c>
      <c r="D717" s="24">
        <v>1.9984999999999999E-2</v>
      </c>
      <c r="E717" s="25">
        <v>10.7</v>
      </c>
      <c r="F717" s="25">
        <v>10.48</v>
      </c>
      <c r="G717" s="26">
        <v>0.222</v>
      </c>
      <c r="H717" s="27">
        <v>7.0639999999999994E-2</v>
      </c>
      <c r="I717" s="26">
        <v>3.1429999999999998</v>
      </c>
      <c r="J717" s="28">
        <v>6</v>
      </c>
      <c r="K717" s="27">
        <v>7.6399999999999996E-2</v>
      </c>
      <c r="L717" s="29">
        <f t="shared" si="44"/>
        <v>1.1169066414243101</v>
      </c>
      <c r="M717" s="29">
        <f t="shared" si="45"/>
        <v>0.21999999999999809</v>
      </c>
      <c r="N717" s="30">
        <f t="shared" si="46"/>
        <v>1.6992958474038762</v>
      </c>
      <c r="O717" s="31">
        <f t="shared" si="47"/>
        <v>1.1647335864684543</v>
      </c>
    </row>
    <row r="718" spans="1:15" x14ac:dyDescent="0.25">
      <c r="A718" t="s">
        <v>6455</v>
      </c>
      <c r="B718" t="s">
        <v>1439</v>
      </c>
      <c r="C718" s="3" t="s">
        <v>1440</v>
      </c>
      <c r="D718" s="24">
        <v>1.9890000000000001E-2</v>
      </c>
      <c r="E718" s="25">
        <v>10.029999999999999</v>
      </c>
      <c r="F718" s="25">
        <v>9.6950000000000003</v>
      </c>
      <c r="G718" s="26">
        <v>0.33529999999999999</v>
      </c>
      <c r="H718" s="27">
        <v>0.1065</v>
      </c>
      <c r="I718" s="26">
        <v>3.1469999999999998</v>
      </c>
      <c r="J718" s="28">
        <v>6</v>
      </c>
      <c r="K718" s="27">
        <v>7.6399999999999996E-2</v>
      </c>
      <c r="L718" s="29">
        <f t="shared" si="44"/>
        <v>1.1169066414243101</v>
      </c>
      <c r="M718" s="29">
        <f t="shared" si="45"/>
        <v>0.33499999999999813</v>
      </c>
      <c r="N718" s="30">
        <f t="shared" si="46"/>
        <v>1.7013652168755642</v>
      </c>
      <c r="O718" s="31">
        <f t="shared" si="47"/>
        <v>1.2613774088312479</v>
      </c>
    </row>
    <row r="719" spans="1:15" x14ac:dyDescent="0.25">
      <c r="A719" t="s">
        <v>6456</v>
      </c>
      <c r="B719" t="s">
        <v>1437</v>
      </c>
      <c r="C719" s="3" t="s">
        <v>1438</v>
      </c>
      <c r="D719" s="24">
        <v>1.9845000000000002E-2</v>
      </c>
      <c r="E719" s="25">
        <v>10.98</v>
      </c>
      <c r="F719" s="25">
        <v>11.2</v>
      </c>
      <c r="G719" s="26">
        <v>-0.21909999999999999</v>
      </c>
      <c r="H719" s="27">
        <v>6.9589999999999999E-2</v>
      </c>
      <c r="I719" s="26">
        <v>3.149</v>
      </c>
      <c r="J719" s="28">
        <v>6</v>
      </c>
      <c r="K719" s="27">
        <v>7.6399999999999996E-2</v>
      </c>
      <c r="L719" s="29">
        <f t="shared" si="44"/>
        <v>1.1169066414243101</v>
      </c>
      <c r="M719" s="29">
        <f t="shared" si="45"/>
        <v>-0.219999999999998</v>
      </c>
      <c r="N719" s="30">
        <f t="shared" si="46"/>
        <v>1.7023488967568177</v>
      </c>
      <c r="O719" s="31">
        <f t="shared" si="47"/>
        <v>0.85856543643775496</v>
      </c>
    </row>
    <row r="720" spans="1:15" x14ac:dyDescent="0.25">
      <c r="A720" t="s">
        <v>6457</v>
      </c>
      <c r="B720" t="s">
        <v>1447</v>
      </c>
      <c r="C720" s="3" t="s">
        <v>1448</v>
      </c>
      <c r="D720" s="24">
        <v>1.9996E-2</v>
      </c>
      <c r="E720" s="25">
        <v>11.87</v>
      </c>
      <c r="F720" s="25">
        <v>12.13</v>
      </c>
      <c r="G720" s="26">
        <v>-0.26250000000000001</v>
      </c>
      <c r="H720" s="27">
        <v>8.3510000000000001E-2</v>
      </c>
      <c r="I720" s="26">
        <v>3.1429999999999998</v>
      </c>
      <c r="J720" s="28">
        <v>6</v>
      </c>
      <c r="K720" s="27">
        <v>7.6399999999999996E-2</v>
      </c>
      <c r="L720" s="29">
        <f t="shared" si="44"/>
        <v>1.1169066414243101</v>
      </c>
      <c r="M720" s="29">
        <f t="shared" si="45"/>
        <v>-0.26000000000000228</v>
      </c>
      <c r="N720" s="30">
        <f t="shared" si="46"/>
        <v>1.6990568719194472</v>
      </c>
      <c r="O720" s="31">
        <f t="shared" si="47"/>
        <v>0.83508791942836802</v>
      </c>
    </row>
    <row r="721" spans="1:15" x14ac:dyDescent="0.25">
      <c r="A721" t="s">
        <v>6458</v>
      </c>
      <c r="B721" t="s">
        <v>1435</v>
      </c>
      <c r="C721" s="3" t="s">
        <v>1436</v>
      </c>
      <c r="D721" s="24">
        <v>1.984E-2</v>
      </c>
      <c r="E721" s="25">
        <v>8.7750000000000004</v>
      </c>
      <c r="F721" s="25">
        <v>8.1660000000000004</v>
      </c>
      <c r="G721" s="26">
        <v>0.60970000000000002</v>
      </c>
      <c r="H721" s="27">
        <v>0.19359999999999999</v>
      </c>
      <c r="I721" s="26">
        <v>3.149</v>
      </c>
      <c r="J721" s="28">
        <v>6</v>
      </c>
      <c r="K721" s="27">
        <v>7.6399999999999996E-2</v>
      </c>
      <c r="L721" s="29">
        <f t="shared" si="44"/>
        <v>1.1169066414243101</v>
      </c>
      <c r="M721" s="29">
        <f t="shared" si="45"/>
        <v>0.60900000000000021</v>
      </c>
      <c r="N721" s="30">
        <f t="shared" si="46"/>
        <v>1.7024583321818401</v>
      </c>
      <c r="O721" s="31">
        <f t="shared" si="47"/>
        <v>1.5252016532562842</v>
      </c>
    </row>
    <row r="722" spans="1:15" x14ac:dyDescent="0.25">
      <c r="A722" t="s">
        <v>6459</v>
      </c>
      <c r="B722" t="s">
        <v>1441</v>
      </c>
      <c r="C722" s="3" t="s">
        <v>1442</v>
      </c>
      <c r="D722" s="24">
        <v>1.9942999999999999E-2</v>
      </c>
      <c r="E722" s="25">
        <v>11.97</v>
      </c>
      <c r="F722" s="25">
        <v>11.74</v>
      </c>
      <c r="G722" s="26">
        <v>0.23119999999999999</v>
      </c>
      <c r="H722" s="27">
        <v>7.3520000000000002E-2</v>
      </c>
      <c r="I722" s="26">
        <v>3.145</v>
      </c>
      <c r="J722" s="28">
        <v>6</v>
      </c>
      <c r="K722" s="27">
        <v>7.6399999999999996E-2</v>
      </c>
      <c r="L722" s="29">
        <f t="shared" si="44"/>
        <v>1.1169066414243101</v>
      </c>
      <c r="M722" s="29">
        <f t="shared" si="45"/>
        <v>0.23000000000000004</v>
      </c>
      <c r="N722" s="30">
        <f t="shared" si="46"/>
        <v>1.7002095107462663</v>
      </c>
      <c r="O722" s="31">
        <f t="shared" si="47"/>
        <v>1.1728349492318788</v>
      </c>
    </row>
    <row r="723" spans="1:15" x14ac:dyDescent="0.25">
      <c r="A723" t="s">
        <v>6460</v>
      </c>
      <c r="B723" t="s">
        <v>1449</v>
      </c>
      <c r="C723" s="3" t="s">
        <v>1450</v>
      </c>
      <c r="D723" s="24">
        <v>1.9996E-2</v>
      </c>
      <c r="E723" s="25">
        <v>8.3919999999999995</v>
      </c>
      <c r="F723" s="25">
        <v>8.7479999999999993</v>
      </c>
      <c r="G723" s="26">
        <v>-0.35610000000000003</v>
      </c>
      <c r="H723" s="27">
        <v>0.1133</v>
      </c>
      <c r="I723" s="26">
        <v>3.1429999999999998</v>
      </c>
      <c r="J723" s="28">
        <v>6</v>
      </c>
      <c r="K723" s="27">
        <v>7.6399999999999996E-2</v>
      </c>
      <c r="L723" s="29">
        <f t="shared" si="44"/>
        <v>1.1169066414243101</v>
      </c>
      <c r="M723" s="29">
        <f t="shared" si="45"/>
        <v>-0.35600000000000065</v>
      </c>
      <c r="N723" s="30">
        <f t="shared" si="46"/>
        <v>1.6990568719194472</v>
      </c>
      <c r="O723" s="31">
        <f t="shared" si="47"/>
        <v>0.78132788017231702</v>
      </c>
    </row>
    <row r="724" spans="1:15" x14ac:dyDescent="0.25">
      <c r="A724" t="s">
        <v>6461</v>
      </c>
      <c r="B724" t="s">
        <v>1445</v>
      </c>
      <c r="C724" s="3" t="s">
        <v>1446</v>
      </c>
      <c r="D724" s="24">
        <v>1.9990999999999998E-2</v>
      </c>
      <c r="E724" s="25">
        <v>9.843</v>
      </c>
      <c r="F724" s="25">
        <v>10.37</v>
      </c>
      <c r="G724" s="26">
        <v>-0.5282</v>
      </c>
      <c r="H724" s="27">
        <v>0.16800000000000001</v>
      </c>
      <c r="I724" s="26">
        <v>3.1429999999999998</v>
      </c>
      <c r="J724" s="28">
        <v>6</v>
      </c>
      <c r="K724" s="27">
        <v>7.6399999999999996E-2</v>
      </c>
      <c r="L724" s="29">
        <f t="shared" si="44"/>
        <v>1.1169066414243101</v>
      </c>
      <c r="M724" s="29">
        <f t="shared" si="45"/>
        <v>-0.52699999999999847</v>
      </c>
      <c r="N724" s="30">
        <f t="shared" si="46"/>
        <v>1.6991654808383876</v>
      </c>
      <c r="O724" s="31">
        <f t="shared" si="47"/>
        <v>0.6939963595077967</v>
      </c>
    </row>
    <row r="725" spans="1:15" x14ac:dyDescent="0.25">
      <c r="A725" t="s">
        <v>6462</v>
      </c>
      <c r="B725" t="s">
        <v>1451</v>
      </c>
      <c r="C725" s="3" t="s">
        <v>1452</v>
      </c>
      <c r="D725" s="24">
        <v>2.0129000000000001E-2</v>
      </c>
      <c r="E725" s="25">
        <v>10.35</v>
      </c>
      <c r="F725" s="25">
        <v>10.59</v>
      </c>
      <c r="G725" s="26">
        <v>-0.23910000000000001</v>
      </c>
      <c r="H725" s="27">
        <v>7.6200000000000004E-2</v>
      </c>
      <c r="I725" s="26">
        <v>3.1379999999999999</v>
      </c>
      <c r="J725" s="28">
        <v>6</v>
      </c>
      <c r="K725" s="27">
        <v>7.6799000000000006E-2</v>
      </c>
      <c r="L725" s="29">
        <f t="shared" si="44"/>
        <v>1.1146444348813702</v>
      </c>
      <c r="M725" s="29">
        <f t="shared" si="45"/>
        <v>-0.24000000000000041</v>
      </c>
      <c r="N725" s="30">
        <f t="shared" si="46"/>
        <v>1.6961778001371528</v>
      </c>
      <c r="O725" s="31">
        <f t="shared" si="47"/>
        <v>0.84674531236252693</v>
      </c>
    </row>
    <row r="726" spans="1:15" x14ac:dyDescent="0.25">
      <c r="A726" t="s">
        <v>6463</v>
      </c>
      <c r="B726" t="s">
        <v>1453</v>
      </c>
      <c r="C726" s="3" t="s">
        <v>1454</v>
      </c>
      <c r="D726" s="24">
        <v>2.0188000000000001E-2</v>
      </c>
      <c r="E726" s="25">
        <v>10</v>
      </c>
      <c r="F726" s="25">
        <v>9.77</v>
      </c>
      <c r="G726" s="26">
        <v>0.23</v>
      </c>
      <c r="H726" s="27">
        <v>7.3370000000000005E-2</v>
      </c>
      <c r="I726" s="26">
        <v>3.1349999999999998</v>
      </c>
      <c r="J726" s="28">
        <v>6</v>
      </c>
      <c r="K726" s="27">
        <v>7.6920000000000002E-2</v>
      </c>
      <c r="L726" s="29">
        <f t="shared" si="44"/>
        <v>1.1139607244335576</v>
      </c>
      <c r="M726" s="29">
        <f t="shared" si="45"/>
        <v>0.23000000000000112</v>
      </c>
      <c r="N726" s="30">
        <f t="shared" si="46"/>
        <v>1.6949067039383514</v>
      </c>
      <c r="O726" s="31">
        <f t="shared" si="47"/>
        <v>1.1728349492318797</v>
      </c>
    </row>
    <row r="727" spans="1:15" x14ac:dyDescent="0.25">
      <c r="A727" t="s">
        <v>6464</v>
      </c>
      <c r="B727" t="s">
        <v>1457</v>
      </c>
      <c r="C727" s="3" t="s">
        <v>1458</v>
      </c>
      <c r="D727" s="24">
        <v>2.0362000000000002E-2</v>
      </c>
      <c r="E727" s="25">
        <v>9.8930000000000007</v>
      </c>
      <c r="F727" s="25">
        <v>9.5259999999999998</v>
      </c>
      <c r="G727" s="26">
        <v>0.36699999999999999</v>
      </c>
      <c r="H727" s="27">
        <v>0.1173</v>
      </c>
      <c r="I727" s="26">
        <v>3.129</v>
      </c>
      <c r="J727" s="28">
        <v>6</v>
      </c>
      <c r="K727" s="27">
        <v>7.7366000000000004E-2</v>
      </c>
      <c r="L727" s="29">
        <f t="shared" si="44"/>
        <v>1.1114498565847535</v>
      </c>
      <c r="M727" s="29">
        <f t="shared" si="45"/>
        <v>0.36700000000000155</v>
      </c>
      <c r="N727" s="30">
        <f t="shared" si="46"/>
        <v>1.69117956689004</v>
      </c>
      <c r="O727" s="31">
        <f t="shared" si="47"/>
        <v>1.2896682506558872</v>
      </c>
    </row>
    <row r="728" spans="1:15" x14ac:dyDescent="0.25">
      <c r="A728" t="s">
        <v>6465</v>
      </c>
      <c r="B728" t="s">
        <v>1459</v>
      </c>
      <c r="C728" s="3" t="s">
        <v>1460</v>
      </c>
      <c r="D728" s="24">
        <v>2.0389000000000001E-2</v>
      </c>
      <c r="E728" s="25">
        <v>8.2669999999999995</v>
      </c>
      <c r="F728" s="25">
        <v>9.0169999999999995</v>
      </c>
      <c r="G728" s="26">
        <v>-0.75049999999999994</v>
      </c>
      <c r="H728" s="27">
        <v>0.24</v>
      </c>
      <c r="I728" s="26">
        <v>3.1269999999999998</v>
      </c>
      <c r="J728" s="28">
        <v>6</v>
      </c>
      <c r="K728" s="27">
        <v>7.7366000000000004E-2</v>
      </c>
      <c r="L728" s="29">
        <f t="shared" si="44"/>
        <v>1.1114498565847535</v>
      </c>
      <c r="M728" s="29">
        <f t="shared" si="45"/>
        <v>-0.75000000000000056</v>
      </c>
      <c r="N728" s="30">
        <f t="shared" si="46"/>
        <v>1.6906040741302435</v>
      </c>
      <c r="O728" s="31">
        <f t="shared" si="47"/>
        <v>0.59460355750136029</v>
      </c>
    </row>
    <row r="729" spans="1:15" x14ac:dyDescent="0.25">
      <c r="A729" t="s">
        <v>6466</v>
      </c>
      <c r="B729" t="s">
        <v>1455</v>
      </c>
      <c r="C729" s="3" t="s">
        <v>1456</v>
      </c>
      <c r="D729" s="24">
        <v>2.0347000000000001E-2</v>
      </c>
      <c r="E729" s="25">
        <v>9.8520000000000003</v>
      </c>
      <c r="F729" s="25">
        <v>9.4260000000000002</v>
      </c>
      <c r="G729" s="26">
        <v>0.42649999999999999</v>
      </c>
      <c r="H729" s="27">
        <v>0.1363</v>
      </c>
      <c r="I729" s="26">
        <v>3.129</v>
      </c>
      <c r="J729" s="28">
        <v>6</v>
      </c>
      <c r="K729" s="27">
        <v>7.7366000000000004E-2</v>
      </c>
      <c r="L729" s="29">
        <f t="shared" si="44"/>
        <v>1.1114498565847535</v>
      </c>
      <c r="M729" s="29">
        <f t="shared" si="45"/>
        <v>0.42600000000000099</v>
      </c>
      <c r="N729" s="30">
        <f t="shared" si="46"/>
        <v>1.6914996149149666</v>
      </c>
      <c r="O729" s="31">
        <f t="shared" si="47"/>
        <v>1.3435034257212977</v>
      </c>
    </row>
    <row r="730" spans="1:15" x14ac:dyDescent="0.25">
      <c r="A730" t="s">
        <v>6467</v>
      </c>
      <c r="B730" t="s">
        <v>1461</v>
      </c>
      <c r="C730" s="3" t="s">
        <v>1462</v>
      </c>
      <c r="D730" s="24">
        <v>2.0872999999999999E-2</v>
      </c>
      <c r="E730" s="25">
        <v>9.1829999999999998</v>
      </c>
      <c r="F730" s="25">
        <v>8.7029999999999994</v>
      </c>
      <c r="G730" s="26">
        <v>0.47949999999999998</v>
      </c>
      <c r="H730" s="27">
        <v>0.1542</v>
      </c>
      <c r="I730" s="26">
        <v>3.109</v>
      </c>
      <c r="J730" s="28">
        <v>6</v>
      </c>
      <c r="K730" s="27">
        <v>7.9092999999999997E-2</v>
      </c>
      <c r="L730" s="29">
        <f t="shared" si="44"/>
        <v>1.1018619513429966</v>
      </c>
      <c r="M730" s="29">
        <f t="shared" si="45"/>
        <v>0.48000000000000043</v>
      </c>
      <c r="N730" s="30">
        <f t="shared" si="46"/>
        <v>1.6804151268898939</v>
      </c>
      <c r="O730" s="31">
        <f t="shared" si="47"/>
        <v>1.3947436663504058</v>
      </c>
    </row>
    <row r="731" spans="1:15" x14ac:dyDescent="0.25">
      <c r="A731" t="s">
        <v>6468</v>
      </c>
      <c r="B731" t="s">
        <v>1467</v>
      </c>
      <c r="C731" s="3" t="s">
        <v>1468</v>
      </c>
      <c r="D731" s="24">
        <v>2.0965999999999999E-2</v>
      </c>
      <c r="E731" s="25">
        <v>8.2539999999999996</v>
      </c>
      <c r="F731" s="25">
        <v>8.6419999999999995</v>
      </c>
      <c r="G731" s="26">
        <v>-0.38840000000000002</v>
      </c>
      <c r="H731" s="27">
        <v>0.12509999999999999</v>
      </c>
      <c r="I731" s="26">
        <v>3.1059999999999999</v>
      </c>
      <c r="J731" s="28">
        <v>6</v>
      </c>
      <c r="K731" s="27">
        <v>7.9119999999999996E-2</v>
      </c>
      <c r="L731" s="29">
        <f t="shared" si="44"/>
        <v>1.101713721410877</v>
      </c>
      <c r="M731" s="29">
        <f t="shared" si="45"/>
        <v>-0.38800000000000012</v>
      </c>
      <c r="N731" s="30">
        <f t="shared" si="46"/>
        <v>1.6784844185394672</v>
      </c>
      <c r="O731" s="31">
        <f t="shared" si="47"/>
        <v>0.76418826038258325</v>
      </c>
    </row>
    <row r="732" spans="1:15" x14ac:dyDescent="0.25">
      <c r="A732" t="s">
        <v>6469</v>
      </c>
      <c r="B732" t="s">
        <v>1465</v>
      </c>
      <c r="C732" s="3" t="s">
        <v>1466</v>
      </c>
      <c r="D732" s="24">
        <v>2.0962999999999999E-2</v>
      </c>
      <c r="E732" s="25">
        <v>8.9290000000000003</v>
      </c>
      <c r="F732" s="25">
        <v>8.5630000000000006</v>
      </c>
      <c r="G732" s="26">
        <v>0.36670000000000003</v>
      </c>
      <c r="H732" s="27">
        <v>0.1181</v>
      </c>
      <c r="I732" s="26">
        <v>3.1059999999999999</v>
      </c>
      <c r="J732" s="28">
        <v>6</v>
      </c>
      <c r="K732" s="27">
        <v>7.9119999999999996E-2</v>
      </c>
      <c r="L732" s="29">
        <f t="shared" si="44"/>
        <v>1.101713721410877</v>
      </c>
      <c r="M732" s="29">
        <f t="shared" si="45"/>
        <v>0.3659999999999996</v>
      </c>
      <c r="N732" s="30">
        <f t="shared" si="46"/>
        <v>1.6785465656666552</v>
      </c>
      <c r="O732" s="31">
        <f t="shared" si="47"/>
        <v>1.2887746304850152</v>
      </c>
    </row>
    <row r="733" spans="1:15" x14ac:dyDescent="0.25">
      <c r="A733" t="s">
        <v>6470</v>
      </c>
      <c r="B733" t="s">
        <v>1463</v>
      </c>
      <c r="C733" s="3" t="s">
        <v>1464</v>
      </c>
      <c r="D733" s="24">
        <v>2.0912E-2</v>
      </c>
      <c r="E733" s="25">
        <v>8.6280000000000001</v>
      </c>
      <c r="F733" s="25">
        <v>9.0739999999999998</v>
      </c>
      <c r="G733" s="26">
        <v>-0.44550000000000001</v>
      </c>
      <c r="H733" s="27">
        <v>0.1434</v>
      </c>
      <c r="I733" s="26">
        <v>3.1080000000000001</v>
      </c>
      <c r="J733" s="28">
        <v>6</v>
      </c>
      <c r="K733" s="27">
        <v>7.9119999999999996E-2</v>
      </c>
      <c r="L733" s="29">
        <f t="shared" si="44"/>
        <v>1.101713721410877</v>
      </c>
      <c r="M733" s="29">
        <f t="shared" si="45"/>
        <v>-0.44599999999999929</v>
      </c>
      <c r="N733" s="30">
        <f t="shared" si="46"/>
        <v>1.6796044297635306</v>
      </c>
      <c r="O733" s="31">
        <f t="shared" si="47"/>
        <v>0.73407531801705195</v>
      </c>
    </row>
    <row r="734" spans="1:15" x14ac:dyDescent="0.25">
      <c r="A734" t="s">
        <v>6471</v>
      </c>
      <c r="B734" t="s">
        <v>1469</v>
      </c>
      <c r="C734" s="3" t="s">
        <v>1470</v>
      </c>
      <c r="D734" s="24">
        <v>2.1045000000000001E-2</v>
      </c>
      <c r="E734" s="25">
        <v>10.37</v>
      </c>
      <c r="F734" s="25">
        <v>10.6</v>
      </c>
      <c r="G734" s="26">
        <v>-0.23419999999999999</v>
      </c>
      <c r="H734" s="27">
        <v>7.5480000000000005E-2</v>
      </c>
      <c r="I734" s="26">
        <v>3.1030000000000002</v>
      </c>
      <c r="J734" s="28">
        <v>6</v>
      </c>
      <c r="K734" s="27">
        <v>7.9309000000000004E-2</v>
      </c>
      <c r="L734" s="29">
        <f t="shared" si="44"/>
        <v>1.1006775260676223</v>
      </c>
      <c r="M734" s="29">
        <f t="shared" si="45"/>
        <v>-0.23000000000000004</v>
      </c>
      <c r="N734" s="30">
        <f t="shared" si="46"/>
        <v>1.6768510699159587</v>
      </c>
      <c r="O734" s="31">
        <f t="shared" si="47"/>
        <v>0.8526348917679567</v>
      </c>
    </row>
    <row r="735" spans="1:15" x14ac:dyDescent="0.25">
      <c r="A735" t="s">
        <v>6472</v>
      </c>
      <c r="B735" t="s">
        <v>1471</v>
      </c>
      <c r="C735" s="3" t="s">
        <v>1472</v>
      </c>
      <c r="D735" s="24">
        <v>2.1125999999999999E-2</v>
      </c>
      <c r="E735" s="25">
        <v>12.1</v>
      </c>
      <c r="F735" s="25">
        <v>12.84</v>
      </c>
      <c r="G735" s="26">
        <v>-0.73350000000000004</v>
      </c>
      <c r="H735" s="27">
        <v>0.2366</v>
      </c>
      <c r="I735" s="26">
        <v>3.1</v>
      </c>
      <c r="J735" s="28">
        <v>6</v>
      </c>
      <c r="K735" s="27">
        <v>7.9505000000000006E-2</v>
      </c>
      <c r="L735" s="29">
        <f t="shared" si="44"/>
        <v>1.0996055580840696</v>
      </c>
      <c r="M735" s="29">
        <f t="shared" si="45"/>
        <v>-0.74000000000000032</v>
      </c>
      <c r="N735" s="30">
        <f t="shared" si="46"/>
        <v>1.6751827245461721</v>
      </c>
      <c r="O735" s="31">
        <f t="shared" si="47"/>
        <v>0.59873935230946418</v>
      </c>
    </row>
    <row r="736" spans="1:15" x14ac:dyDescent="0.25">
      <c r="A736" t="s">
        <v>6473</v>
      </c>
      <c r="B736" t="s">
        <v>1475</v>
      </c>
      <c r="C736" s="3" t="s">
        <v>1476</v>
      </c>
      <c r="D736" s="24">
        <v>2.1323000000000002E-2</v>
      </c>
      <c r="E736" s="25">
        <v>7.7309999999999999</v>
      </c>
      <c r="F736" s="25">
        <v>7.4939999999999998</v>
      </c>
      <c r="G736" s="26">
        <v>0.23710000000000001</v>
      </c>
      <c r="H736" s="27">
        <v>7.6660000000000006E-2</v>
      </c>
      <c r="I736" s="26">
        <v>3.0920000000000001</v>
      </c>
      <c r="J736" s="28">
        <v>6</v>
      </c>
      <c r="K736" s="27">
        <v>8.0030000000000004E-2</v>
      </c>
      <c r="L736" s="29">
        <f t="shared" si="44"/>
        <v>1.0967471831060414</v>
      </c>
      <c r="M736" s="29">
        <f t="shared" si="45"/>
        <v>0.23700000000000029</v>
      </c>
      <c r="N736" s="30">
        <f t="shared" si="46"/>
        <v>1.6711516930888035</v>
      </c>
      <c r="O736" s="31">
        <f t="shared" si="47"/>
        <v>1.1785394078116824</v>
      </c>
    </row>
    <row r="737" spans="1:15" x14ac:dyDescent="0.25">
      <c r="A737" t="s">
        <v>6474</v>
      </c>
      <c r="B737" t="s">
        <v>1473</v>
      </c>
      <c r="C737" s="3" t="s">
        <v>1474</v>
      </c>
      <c r="D737" s="24">
        <v>2.1322000000000001E-2</v>
      </c>
      <c r="E737" s="25">
        <v>7.8179999999999996</v>
      </c>
      <c r="F737" s="25">
        <v>7.4829999999999997</v>
      </c>
      <c r="G737" s="26">
        <v>0.33439999999999998</v>
      </c>
      <c r="H737" s="27">
        <v>0.1081</v>
      </c>
      <c r="I737" s="26">
        <v>3.0920000000000001</v>
      </c>
      <c r="J737" s="28">
        <v>6</v>
      </c>
      <c r="K737" s="27">
        <v>8.0030000000000004E-2</v>
      </c>
      <c r="L737" s="29">
        <f t="shared" si="44"/>
        <v>1.0967471831060414</v>
      </c>
      <c r="M737" s="29">
        <f t="shared" si="45"/>
        <v>0.33500000000000091</v>
      </c>
      <c r="N737" s="30">
        <f t="shared" si="46"/>
        <v>1.6711720609857192</v>
      </c>
      <c r="O737" s="31">
        <f t="shared" si="47"/>
        <v>1.2613774088312504</v>
      </c>
    </row>
    <row r="738" spans="1:15" x14ac:dyDescent="0.25">
      <c r="A738" t="s">
        <v>6475</v>
      </c>
      <c r="B738" t="s">
        <v>1477</v>
      </c>
      <c r="C738" s="3" t="s">
        <v>1478</v>
      </c>
      <c r="D738" s="24">
        <v>2.1405E-2</v>
      </c>
      <c r="E738" s="25">
        <v>10.26</v>
      </c>
      <c r="F738" s="25">
        <v>9.8870000000000005</v>
      </c>
      <c r="G738" s="26">
        <v>0.37430000000000002</v>
      </c>
      <c r="H738" s="27">
        <v>0.1211</v>
      </c>
      <c r="I738" s="26">
        <v>3.089</v>
      </c>
      <c r="J738" s="28">
        <v>6</v>
      </c>
      <c r="K738" s="27">
        <v>8.0174999999999996E-2</v>
      </c>
      <c r="L738" s="29">
        <f t="shared" si="44"/>
        <v>1.0959610313995218</v>
      </c>
      <c r="M738" s="29">
        <f t="shared" si="45"/>
        <v>0.37300000000000016</v>
      </c>
      <c r="N738" s="30">
        <f t="shared" si="46"/>
        <v>1.6694847678296716</v>
      </c>
      <c r="O738" s="31">
        <f t="shared" si="47"/>
        <v>1.2950429988544252</v>
      </c>
    </row>
    <row r="739" spans="1:15" x14ac:dyDescent="0.25">
      <c r="A739" t="s">
        <v>6476</v>
      </c>
      <c r="B739" t="s">
        <v>1479</v>
      </c>
      <c r="C739" s="3" t="s">
        <v>1480</v>
      </c>
      <c r="D739" s="24">
        <v>2.1420000000000002E-2</v>
      </c>
      <c r="E739" s="25">
        <v>9.0540000000000003</v>
      </c>
      <c r="F739" s="25">
        <v>9.3979999999999997</v>
      </c>
      <c r="G739" s="26">
        <v>-0.34389999999999998</v>
      </c>
      <c r="H739" s="27">
        <v>0.1113</v>
      </c>
      <c r="I739" s="26">
        <v>3.089</v>
      </c>
      <c r="J739" s="28">
        <v>6</v>
      </c>
      <c r="K739" s="27">
        <v>8.0174999999999996E-2</v>
      </c>
      <c r="L739" s="29">
        <f t="shared" si="44"/>
        <v>1.0959610313995218</v>
      </c>
      <c r="M739" s="29">
        <f t="shared" si="45"/>
        <v>-0.34399999999999947</v>
      </c>
      <c r="N739" s="30">
        <f t="shared" si="46"/>
        <v>1.6691805335041632</v>
      </c>
      <c r="O739" s="31">
        <f t="shared" si="47"/>
        <v>0.78785388604934647</v>
      </c>
    </row>
    <row r="740" spans="1:15" x14ac:dyDescent="0.25">
      <c r="A740" t="s">
        <v>6477</v>
      </c>
      <c r="B740" t="s">
        <v>1481</v>
      </c>
      <c r="C740" s="3" t="s">
        <v>1482</v>
      </c>
      <c r="D740" s="24">
        <v>2.1513000000000001E-2</v>
      </c>
      <c r="E740" s="25">
        <v>8.86</v>
      </c>
      <c r="F740" s="25">
        <v>8.4190000000000005</v>
      </c>
      <c r="G740" s="26">
        <v>0.44080000000000003</v>
      </c>
      <c r="H740" s="27">
        <v>0.1429</v>
      </c>
      <c r="I740" s="26">
        <v>3.085</v>
      </c>
      <c r="J740" s="28">
        <v>6</v>
      </c>
      <c r="K740" s="27">
        <v>8.0413999999999999E-2</v>
      </c>
      <c r="L740" s="29">
        <f t="shared" si="44"/>
        <v>1.094668334417666</v>
      </c>
      <c r="M740" s="29">
        <f t="shared" si="45"/>
        <v>0.44099999999999939</v>
      </c>
      <c r="N740" s="30">
        <f t="shared" si="46"/>
        <v>1.6672990227786195</v>
      </c>
      <c r="O740" s="31">
        <f t="shared" si="47"/>
        <v>1.3575449798800061</v>
      </c>
    </row>
    <row r="741" spans="1:15" x14ac:dyDescent="0.25">
      <c r="A741" t="s">
        <v>6478</v>
      </c>
      <c r="B741" t="s">
        <v>1483</v>
      </c>
      <c r="C741" s="3" t="s">
        <v>1484</v>
      </c>
      <c r="D741" s="24">
        <v>2.1617999999999998E-2</v>
      </c>
      <c r="E741" s="25">
        <v>9.5239999999999991</v>
      </c>
      <c r="F741" s="25">
        <v>9.2989999999999995</v>
      </c>
      <c r="G741" s="26">
        <v>0.22489999999999999</v>
      </c>
      <c r="H741" s="27">
        <v>7.2969999999999993E-2</v>
      </c>
      <c r="I741" s="26">
        <v>3.0819999999999999</v>
      </c>
      <c r="J741" s="28">
        <v>6</v>
      </c>
      <c r="K741" s="27">
        <v>8.0698000000000006E-2</v>
      </c>
      <c r="L741" s="29">
        <f t="shared" si="44"/>
        <v>1.0931372285954903</v>
      </c>
      <c r="M741" s="29">
        <f t="shared" si="45"/>
        <v>0.2249999999999992</v>
      </c>
      <c r="N741" s="30">
        <f t="shared" si="46"/>
        <v>1.6651844874937878</v>
      </c>
      <c r="O741" s="31">
        <f t="shared" si="47"/>
        <v>1.1687772485612449</v>
      </c>
    </row>
    <row r="742" spans="1:15" x14ac:dyDescent="0.25">
      <c r="A742" t="s">
        <v>6479</v>
      </c>
      <c r="B742" t="s">
        <v>1485</v>
      </c>
      <c r="C742" s="3" t="s">
        <v>1486</v>
      </c>
      <c r="D742" s="24">
        <v>2.1777000000000001E-2</v>
      </c>
      <c r="E742" s="25">
        <v>8.1080000000000005</v>
      </c>
      <c r="F742" s="25">
        <v>7.8010000000000002</v>
      </c>
      <c r="G742" s="26">
        <v>0.307</v>
      </c>
      <c r="H742" s="27">
        <v>9.9820000000000006E-2</v>
      </c>
      <c r="I742" s="26">
        <v>3.0760000000000001</v>
      </c>
      <c r="J742" s="28">
        <v>6</v>
      </c>
      <c r="K742" s="27">
        <v>8.1124000000000002E-2</v>
      </c>
      <c r="L742" s="29">
        <f t="shared" si="44"/>
        <v>1.0908506436234218</v>
      </c>
      <c r="M742" s="29">
        <f t="shared" si="45"/>
        <v>0.30700000000000061</v>
      </c>
      <c r="N742" s="30">
        <f t="shared" si="46"/>
        <v>1.6620019488770394</v>
      </c>
      <c r="O742" s="31">
        <f t="shared" si="47"/>
        <v>1.2371324786871731</v>
      </c>
    </row>
    <row r="743" spans="1:15" x14ac:dyDescent="0.25">
      <c r="A743" t="s">
        <v>6480</v>
      </c>
      <c r="B743" t="s">
        <v>1487</v>
      </c>
      <c r="C743" s="3" t="s">
        <v>1488</v>
      </c>
      <c r="D743" s="24">
        <v>2.1791000000000001E-2</v>
      </c>
      <c r="E743" s="25">
        <v>7.8879999999999999</v>
      </c>
      <c r="F743" s="25">
        <v>7.6459999999999999</v>
      </c>
      <c r="G743" s="26">
        <v>0.24249999999999999</v>
      </c>
      <c r="H743" s="27">
        <v>7.8850000000000003E-2</v>
      </c>
      <c r="I743" s="26">
        <v>3.0750000000000002</v>
      </c>
      <c r="J743" s="28">
        <v>6</v>
      </c>
      <c r="K743" s="27">
        <v>8.1124000000000002E-2</v>
      </c>
      <c r="L743" s="29">
        <f t="shared" si="44"/>
        <v>1.0908506436234218</v>
      </c>
      <c r="M743" s="29">
        <f t="shared" si="45"/>
        <v>0.24199999999999974</v>
      </c>
      <c r="N743" s="30">
        <f t="shared" si="46"/>
        <v>1.6617228393032277</v>
      </c>
      <c r="O743" s="31">
        <f t="shared" si="47"/>
        <v>1.1826310002441425</v>
      </c>
    </row>
    <row r="744" spans="1:15" x14ac:dyDescent="0.25">
      <c r="A744" t="s">
        <v>6481</v>
      </c>
      <c r="B744" t="s">
        <v>1489</v>
      </c>
      <c r="C744" s="3" t="s">
        <v>1490</v>
      </c>
      <c r="D744" s="24">
        <v>2.1821E-2</v>
      </c>
      <c r="E744" s="25">
        <v>8.4920000000000009</v>
      </c>
      <c r="F744" s="25">
        <v>8.91</v>
      </c>
      <c r="G744" s="26">
        <v>-0.4178</v>
      </c>
      <c r="H744" s="27">
        <v>0.13589999999999999</v>
      </c>
      <c r="I744" s="26">
        <v>3.0739999999999998</v>
      </c>
      <c r="J744" s="28">
        <v>6</v>
      </c>
      <c r="K744" s="27">
        <v>8.1128000000000006E-2</v>
      </c>
      <c r="L744" s="29">
        <f t="shared" si="44"/>
        <v>1.0908292302919624</v>
      </c>
      <c r="M744" s="29">
        <f t="shared" si="45"/>
        <v>-0.41799999999999998</v>
      </c>
      <c r="N744" s="30">
        <f t="shared" si="46"/>
        <v>1.6611253506986183</v>
      </c>
      <c r="O744" s="31">
        <f t="shared" si="47"/>
        <v>0.74846149339634571</v>
      </c>
    </row>
    <row r="745" spans="1:15" x14ac:dyDescent="0.25">
      <c r="A745" t="s">
        <v>6482</v>
      </c>
      <c r="B745" t="s">
        <v>1493</v>
      </c>
      <c r="C745" s="3" t="s">
        <v>1494</v>
      </c>
      <c r="D745" s="24">
        <v>2.2071E-2</v>
      </c>
      <c r="E745" s="25">
        <v>11.5</v>
      </c>
      <c r="F745" s="25">
        <v>11.25</v>
      </c>
      <c r="G745" s="26">
        <v>0.25</v>
      </c>
      <c r="H745" s="27">
        <v>8.1570000000000004E-2</v>
      </c>
      <c r="I745" s="26">
        <v>3.0649999999999999</v>
      </c>
      <c r="J745" s="28">
        <v>6</v>
      </c>
      <c r="K745" s="27">
        <v>8.1739999999999993E-2</v>
      </c>
      <c r="L745" s="29">
        <f t="shared" si="44"/>
        <v>1.0875653666244252</v>
      </c>
      <c r="M745" s="29">
        <f t="shared" si="45"/>
        <v>0.25000000000000078</v>
      </c>
      <c r="N745" s="30">
        <f t="shared" si="46"/>
        <v>1.6561779892378383</v>
      </c>
      <c r="O745" s="31">
        <f t="shared" si="47"/>
        <v>1.1892071150027217</v>
      </c>
    </row>
    <row r="746" spans="1:15" x14ac:dyDescent="0.25">
      <c r="A746" t="s">
        <v>6483</v>
      </c>
      <c r="B746" t="s">
        <v>1491</v>
      </c>
      <c r="C746" s="3" t="s">
        <v>1492</v>
      </c>
      <c r="D746" s="24">
        <v>2.2053E-2</v>
      </c>
      <c r="E746" s="25">
        <v>9.6989999999999998</v>
      </c>
      <c r="F746" s="25">
        <v>9.4410000000000007</v>
      </c>
      <c r="G746" s="26">
        <v>0.25769999999999998</v>
      </c>
      <c r="H746" s="27">
        <v>8.4059999999999996E-2</v>
      </c>
      <c r="I746" s="26">
        <v>3.0659999999999998</v>
      </c>
      <c r="J746" s="28">
        <v>6</v>
      </c>
      <c r="K746" s="27">
        <v>8.1739999999999993E-2</v>
      </c>
      <c r="L746" s="29">
        <f t="shared" si="44"/>
        <v>1.0875653666244252</v>
      </c>
      <c r="M746" s="29">
        <f t="shared" si="45"/>
        <v>0.25799999999999901</v>
      </c>
      <c r="N746" s="30">
        <f t="shared" si="46"/>
        <v>1.6565323225307356</v>
      </c>
      <c r="O746" s="31">
        <f t="shared" si="47"/>
        <v>1.1958197967761233</v>
      </c>
    </row>
    <row r="747" spans="1:15" x14ac:dyDescent="0.25">
      <c r="A747" t="s">
        <v>6484</v>
      </c>
      <c r="B747" t="s">
        <v>1497</v>
      </c>
      <c r="C747" s="3" t="s">
        <v>1498</v>
      </c>
      <c r="D747" s="24">
        <v>2.2103999999999999E-2</v>
      </c>
      <c r="E747" s="25">
        <v>8.6140000000000008</v>
      </c>
      <c r="F747" s="25">
        <v>8.8190000000000008</v>
      </c>
      <c r="G747" s="26">
        <v>-0.2056</v>
      </c>
      <c r="H747" s="27">
        <v>6.7100000000000007E-2</v>
      </c>
      <c r="I747" s="26">
        <v>3.0640000000000001</v>
      </c>
      <c r="J747" s="28">
        <v>6</v>
      </c>
      <c r="K747" s="27">
        <v>8.1739999999999993E-2</v>
      </c>
      <c r="L747" s="29">
        <f t="shared" si="44"/>
        <v>1.0875653666244252</v>
      </c>
      <c r="M747" s="29">
        <f t="shared" si="45"/>
        <v>-0.20499999999999946</v>
      </c>
      <c r="N747" s="30">
        <f t="shared" si="46"/>
        <v>1.6555291280915447</v>
      </c>
      <c r="O747" s="31">
        <f t="shared" si="47"/>
        <v>0.86753868715206828</v>
      </c>
    </row>
    <row r="748" spans="1:15" x14ac:dyDescent="0.25">
      <c r="A748" t="s">
        <v>6485</v>
      </c>
      <c r="B748" t="s">
        <v>1495</v>
      </c>
      <c r="C748" s="3" t="s">
        <v>1496</v>
      </c>
      <c r="D748" s="24">
        <v>2.2075999999999998E-2</v>
      </c>
      <c r="E748" s="25">
        <v>7.7629999999999999</v>
      </c>
      <c r="F748" s="25">
        <v>8.4640000000000004</v>
      </c>
      <c r="G748" s="26">
        <v>-0.70089999999999997</v>
      </c>
      <c r="H748" s="27">
        <v>0.22869999999999999</v>
      </c>
      <c r="I748" s="26">
        <v>3.0649999999999999</v>
      </c>
      <c r="J748" s="28">
        <v>6</v>
      </c>
      <c r="K748" s="27">
        <v>8.1739999999999993E-2</v>
      </c>
      <c r="L748" s="29">
        <f t="shared" si="44"/>
        <v>1.0875653666244252</v>
      </c>
      <c r="M748" s="29">
        <f t="shared" si="45"/>
        <v>-0.70100000000000062</v>
      </c>
      <c r="N748" s="30">
        <f t="shared" si="46"/>
        <v>1.656079614606774</v>
      </c>
      <c r="O748" s="31">
        <f t="shared" si="47"/>
        <v>0.61514567237557194</v>
      </c>
    </row>
    <row r="749" spans="1:15" x14ac:dyDescent="0.25">
      <c r="A749" t="s">
        <v>6486</v>
      </c>
      <c r="B749" t="s">
        <v>1499</v>
      </c>
      <c r="C749" s="3" t="s">
        <v>1500</v>
      </c>
      <c r="D749" s="24">
        <v>2.2176999999999999E-2</v>
      </c>
      <c r="E749" s="25">
        <v>9.1920000000000002</v>
      </c>
      <c r="F749" s="25">
        <v>8.7750000000000004</v>
      </c>
      <c r="G749" s="26">
        <v>0.41710000000000003</v>
      </c>
      <c r="H749" s="27">
        <v>0.13619999999999999</v>
      </c>
      <c r="I749" s="26">
        <v>3.0619999999999998</v>
      </c>
      <c r="J749" s="28">
        <v>6</v>
      </c>
      <c r="K749" s="27">
        <v>8.1850999999999993E-2</v>
      </c>
      <c r="L749" s="29">
        <f t="shared" si="44"/>
        <v>1.0869760103042212</v>
      </c>
      <c r="M749" s="29">
        <f t="shared" si="45"/>
        <v>0.41700000000000093</v>
      </c>
      <c r="N749" s="30">
        <f t="shared" si="46"/>
        <v>1.6540972035234547</v>
      </c>
      <c r="O749" s="31">
        <f t="shared" si="47"/>
        <v>1.3351483032959091</v>
      </c>
    </row>
    <row r="750" spans="1:15" x14ac:dyDescent="0.25">
      <c r="A750" t="s">
        <v>6487</v>
      </c>
      <c r="B750" t="s">
        <v>1503</v>
      </c>
      <c r="C750" s="3" t="s">
        <v>1504</v>
      </c>
      <c r="D750" s="24">
        <v>2.2223E-2</v>
      </c>
      <c r="E750" s="25">
        <v>12.96</v>
      </c>
      <c r="F750" s="25">
        <v>12.17</v>
      </c>
      <c r="G750" s="26">
        <v>0.78339999999999999</v>
      </c>
      <c r="H750" s="27">
        <v>0.25600000000000001</v>
      </c>
      <c r="I750" s="26">
        <v>3.06</v>
      </c>
      <c r="J750" s="28">
        <v>6</v>
      </c>
      <c r="K750" s="27">
        <v>8.1850999999999993E-2</v>
      </c>
      <c r="L750" s="29">
        <f t="shared" si="44"/>
        <v>1.0869760103042212</v>
      </c>
      <c r="M750" s="29">
        <f t="shared" si="45"/>
        <v>0.79000000000000103</v>
      </c>
      <c r="N750" s="30">
        <f t="shared" si="46"/>
        <v>1.6531973137344762</v>
      </c>
      <c r="O750" s="31">
        <f t="shared" si="47"/>
        <v>1.7290744626157315</v>
      </c>
    </row>
    <row r="751" spans="1:15" x14ac:dyDescent="0.25">
      <c r="A751" t="s">
        <v>6488</v>
      </c>
      <c r="B751" t="s">
        <v>1501</v>
      </c>
      <c r="C751" s="3" t="s">
        <v>1502</v>
      </c>
      <c r="D751" s="24">
        <v>2.2194999999999999E-2</v>
      </c>
      <c r="E751" s="25">
        <v>9.5069999999999997</v>
      </c>
      <c r="F751" s="25">
        <v>9.1639999999999997</v>
      </c>
      <c r="G751" s="26">
        <v>0.3427</v>
      </c>
      <c r="H751" s="27">
        <v>0.112</v>
      </c>
      <c r="I751" s="26">
        <v>3.0609999999999999</v>
      </c>
      <c r="J751" s="28">
        <v>6</v>
      </c>
      <c r="K751" s="27">
        <v>8.1850999999999993E-2</v>
      </c>
      <c r="L751" s="29">
        <f t="shared" si="44"/>
        <v>1.0869760103042212</v>
      </c>
      <c r="M751" s="29">
        <f t="shared" si="45"/>
        <v>0.34299999999999914</v>
      </c>
      <c r="N751" s="30">
        <f t="shared" si="46"/>
        <v>1.6537448506386143</v>
      </c>
      <c r="O751" s="31">
        <f t="shared" si="47"/>
        <v>1.2683913993258664</v>
      </c>
    </row>
    <row r="752" spans="1:15" x14ac:dyDescent="0.25">
      <c r="A752" t="s">
        <v>6489</v>
      </c>
      <c r="B752" t="s">
        <v>1505</v>
      </c>
      <c r="C752" s="3" t="s">
        <v>1506</v>
      </c>
      <c r="D752" s="24">
        <v>2.2297000000000001E-2</v>
      </c>
      <c r="E752" s="25">
        <v>6.3869999999999996</v>
      </c>
      <c r="F752" s="25">
        <v>7.242</v>
      </c>
      <c r="G752" s="26">
        <v>-0.85450000000000004</v>
      </c>
      <c r="H752" s="27">
        <v>0.27950000000000003</v>
      </c>
      <c r="I752" s="26">
        <v>3.0569999999999999</v>
      </c>
      <c r="J752" s="28">
        <v>6</v>
      </c>
      <c r="K752" s="27">
        <v>8.1999000000000002E-2</v>
      </c>
      <c r="L752" s="29">
        <f t="shared" si="44"/>
        <v>1.0861914439227474</v>
      </c>
      <c r="M752" s="29">
        <f t="shared" si="45"/>
        <v>-0.85500000000000032</v>
      </c>
      <c r="N752" s="30">
        <f t="shared" si="46"/>
        <v>1.6517535661487661</v>
      </c>
      <c r="O752" s="31">
        <f t="shared" si="47"/>
        <v>0.55286532666013433</v>
      </c>
    </row>
    <row r="753" spans="1:15" x14ac:dyDescent="0.25">
      <c r="A753" t="s">
        <v>6490</v>
      </c>
      <c r="B753" t="s">
        <v>1507</v>
      </c>
      <c r="C753" s="3" t="s">
        <v>1508</v>
      </c>
      <c r="D753" s="24">
        <v>2.2322999999999999E-2</v>
      </c>
      <c r="E753" s="25">
        <v>10.36</v>
      </c>
      <c r="F753" s="25">
        <v>9.8949999999999996</v>
      </c>
      <c r="G753" s="26">
        <v>0.4672</v>
      </c>
      <c r="H753" s="27">
        <v>0.15279999999999999</v>
      </c>
      <c r="I753" s="26">
        <v>3.0569999999999999</v>
      </c>
      <c r="J753" s="28">
        <v>6</v>
      </c>
      <c r="K753" s="27">
        <v>8.1999000000000002E-2</v>
      </c>
      <c r="L753" s="29">
        <f t="shared" si="44"/>
        <v>1.0861914439227474</v>
      </c>
      <c r="M753" s="29">
        <f t="shared" si="45"/>
        <v>0.46499999999999952</v>
      </c>
      <c r="N753" s="30">
        <f t="shared" si="46"/>
        <v>1.651247440742784</v>
      </c>
      <c r="O753" s="31">
        <f t="shared" si="47"/>
        <v>1.3803173533966286</v>
      </c>
    </row>
    <row r="754" spans="1:15" x14ac:dyDescent="0.25">
      <c r="A754" t="s">
        <v>6491</v>
      </c>
      <c r="B754" t="s">
        <v>1509</v>
      </c>
      <c r="C754" s="3" t="s">
        <v>1510</v>
      </c>
      <c r="D754" s="24">
        <v>2.2464000000000001E-2</v>
      </c>
      <c r="E754" s="25">
        <v>7.3220000000000001</v>
      </c>
      <c r="F754" s="25">
        <v>7.718</v>
      </c>
      <c r="G754" s="26">
        <v>-0.39639999999999997</v>
      </c>
      <c r="H754" s="27">
        <v>0.12989999999999999</v>
      </c>
      <c r="I754" s="26">
        <v>3.052</v>
      </c>
      <c r="J754" s="28">
        <v>6</v>
      </c>
      <c r="K754" s="27">
        <v>8.2409999999999997E-2</v>
      </c>
      <c r="L754" s="29">
        <f t="shared" si="44"/>
        <v>1.0840200858597755</v>
      </c>
      <c r="M754" s="29">
        <f t="shared" si="45"/>
        <v>-0.39599999999999957</v>
      </c>
      <c r="N754" s="30">
        <f t="shared" si="46"/>
        <v>1.6485129095502886</v>
      </c>
      <c r="O754" s="31">
        <f t="shared" si="47"/>
        <v>0.7599624282007581</v>
      </c>
    </row>
    <row r="755" spans="1:15" x14ac:dyDescent="0.25">
      <c r="A755" t="s">
        <v>6492</v>
      </c>
      <c r="B755" t="s">
        <v>1511</v>
      </c>
      <c r="C755" s="3" t="s">
        <v>1512</v>
      </c>
      <c r="D755" s="24">
        <v>2.2577E-2</v>
      </c>
      <c r="E755" s="25">
        <v>8.6959999999999997</v>
      </c>
      <c r="F755" s="25">
        <v>9.2430000000000003</v>
      </c>
      <c r="G755" s="26">
        <v>-0.5474</v>
      </c>
      <c r="H755" s="27">
        <v>0.17960000000000001</v>
      </c>
      <c r="I755" s="26">
        <v>3.048</v>
      </c>
      <c r="J755" s="28">
        <v>6</v>
      </c>
      <c r="K755" s="27">
        <v>8.2713999999999996E-2</v>
      </c>
      <c r="L755" s="29">
        <f t="shared" si="44"/>
        <v>1.0824209764430621</v>
      </c>
      <c r="M755" s="29">
        <f t="shared" si="45"/>
        <v>-0.54700000000000093</v>
      </c>
      <c r="N755" s="30">
        <f t="shared" si="46"/>
        <v>1.6463337670170977</v>
      </c>
      <c r="O755" s="31">
        <f t="shared" si="47"/>
        <v>0.68444190654591874</v>
      </c>
    </row>
    <row r="756" spans="1:15" x14ac:dyDescent="0.25">
      <c r="A756" t="s">
        <v>6493</v>
      </c>
      <c r="B756" t="s">
        <v>1513</v>
      </c>
      <c r="C756" s="3" t="s">
        <v>1514</v>
      </c>
      <c r="D756" s="24">
        <v>2.2637999999999998E-2</v>
      </c>
      <c r="E756" s="25">
        <v>8.7750000000000004</v>
      </c>
      <c r="F756" s="25">
        <v>9.3870000000000005</v>
      </c>
      <c r="G756" s="26">
        <v>-0.61209999999999998</v>
      </c>
      <c r="H756" s="27">
        <v>0.20100000000000001</v>
      </c>
      <c r="I756" s="26">
        <v>3.0459999999999998</v>
      </c>
      <c r="J756" s="28">
        <v>6</v>
      </c>
      <c r="K756" s="27">
        <v>8.2824999999999996E-2</v>
      </c>
      <c r="L756" s="29">
        <f t="shared" si="44"/>
        <v>1.0818385554460024</v>
      </c>
      <c r="M756" s="29">
        <f t="shared" si="45"/>
        <v>-0.61199999999999977</v>
      </c>
      <c r="N756" s="30">
        <f t="shared" si="46"/>
        <v>1.6451619444153607</v>
      </c>
      <c r="O756" s="31">
        <f t="shared" si="47"/>
        <v>0.65428903572750519</v>
      </c>
    </row>
    <row r="757" spans="1:15" x14ac:dyDescent="0.25">
      <c r="A757" t="s">
        <v>6494</v>
      </c>
      <c r="B757" t="s">
        <v>1515</v>
      </c>
      <c r="C757" s="3" t="s">
        <v>1516</v>
      </c>
      <c r="D757" s="24">
        <v>2.2719E-2</v>
      </c>
      <c r="E757" s="25">
        <v>12.1</v>
      </c>
      <c r="F757" s="25">
        <v>12.29</v>
      </c>
      <c r="G757" s="26">
        <v>-0.19489999999999999</v>
      </c>
      <c r="H757" s="27">
        <v>6.4060000000000006E-2</v>
      </c>
      <c r="I757" s="26">
        <v>3.0430000000000001</v>
      </c>
      <c r="J757" s="28">
        <v>6</v>
      </c>
      <c r="K757" s="27">
        <v>8.3013000000000003E-2</v>
      </c>
      <c r="L757" s="29">
        <f t="shared" si="44"/>
        <v>1.08085389092311</v>
      </c>
      <c r="M757" s="29">
        <f t="shared" si="45"/>
        <v>-0.18999999999999836</v>
      </c>
      <c r="N757" s="30">
        <f t="shared" si="46"/>
        <v>1.6436107884557245</v>
      </c>
      <c r="O757" s="31">
        <f t="shared" si="47"/>
        <v>0.87660572131603609</v>
      </c>
    </row>
    <row r="758" spans="1:15" x14ac:dyDescent="0.25">
      <c r="A758" t="s">
        <v>6495</v>
      </c>
      <c r="B758" t="s">
        <v>1517</v>
      </c>
      <c r="C758" s="3" t="s">
        <v>1518</v>
      </c>
      <c r="D758" s="24">
        <v>2.2780000000000002E-2</v>
      </c>
      <c r="E758" s="25">
        <v>10.039999999999999</v>
      </c>
      <c r="F758" s="25">
        <v>9.5630000000000006</v>
      </c>
      <c r="G758" s="26">
        <v>0.48089999999999999</v>
      </c>
      <c r="H758" s="27">
        <v>0.15809999999999999</v>
      </c>
      <c r="I758" s="26">
        <v>3.0409999999999999</v>
      </c>
      <c r="J758" s="28">
        <v>6</v>
      </c>
      <c r="K758" s="27">
        <v>8.3079E-2</v>
      </c>
      <c r="L758" s="29">
        <f t="shared" si="44"/>
        <v>1.0805087395935542</v>
      </c>
      <c r="M758" s="29">
        <f t="shared" si="45"/>
        <v>0.47699999999999942</v>
      </c>
      <c r="N758" s="30">
        <f t="shared" si="46"/>
        <v>1.6424462802569182</v>
      </c>
      <c r="O758" s="31">
        <f t="shared" si="47"/>
        <v>1.3918463918311006</v>
      </c>
    </row>
    <row r="759" spans="1:15" x14ac:dyDescent="0.25">
      <c r="A759" t="s">
        <v>6496</v>
      </c>
      <c r="B759" t="s">
        <v>1519</v>
      </c>
      <c r="C759" s="3" t="s">
        <v>1520</v>
      </c>
      <c r="D759" s="24">
        <v>2.2797000000000001E-2</v>
      </c>
      <c r="E759" s="25">
        <v>12.03</v>
      </c>
      <c r="F759" s="25">
        <v>11.8</v>
      </c>
      <c r="G759" s="26">
        <v>0.2293</v>
      </c>
      <c r="H759" s="27">
        <v>7.5420000000000001E-2</v>
      </c>
      <c r="I759" s="26">
        <v>3.04</v>
      </c>
      <c r="J759" s="28">
        <v>6</v>
      </c>
      <c r="K759" s="27">
        <v>8.3079E-2</v>
      </c>
      <c r="L759" s="29">
        <f t="shared" si="44"/>
        <v>1.0805087395935542</v>
      </c>
      <c r="M759" s="29">
        <f t="shared" si="45"/>
        <v>0.22999999999999754</v>
      </c>
      <c r="N759" s="30">
        <f t="shared" si="46"/>
        <v>1.6421223007701271</v>
      </c>
      <c r="O759" s="31">
        <f t="shared" si="47"/>
        <v>1.1728349492318768</v>
      </c>
    </row>
    <row r="760" spans="1:15" x14ac:dyDescent="0.25">
      <c r="A760" t="s">
        <v>6497</v>
      </c>
      <c r="B760" t="s">
        <v>1521</v>
      </c>
      <c r="C760" s="3" t="s">
        <v>1522</v>
      </c>
      <c r="D760" s="24">
        <v>2.2887999999999999E-2</v>
      </c>
      <c r="E760" s="25">
        <v>8.4939999999999998</v>
      </c>
      <c r="F760" s="25">
        <v>8.7629999999999999</v>
      </c>
      <c r="G760" s="26">
        <v>-0.2697</v>
      </c>
      <c r="H760" s="27">
        <v>8.881E-2</v>
      </c>
      <c r="I760" s="26">
        <v>3.0369999999999999</v>
      </c>
      <c r="J760" s="28">
        <v>6</v>
      </c>
      <c r="K760" s="27">
        <v>8.3230999999999999E-2</v>
      </c>
      <c r="L760" s="29">
        <f t="shared" si="44"/>
        <v>1.0797148873942901</v>
      </c>
      <c r="M760" s="29">
        <f t="shared" si="45"/>
        <v>-0.26899999999999979</v>
      </c>
      <c r="N760" s="30">
        <f t="shared" si="46"/>
        <v>1.6403921552027936</v>
      </c>
      <c r="O760" s="31">
        <f t="shared" si="47"/>
        <v>0.82989458558998264</v>
      </c>
    </row>
    <row r="761" spans="1:15" x14ac:dyDescent="0.25">
      <c r="A761" t="s">
        <v>6498</v>
      </c>
      <c r="B761" t="s">
        <v>1523</v>
      </c>
      <c r="C761" s="3" t="s">
        <v>1524</v>
      </c>
      <c r="D761" s="24">
        <v>2.2898999999999999E-2</v>
      </c>
      <c r="E761" s="25">
        <v>8.8640000000000008</v>
      </c>
      <c r="F761" s="25">
        <v>8.6170000000000009</v>
      </c>
      <c r="G761" s="26">
        <v>0.2462</v>
      </c>
      <c r="H761" s="27">
        <v>8.1070000000000003E-2</v>
      </c>
      <c r="I761" s="26">
        <v>3.0369999999999999</v>
      </c>
      <c r="J761" s="28">
        <v>6</v>
      </c>
      <c r="K761" s="27">
        <v>8.3230999999999999E-2</v>
      </c>
      <c r="L761" s="29">
        <f t="shared" si="44"/>
        <v>1.0797148873942901</v>
      </c>
      <c r="M761" s="29">
        <f t="shared" si="45"/>
        <v>0.24699999999999933</v>
      </c>
      <c r="N761" s="30">
        <f t="shared" si="46"/>
        <v>1.6401834828987405</v>
      </c>
      <c r="O761" s="31">
        <f t="shared" si="47"/>
        <v>1.1867367976565315</v>
      </c>
    </row>
    <row r="762" spans="1:15" x14ac:dyDescent="0.25">
      <c r="A762" t="s">
        <v>6499</v>
      </c>
      <c r="B762" t="s">
        <v>1525</v>
      </c>
      <c r="C762" s="3" t="s">
        <v>1526</v>
      </c>
      <c r="D762" s="24">
        <v>2.2956000000000001E-2</v>
      </c>
      <c r="E762" s="25">
        <v>10.4</v>
      </c>
      <c r="F762" s="25">
        <v>10.199999999999999</v>
      </c>
      <c r="G762" s="26">
        <v>0.19839999999999999</v>
      </c>
      <c r="H762" s="27">
        <v>6.5369999999999998E-2</v>
      </c>
      <c r="I762" s="26">
        <v>3.0350000000000001</v>
      </c>
      <c r="J762" s="28">
        <v>6</v>
      </c>
      <c r="K762" s="27">
        <v>8.3329E-2</v>
      </c>
      <c r="L762" s="29">
        <f t="shared" si="44"/>
        <v>1.0792038299478701</v>
      </c>
      <c r="M762" s="29">
        <f t="shared" si="45"/>
        <v>0.20000000000000123</v>
      </c>
      <c r="N762" s="30">
        <f t="shared" si="46"/>
        <v>1.6391037839250793</v>
      </c>
      <c r="O762" s="31">
        <f t="shared" si="47"/>
        <v>1.148698354997036</v>
      </c>
    </row>
    <row r="763" spans="1:15" x14ac:dyDescent="0.25">
      <c r="A763" t="s">
        <v>6500</v>
      </c>
      <c r="B763" t="s">
        <v>1527</v>
      </c>
      <c r="C763" s="3" t="s">
        <v>1528</v>
      </c>
      <c r="D763" s="24">
        <v>2.3036000000000001E-2</v>
      </c>
      <c r="E763" s="25">
        <v>9.2070000000000007</v>
      </c>
      <c r="F763" s="25">
        <v>8.9280000000000008</v>
      </c>
      <c r="G763" s="26">
        <v>0.27839999999999998</v>
      </c>
      <c r="H763" s="27">
        <v>9.1810000000000003E-2</v>
      </c>
      <c r="I763" s="26">
        <v>3.032</v>
      </c>
      <c r="J763" s="28">
        <v>6</v>
      </c>
      <c r="K763" s="27">
        <v>8.3505999999999997E-2</v>
      </c>
      <c r="L763" s="29">
        <f t="shared" si="44"/>
        <v>1.0782823188484274</v>
      </c>
      <c r="M763" s="29">
        <f t="shared" si="45"/>
        <v>0.2789999999999998</v>
      </c>
      <c r="N763" s="30">
        <f t="shared" si="46"/>
        <v>1.637592930142131</v>
      </c>
      <c r="O763" s="31">
        <f t="shared" si="47"/>
        <v>1.2133535602486927</v>
      </c>
    </row>
    <row r="764" spans="1:15" x14ac:dyDescent="0.25">
      <c r="A764" t="s">
        <v>6501</v>
      </c>
      <c r="B764" t="s">
        <v>1529</v>
      </c>
      <c r="C764" s="3" t="s">
        <v>1530</v>
      </c>
      <c r="D764" s="24">
        <v>2.3064999999999999E-2</v>
      </c>
      <c r="E764" s="25">
        <v>9.3949999999999996</v>
      </c>
      <c r="F764" s="25">
        <v>9.0069999999999997</v>
      </c>
      <c r="G764" s="26">
        <v>0.38850000000000001</v>
      </c>
      <c r="H764" s="27">
        <v>0.12820000000000001</v>
      </c>
      <c r="I764" s="26">
        <v>3.0310000000000001</v>
      </c>
      <c r="J764" s="28">
        <v>6</v>
      </c>
      <c r="K764" s="27">
        <v>8.3505999999999997E-2</v>
      </c>
      <c r="L764" s="29">
        <f t="shared" si="44"/>
        <v>1.0782823188484274</v>
      </c>
      <c r="M764" s="29">
        <f t="shared" si="45"/>
        <v>0.38800000000000018</v>
      </c>
      <c r="N764" s="30">
        <f t="shared" si="46"/>
        <v>1.6370465410557145</v>
      </c>
      <c r="O764" s="31">
        <f t="shared" si="47"/>
        <v>1.3085780714550104</v>
      </c>
    </row>
    <row r="765" spans="1:15" x14ac:dyDescent="0.25">
      <c r="A765" t="s">
        <v>6502</v>
      </c>
      <c r="B765" t="s">
        <v>1531</v>
      </c>
      <c r="C765" s="3" t="s">
        <v>1532</v>
      </c>
      <c r="D765" s="24">
        <v>2.3143E-2</v>
      </c>
      <c r="E765" s="25">
        <v>11.15</v>
      </c>
      <c r="F765" s="25">
        <v>11.63</v>
      </c>
      <c r="G765" s="26">
        <v>-0.47820000000000001</v>
      </c>
      <c r="H765" s="27">
        <v>0.15790000000000001</v>
      </c>
      <c r="I765" s="26">
        <v>3.028</v>
      </c>
      <c r="J765" s="28">
        <v>6</v>
      </c>
      <c r="K765" s="27">
        <v>8.3674999999999999E-2</v>
      </c>
      <c r="L765" s="29">
        <f t="shared" si="44"/>
        <v>1.0774042789701852</v>
      </c>
      <c r="M765" s="29">
        <f t="shared" si="45"/>
        <v>-0.48000000000000187</v>
      </c>
      <c r="N765" s="30">
        <f t="shared" si="46"/>
        <v>1.6355803446497645</v>
      </c>
      <c r="O765" s="31">
        <f t="shared" si="47"/>
        <v>0.71697762400791276</v>
      </c>
    </row>
    <row r="766" spans="1:15" x14ac:dyDescent="0.25">
      <c r="A766" t="s">
        <v>6503</v>
      </c>
      <c r="B766" t="s">
        <v>1533</v>
      </c>
      <c r="C766" s="3" t="s">
        <v>1534</v>
      </c>
      <c r="D766" s="24">
        <v>2.3181E-2</v>
      </c>
      <c r="E766" s="25">
        <v>8.2870000000000008</v>
      </c>
      <c r="F766" s="25">
        <v>8.5340000000000007</v>
      </c>
      <c r="G766" s="26">
        <v>-0.2472</v>
      </c>
      <c r="H766" s="27">
        <v>8.1680000000000003E-2</v>
      </c>
      <c r="I766" s="26">
        <v>3.0270000000000001</v>
      </c>
      <c r="J766" s="28">
        <v>6</v>
      </c>
      <c r="K766" s="27">
        <v>8.3706000000000003E-2</v>
      </c>
      <c r="L766" s="29">
        <f t="shared" si="44"/>
        <v>1.0772434109016118</v>
      </c>
      <c r="M766" s="29">
        <f t="shared" si="45"/>
        <v>-0.24699999999999953</v>
      </c>
      <c r="N766" s="30">
        <f t="shared" si="46"/>
        <v>1.6348678330353086</v>
      </c>
      <c r="O766" s="31">
        <f t="shared" si="47"/>
        <v>0.84264682950315195</v>
      </c>
    </row>
    <row r="767" spans="1:15" x14ac:dyDescent="0.25">
      <c r="A767" t="s">
        <v>6504</v>
      </c>
      <c r="B767" t="s">
        <v>1537</v>
      </c>
      <c r="C767" s="3" t="s">
        <v>1538</v>
      </c>
      <c r="D767" s="24">
        <v>2.3576E-2</v>
      </c>
      <c r="E767" s="25">
        <v>9.1210000000000004</v>
      </c>
      <c r="F767" s="25">
        <v>9.5109999999999992</v>
      </c>
      <c r="G767" s="26">
        <v>-0.39</v>
      </c>
      <c r="H767" s="27">
        <v>0.12939999999999999</v>
      </c>
      <c r="I767" s="26">
        <v>3.0139999999999998</v>
      </c>
      <c r="J767" s="28">
        <v>6</v>
      </c>
      <c r="K767" s="27">
        <v>8.4808999999999996E-2</v>
      </c>
      <c r="L767" s="29">
        <f t="shared" si="44"/>
        <v>1.0715580576143331</v>
      </c>
      <c r="M767" s="29">
        <f t="shared" si="45"/>
        <v>-0.38999999999999985</v>
      </c>
      <c r="N767" s="30">
        <f t="shared" si="46"/>
        <v>1.627529877158131</v>
      </c>
      <c r="O767" s="31">
        <f t="shared" si="47"/>
        <v>0.76312960448027967</v>
      </c>
    </row>
    <row r="768" spans="1:15" x14ac:dyDescent="0.25">
      <c r="A768" t="s">
        <v>6505</v>
      </c>
      <c r="B768" t="s">
        <v>1535</v>
      </c>
      <c r="C768" s="3" t="s">
        <v>1536</v>
      </c>
      <c r="D768" s="24">
        <v>2.3571999999999999E-2</v>
      </c>
      <c r="E768" s="25">
        <v>11.77</v>
      </c>
      <c r="F768" s="25">
        <v>12.1</v>
      </c>
      <c r="G768" s="26">
        <v>-0.32900000000000001</v>
      </c>
      <c r="H768" s="27">
        <v>0.10920000000000001</v>
      </c>
      <c r="I768" s="26">
        <v>3.0139999999999998</v>
      </c>
      <c r="J768" s="28">
        <v>6</v>
      </c>
      <c r="K768" s="27">
        <v>8.4808999999999996E-2</v>
      </c>
      <c r="L768" s="29">
        <f t="shared" si="44"/>
        <v>1.0715580576143331</v>
      </c>
      <c r="M768" s="29">
        <f t="shared" si="45"/>
        <v>-0.33000000000000118</v>
      </c>
      <c r="N768" s="30">
        <f t="shared" si="46"/>
        <v>1.6276035675768883</v>
      </c>
      <c r="O768" s="31">
        <f t="shared" si="47"/>
        <v>0.79553648375491803</v>
      </c>
    </row>
    <row r="769" spans="1:15" x14ac:dyDescent="0.25">
      <c r="A769" t="s">
        <v>6506</v>
      </c>
      <c r="B769" t="s">
        <v>1539</v>
      </c>
      <c r="C769" s="3" t="s">
        <v>1540</v>
      </c>
      <c r="D769" s="24">
        <v>2.3578999999999999E-2</v>
      </c>
      <c r="E769" s="25">
        <v>10.25</v>
      </c>
      <c r="F769" s="25">
        <v>9.9930000000000003</v>
      </c>
      <c r="G769" s="26">
        <v>0.2545</v>
      </c>
      <c r="H769" s="27">
        <v>8.4459999999999993E-2</v>
      </c>
      <c r="I769" s="26">
        <v>3.0139999999999998</v>
      </c>
      <c r="J769" s="28">
        <v>6</v>
      </c>
      <c r="K769" s="27">
        <v>8.4808999999999996E-2</v>
      </c>
      <c r="L769" s="29">
        <f t="shared" si="44"/>
        <v>1.0715580576143331</v>
      </c>
      <c r="M769" s="29">
        <f t="shared" si="45"/>
        <v>0.25699999999999984</v>
      </c>
      <c r="N769" s="30">
        <f t="shared" si="46"/>
        <v>1.6274746175484409</v>
      </c>
      <c r="O769" s="31">
        <f t="shared" si="47"/>
        <v>1.1949912048567821</v>
      </c>
    </row>
    <row r="770" spans="1:15" x14ac:dyDescent="0.25">
      <c r="A770" t="s">
        <v>6507</v>
      </c>
      <c r="B770" t="s">
        <v>1541</v>
      </c>
      <c r="C770" s="3" t="s">
        <v>1542</v>
      </c>
      <c r="D770" s="24">
        <v>2.3798E-2</v>
      </c>
      <c r="E770" s="25">
        <v>8.3759999999999994</v>
      </c>
      <c r="F770" s="25">
        <v>8.8079999999999998</v>
      </c>
      <c r="G770" s="26">
        <v>-0.43240000000000001</v>
      </c>
      <c r="H770" s="27">
        <v>0.14380000000000001</v>
      </c>
      <c r="I770" s="26">
        <v>3.0070000000000001</v>
      </c>
      <c r="J770" s="28">
        <v>6</v>
      </c>
      <c r="K770" s="27">
        <v>8.5486000000000006E-2</v>
      </c>
      <c r="L770" s="29">
        <f t="shared" ref="L770:L833" si="48">-LOG(K770,10)</f>
        <v>1.0681050036412871</v>
      </c>
      <c r="M770" s="29">
        <f t="shared" ref="M770:M833" si="49">LOG(O770,2)</f>
        <v>-0.43200000000000077</v>
      </c>
      <c r="N770" s="30">
        <f t="shared" ref="N770:N833" si="50">-LOG(D770,10)</f>
        <v>1.623459539811605</v>
      </c>
      <c r="O770" s="31">
        <f t="shared" ref="O770:O833" si="51">((2^E770)/(2^F770))</f>
        <v>0.74123350490141715</v>
      </c>
    </row>
    <row r="771" spans="1:15" x14ac:dyDescent="0.25">
      <c r="A771" t="s">
        <v>6508</v>
      </c>
      <c r="B771" t="s">
        <v>1545</v>
      </c>
      <c r="C771" s="3" t="s">
        <v>1546</v>
      </c>
      <c r="D771" s="24">
        <v>2.3876000000000001E-2</v>
      </c>
      <c r="E771" s="25">
        <v>9.5839999999999996</v>
      </c>
      <c r="F771" s="25">
        <v>9.9369999999999994</v>
      </c>
      <c r="G771" s="26">
        <v>-0.35310000000000002</v>
      </c>
      <c r="H771" s="27">
        <v>0.11749999999999999</v>
      </c>
      <c r="I771" s="26">
        <v>3.004</v>
      </c>
      <c r="J771" s="28">
        <v>6</v>
      </c>
      <c r="K771" s="27">
        <v>8.5543999999999995E-2</v>
      </c>
      <c r="L771" s="29">
        <f t="shared" si="48"/>
        <v>1.0678104461845135</v>
      </c>
      <c r="M771" s="29">
        <f t="shared" si="49"/>
        <v>-0.35299999999999965</v>
      </c>
      <c r="N771" s="30">
        <f t="shared" si="50"/>
        <v>1.6220384297803632</v>
      </c>
      <c r="O771" s="31">
        <f t="shared" si="51"/>
        <v>0.782954296256543</v>
      </c>
    </row>
    <row r="772" spans="1:15" x14ac:dyDescent="0.25">
      <c r="A772" t="s">
        <v>6509</v>
      </c>
      <c r="B772" t="s">
        <v>1543</v>
      </c>
      <c r="C772" s="3" t="s">
        <v>1544</v>
      </c>
      <c r="D772" s="24">
        <v>2.3852999999999999E-2</v>
      </c>
      <c r="E772" s="25">
        <v>11.01</v>
      </c>
      <c r="F772" s="25">
        <v>10.81</v>
      </c>
      <c r="G772" s="26">
        <v>0.20180000000000001</v>
      </c>
      <c r="H772" s="27">
        <v>6.7150000000000001E-2</v>
      </c>
      <c r="I772" s="26">
        <v>3.0049999999999999</v>
      </c>
      <c r="J772" s="28">
        <v>6</v>
      </c>
      <c r="K772" s="27">
        <v>8.5543999999999995E-2</v>
      </c>
      <c r="L772" s="29">
        <f t="shared" si="48"/>
        <v>1.0678104461845135</v>
      </c>
      <c r="M772" s="29">
        <f t="shared" si="49"/>
        <v>0.19999999999999871</v>
      </c>
      <c r="N772" s="30">
        <f t="shared" si="50"/>
        <v>1.6224569918225997</v>
      </c>
      <c r="O772" s="31">
        <f t="shared" si="51"/>
        <v>1.148698354997034</v>
      </c>
    </row>
    <row r="773" spans="1:15" x14ac:dyDescent="0.25">
      <c r="A773" t="s">
        <v>6510</v>
      </c>
      <c r="B773" t="s">
        <v>1549</v>
      </c>
      <c r="C773" s="3" t="s">
        <v>1550</v>
      </c>
      <c r="D773" s="24">
        <v>2.3970000000000002E-2</v>
      </c>
      <c r="E773" s="25">
        <v>7.1159999999999997</v>
      </c>
      <c r="F773" s="25">
        <v>7.4160000000000004</v>
      </c>
      <c r="G773" s="26">
        <v>-0.3</v>
      </c>
      <c r="H773" s="27">
        <v>9.9959999999999993E-2</v>
      </c>
      <c r="I773" s="26">
        <v>3.0009999999999999</v>
      </c>
      <c r="J773" s="28">
        <v>6</v>
      </c>
      <c r="K773" s="27">
        <v>8.5601999999999998E-2</v>
      </c>
      <c r="L773" s="29">
        <f t="shared" si="48"/>
        <v>1.0675160883740513</v>
      </c>
      <c r="M773" s="29">
        <f t="shared" si="49"/>
        <v>-0.3000000000000001</v>
      </c>
      <c r="N773" s="30">
        <f t="shared" si="50"/>
        <v>1.620331965966346</v>
      </c>
      <c r="O773" s="31">
        <f t="shared" si="51"/>
        <v>0.81225239635623547</v>
      </c>
    </row>
    <row r="774" spans="1:15" x14ac:dyDescent="0.25">
      <c r="A774" t="s">
        <v>6511</v>
      </c>
      <c r="B774" t="s">
        <v>1547</v>
      </c>
      <c r="C774" s="3" t="s">
        <v>1548</v>
      </c>
      <c r="D774" s="24">
        <v>2.3927E-2</v>
      </c>
      <c r="E774" s="25">
        <v>10.57</v>
      </c>
      <c r="F774" s="25">
        <v>10.83</v>
      </c>
      <c r="G774" s="26">
        <v>-0.2631</v>
      </c>
      <c r="H774" s="27">
        <v>8.763E-2</v>
      </c>
      <c r="I774" s="26">
        <v>3.0030000000000001</v>
      </c>
      <c r="J774" s="28">
        <v>6</v>
      </c>
      <c r="K774" s="27">
        <v>8.5601999999999998E-2</v>
      </c>
      <c r="L774" s="29">
        <f t="shared" si="48"/>
        <v>1.0675160883740513</v>
      </c>
      <c r="M774" s="29">
        <f t="shared" si="49"/>
        <v>-0.25999999999999962</v>
      </c>
      <c r="N774" s="30">
        <f t="shared" si="50"/>
        <v>1.621111750409586</v>
      </c>
      <c r="O774" s="31">
        <f t="shared" si="51"/>
        <v>0.83508791942836957</v>
      </c>
    </row>
    <row r="775" spans="1:15" x14ac:dyDescent="0.25">
      <c r="A775" t="s">
        <v>6512</v>
      </c>
      <c r="B775" t="s">
        <v>1551</v>
      </c>
      <c r="C775" s="3" t="s">
        <v>1552</v>
      </c>
      <c r="D775" s="24">
        <v>2.3984999999999999E-2</v>
      </c>
      <c r="E775" s="25">
        <v>7.6929999999999996</v>
      </c>
      <c r="F775" s="25">
        <v>7.3630000000000004</v>
      </c>
      <c r="G775" s="26">
        <v>0.3291</v>
      </c>
      <c r="H775" s="27">
        <v>0.10970000000000001</v>
      </c>
      <c r="I775" s="26">
        <v>3.0009999999999999</v>
      </c>
      <c r="J775" s="28">
        <v>6</v>
      </c>
      <c r="K775" s="27">
        <v>8.5601999999999998E-2</v>
      </c>
      <c r="L775" s="29">
        <f t="shared" si="48"/>
        <v>1.0675160883740513</v>
      </c>
      <c r="M775" s="29">
        <f t="shared" si="49"/>
        <v>0.32999999999999874</v>
      </c>
      <c r="N775" s="30">
        <f t="shared" si="50"/>
        <v>1.6200602771980839</v>
      </c>
      <c r="O775" s="31">
        <f t="shared" si="51"/>
        <v>1.2570133745218273</v>
      </c>
    </row>
    <row r="776" spans="1:15" x14ac:dyDescent="0.25">
      <c r="A776" t="s">
        <v>6513</v>
      </c>
      <c r="B776" t="s">
        <v>1555</v>
      </c>
      <c r="C776" s="3" t="s">
        <v>1556</v>
      </c>
      <c r="D776" s="24">
        <v>2.4164000000000001E-2</v>
      </c>
      <c r="E776" s="25">
        <v>10.130000000000001</v>
      </c>
      <c r="F776" s="25">
        <v>9.8940000000000001</v>
      </c>
      <c r="G776" s="26">
        <v>0.23780000000000001</v>
      </c>
      <c r="H776" s="27">
        <v>7.9390000000000002E-2</v>
      </c>
      <c r="I776" s="26">
        <v>2.9950000000000001</v>
      </c>
      <c r="J776" s="28">
        <v>6</v>
      </c>
      <c r="K776" s="27">
        <v>8.6016999999999996E-2</v>
      </c>
      <c r="L776" s="29">
        <f t="shared" si="48"/>
        <v>1.0654157083311673</v>
      </c>
      <c r="M776" s="29">
        <f t="shared" si="49"/>
        <v>0.23599999999999977</v>
      </c>
      <c r="N776" s="30">
        <f t="shared" si="50"/>
        <v>1.6168311729425711</v>
      </c>
      <c r="O776" s="31">
        <f t="shared" si="51"/>
        <v>1.1777227895949813</v>
      </c>
    </row>
    <row r="777" spans="1:15" x14ac:dyDescent="0.25">
      <c r="A777" t="s">
        <v>6514</v>
      </c>
      <c r="B777" t="s">
        <v>1553</v>
      </c>
      <c r="C777" s="3" t="s">
        <v>1554</v>
      </c>
      <c r="D777" s="24">
        <v>2.4157000000000001E-2</v>
      </c>
      <c r="E777" s="25">
        <v>10.44</v>
      </c>
      <c r="F777" s="25">
        <v>10.71</v>
      </c>
      <c r="G777" s="26">
        <v>-0.27010000000000001</v>
      </c>
      <c r="H777" s="27">
        <v>9.0179999999999996E-2</v>
      </c>
      <c r="I777" s="26">
        <v>2.9950000000000001</v>
      </c>
      <c r="J777" s="28">
        <v>6</v>
      </c>
      <c r="K777" s="27">
        <v>8.6016999999999996E-2</v>
      </c>
      <c r="L777" s="29">
        <f t="shared" si="48"/>
        <v>1.0654157083311673</v>
      </c>
      <c r="M777" s="29">
        <f t="shared" si="49"/>
        <v>-0.27000000000000163</v>
      </c>
      <c r="N777" s="30">
        <f t="shared" si="50"/>
        <v>1.6169570006942562</v>
      </c>
      <c r="O777" s="31">
        <f t="shared" si="51"/>
        <v>0.82931954581444078</v>
      </c>
    </row>
    <row r="778" spans="1:15" x14ac:dyDescent="0.25">
      <c r="A778" t="s">
        <v>6515</v>
      </c>
      <c r="B778" t="s">
        <v>1557</v>
      </c>
      <c r="C778" s="3" t="s">
        <v>1558</v>
      </c>
      <c r="D778" s="24">
        <v>2.427E-2</v>
      </c>
      <c r="E778" s="25">
        <v>8.702</v>
      </c>
      <c r="F778" s="25">
        <v>9.5730000000000004</v>
      </c>
      <c r="G778" s="26">
        <v>-0.87060000000000004</v>
      </c>
      <c r="H778" s="27">
        <v>0.29099999999999998</v>
      </c>
      <c r="I778" s="26">
        <v>2.992</v>
      </c>
      <c r="J778" s="28">
        <v>6</v>
      </c>
      <c r="K778" s="27">
        <v>8.6182999999999996E-2</v>
      </c>
      <c r="L778" s="29">
        <f t="shared" si="48"/>
        <v>1.0645783923459453</v>
      </c>
      <c r="M778" s="29">
        <f t="shared" si="49"/>
        <v>-0.87100000000000055</v>
      </c>
      <c r="N778" s="30">
        <f t="shared" si="50"/>
        <v>1.6149302236680649</v>
      </c>
      <c r="O778" s="31">
        <f t="shared" si="51"/>
        <v>0.54676772874231594</v>
      </c>
    </row>
    <row r="779" spans="1:15" x14ac:dyDescent="0.25">
      <c r="A779" t="s">
        <v>6516</v>
      </c>
      <c r="B779" t="s">
        <v>1559</v>
      </c>
      <c r="C779" s="3" t="s">
        <v>1560</v>
      </c>
      <c r="D779" s="24">
        <v>2.4272999999999999E-2</v>
      </c>
      <c r="E779" s="25">
        <v>10.74</v>
      </c>
      <c r="F779" s="25">
        <v>10.57</v>
      </c>
      <c r="G779" s="26">
        <v>0.16930000000000001</v>
      </c>
      <c r="H779" s="27">
        <v>5.6590000000000001E-2</v>
      </c>
      <c r="I779" s="26">
        <v>2.992</v>
      </c>
      <c r="J779" s="28">
        <v>6</v>
      </c>
      <c r="K779" s="27">
        <v>8.6182999999999996E-2</v>
      </c>
      <c r="L779" s="29">
        <f t="shared" si="48"/>
        <v>1.0645783923459453</v>
      </c>
      <c r="M779" s="29">
        <f t="shared" si="49"/>
        <v>0.17000000000000007</v>
      </c>
      <c r="N779" s="30">
        <f t="shared" si="50"/>
        <v>1.6148765441077839</v>
      </c>
      <c r="O779" s="31">
        <f t="shared" si="51"/>
        <v>1.1250584846888094</v>
      </c>
    </row>
    <row r="780" spans="1:15" x14ac:dyDescent="0.25">
      <c r="A780" t="s">
        <v>6517</v>
      </c>
      <c r="B780" t="s">
        <v>1561</v>
      </c>
      <c r="C780" s="3" t="s">
        <v>1562</v>
      </c>
      <c r="D780" s="24">
        <v>2.4390999999999999E-2</v>
      </c>
      <c r="E780" s="25">
        <v>9.6159999999999997</v>
      </c>
      <c r="F780" s="25">
        <v>9.827</v>
      </c>
      <c r="G780" s="26">
        <v>-0.21029999999999999</v>
      </c>
      <c r="H780" s="27">
        <v>7.0400000000000004E-2</v>
      </c>
      <c r="I780" s="26">
        <v>2.988</v>
      </c>
      <c r="J780" s="28">
        <v>6</v>
      </c>
      <c r="K780" s="27">
        <v>8.6490999999999998E-2</v>
      </c>
      <c r="L780" s="29">
        <f t="shared" si="48"/>
        <v>1.0630290815952022</v>
      </c>
      <c r="M780" s="29">
        <f t="shared" si="49"/>
        <v>-0.2110000000000008</v>
      </c>
      <c r="N780" s="30">
        <f t="shared" si="50"/>
        <v>1.6127703937994706</v>
      </c>
      <c r="O780" s="31">
        <f t="shared" si="51"/>
        <v>0.86393818740027672</v>
      </c>
    </row>
    <row r="781" spans="1:15" x14ac:dyDescent="0.25">
      <c r="A781" t="s">
        <v>6518</v>
      </c>
      <c r="B781" t="s">
        <v>1563</v>
      </c>
      <c r="C781" s="3" t="s">
        <v>1564</v>
      </c>
      <c r="D781" s="24">
        <v>2.4433E-2</v>
      </c>
      <c r="E781" s="25">
        <v>9.6259999999999994</v>
      </c>
      <c r="F781" s="25">
        <v>9.9499999999999993</v>
      </c>
      <c r="G781" s="26">
        <v>-0.32440000000000002</v>
      </c>
      <c r="H781" s="27">
        <v>0.1086</v>
      </c>
      <c r="I781" s="26">
        <v>2.9860000000000002</v>
      </c>
      <c r="J781" s="28">
        <v>6</v>
      </c>
      <c r="K781" s="27">
        <v>8.6529999999999996E-2</v>
      </c>
      <c r="L781" s="29">
        <f t="shared" si="48"/>
        <v>1.0628332962849671</v>
      </c>
      <c r="M781" s="29">
        <f t="shared" si="49"/>
        <v>-0.32399999999999995</v>
      </c>
      <c r="N781" s="30">
        <f t="shared" si="50"/>
        <v>1.6120232050095626</v>
      </c>
      <c r="O781" s="31">
        <f t="shared" si="51"/>
        <v>0.79885191644914799</v>
      </c>
    </row>
    <row r="782" spans="1:15" x14ac:dyDescent="0.25">
      <c r="A782" t="s">
        <v>6519</v>
      </c>
      <c r="B782" t="s">
        <v>1565</v>
      </c>
      <c r="C782" s="3" t="s">
        <v>1566</v>
      </c>
      <c r="D782" s="24">
        <v>2.4593E-2</v>
      </c>
      <c r="E782" s="25">
        <v>13.23</v>
      </c>
      <c r="F782" s="25">
        <v>13.64</v>
      </c>
      <c r="G782" s="26">
        <v>-0.41610000000000003</v>
      </c>
      <c r="H782" s="27">
        <v>0.1396</v>
      </c>
      <c r="I782" s="26">
        <v>2.9809999999999999</v>
      </c>
      <c r="J782" s="28">
        <v>6</v>
      </c>
      <c r="K782" s="27">
        <v>8.6983000000000005E-2</v>
      </c>
      <c r="L782" s="29">
        <f t="shared" si="48"/>
        <v>1.0605656178137324</v>
      </c>
      <c r="M782" s="29">
        <f t="shared" si="49"/>
        <v>-0.41000000000000181</v>
      </c>
      <c r="N782" s="30">
        <f t="shared" si="50"/>
        <v>1.6091884902130615</v>
      </c>
      <c r="O782" s="31">
        <f t="shared" si="51"/>
        <v>0.75262337370553267</v>
      </c>
    </row>
    <row r="783" spans="1:15" x14ac:dyDescent="0.25">
      <c r="A783" t="s">
        <v>6520</v>
      </c>
      <c r="B783" t="s">
        <v>1567</v>
      </c>
      <c r="C783" s="3" t="s">
        <v>1568</v>
      </c>
      <c r="D783" s="24">
        <v>2.4667000000000001E-2</v>
      </c>
      <c r="E783" s="25">
        <v>9.0869999999999997</v>
      </c>
      <c r="F783" s="25">
        <v>8.8040000000000003</v>
      </c>
      <c r="G783" s="26">
        <v>0.2828</v>
      </c>
      <c r="H783" s="27">
        <v>9.4939999999999997E-2</v>
      </c>
      <c r="I783" s="26">
        <v>2.9790000000000001</v>
      </c>
      <c r="J783" s="28">
        <v>6</v>
      </c>
      <c r="K783" s="27">
        <v>8.7068000000000006E-2</v>
      </c>
      <c r="L783" s="29">
        <f t="shared" si="48"/>
        <v>1.0601414314097874</v>
      </c>
      <c r="M783" s="29">
        <f t="shared" si="49"/>
        <v>0.28299999999999909</v>
      </c>
      <c r="N783" s="30">
        <f t="shared" si="50"/>
        <v>1.6078836661839899</v>
      </c>
      <c r="O783" s="31">
        <f t="shared" si="51"/>
        <v>1.216722358634067</v>
      </c>
    </row>
    <row r="784" spans="1:15" x14ac:dyDescent="0.25">
      <c r="A784" t="s">
        <v>6521</v>
      </c>
      <c r="B784" t="s">
        <v>1569</v>
      </c>
      <c r="C784" s="3" t="s">
        <v>1570</v>
      </c>
      <c r="D784" s="24">
        <v>2.4680000000000001E-2</v>
      </c>
      <c r="E784" s="25">
        <v>9.3109999999999999</v>
      </c>
      <c r="F784" s="25">
        <v>8.77</v>
      </c>
      <c r="G784" s="26">
        <v>0.54190000000000005</v>
      </c>
      <c r="H784" s="27">
        <v>0.18190000000000001</v>
      </c>
      <c r="I784" s="26">
        <v>2.9790000000000001</v>
      </c>
      <c r="J784" s="28">
        <v>6</v>
      </c>
      <c r="K784" s="27">
        <v>8.7068000000000006E-2</v>
      </c>
      <c r="L784" s="29">
        <f t="shared" si="48"/>
        <v>1.0601414314097874</v>
      </c>
      <c r="M784" s="29">
        <f t="shared" si="49"/>
        <v>0.54100000000000081</v>
      </c>
      <c r="N784" s="30">
        <f t="shared" si="50"/>
        <v>1.6076548446387957</v>
      </c>
      <c r="O784" s="31">
        <f t="shared" si="51"/>
        <v>1.4549806836347581</v>
      </c>
    </row>
    <row r="785" spans="1:15" x14ac:dyDescent="0.25">
      <c r="A785" t="s">
        <v>6522</v>
      </c>
      <c r="B785" t="s">
        <v>1571</v>
      </c>
      <c r="C785" s="3" t="s">
        <v>1572</v>
      </c>
      <c r="D785" s="24">
        <v>2.5028000000000002E-2</v>
      </c>
      <c r="E785" s="25">
        <v>9.5250000000000004</v>
      </c>
      <c r="F785" s="25">
        <v>9.3699999999999992</v>
      </c>
      <c r="G785" s="26">
        <v>0.15490000000000001</v>
      </c>
      <c r="H785" s="27">
        <v>5.2200000000000003E-2</v>
      </c>
      <c r="I785" s="26">
        <v>2.968</v>
      </c>
      <c r="J785" s="28">
        <v>6</v>
      </c>
      <c r="K785" s="27">
        <v>8.8042999999999996E-2</v>
      </c>
      <c r="L785" s="29">
        <f t="shared" si="48"/>
        <v>1.0553051676038321</v>
      </c>
      <c r="M785" s="29">
        <f t="shared" si="49"/>
        <v>0.1550000000000013</v>
      </c>
      <c r="N785" s="30">
        <f t="shared" si="50"/>
        <v>1.6015738536945161</v>
      </c>
      <c r="O785" s="31">
        <f t="shared" si="51"/>
        <v>1.1134216182286873</v>
      </c>
    </row>
    <row r="786" spans="1:15" x14ac:dyDescent="0.25">
      <c r="A786" t="s">
        <v>6523</v>
      </c>
      <c r="B786" t="s">
        <v>1575</v>
      </c>
      <c r="C786" s="3" t="s">
        <v>1576</v>
      </c>
      <c r="D786" s="24">
        <v>2.5052000000000001E-2</v>
      </c>
      <c r="E786" s="25">
        <v>7.9770000000000003</v>
      </c>
      <c r="F786" s="25">
        <v>8.6219999999999999</v>
      </c>
      <c r="G786" s="26">
        <v>-0.64429999999999998</v>
      </c>
      <c r="H786" s="27">
        <v>0.21709999999999999</v>
      </c>
      <c r="I786" s="26">
        <v>2.9670000000000001</v>
      </c>
      <c r="J786" s="28">
        <v>6</v>
      </c>
      <c r="K786" s="27">
        <v>8.8042999999999996E-2</v>
      </c>
      <c r="L786" s="29">
        <f t="shared" si="48"/>
        <v>1.0553051676038321</v>
      </c>
      <c r="M786" s="29">
        <f t="shared" si="49"/>
        <v>-0.6449999999999998</v>
      </c>
      <c r="N786" s="30">
        <f t="shared" si="50"/>
        <v>1.6011575969707295</v>
      </c>
      <c r="O786" s="31">
        <f t="shared" si="51"/>
        <v>0.63949279063871445</v>
      </c>
    </row>
    <row r="787" spans="1:15" x14ac:dyDescent="0.25">
      <c r="A787" t="s">
        <v>6524</v>
      </c>
      <c r="B787" t="s">
        <v>1573</v>
      </c>
      <c r="C787" s="3" t="s">
        <v>1574</v>
      </c>
      <c r="D787" s="24">
        <v>2.5031000000000001E-2</v>
      </c>
      <c r="E787" s="25">
        <v>13.66</v>
      </c>
      <c r="F787" s="25">
        <v>13.42</v>
      </c>
      <c r="G787" s="26">
        <v>0.2419</v>
      </c>
      <c r="H787" s="27">
        <v>8.1509999999999999E-2</v>
      </c>
      <c r="I787" s="26">
        <v>2.968</v>
      </c>
      <c r="J787" s="28">
        <v>6</v>
      </c>
      <c r="K787" s="27">
        <v>8.8042999999999996E-2</v>
      </c>
      <c r="L787" s="29">
        <f t="shared" si="48"/>
        <v>1.0553051676038321</v>
      </c>
      <c r="M787" s="29">
        <f t="shared" si="49"/>
        <v>0.23999999999999905</v>
      </c>
      <c r="N787" s="30">
        <f t="shared" si="50"/>
        <v>1.6015217997802442</v>
      </c>
      <c r="O787" s="31">
        <f t="shared" si="51"/>
        <v>1.1809926614295296</v>
      </c>
    </row>
    <row r="788" spans="1:15" x14ac:dyDescent="0.25">
      <c r="A788" t="s">
        <v>6525</v>
      </c>
      <c r="B788" t="s">
        <v>1577</v>
      </c>
      <c r="C788" s="3" t="s">
        <v>1578</v>
      </c>
      <c r="D788" s="24">
        <v>2.5104000000000001E-2</v>
      </c>
      <c r="E788" s="25">
        <v>9.83</v>
      </c>
      <c r="F788" s="25">
        <v>9.6449999999999996</v>
      </c>
      <c r="G788" s="26">
        <v>0.18459999999999999</v>
      </c>
      <c r="H788" s="27">
        <v>6.2260000000000003E-2</v>
      </c>
      <c r="I788" s="26">
        <v>2.9649999999999999</v>
      </c>
      <c r="J788" s="28">
        <v>6</v>
      </c>
      <c r="K788" s="27">
        <v>8.8114999999999999E-2</v>
      </c>
      <c r="L788" s="29">
        <f t="shared" si="48"/>
        <v>1.0549501544402144</v>
      </c>
      <c r="M788" s="29">
        <f t="shared" si="49"/>
        <v>0.18500000000000003</v>
      </c>
      <c r="N788" s="30">
        <f t="shared" si="50"/>
        <v>1.6002570737571384</v>
      </c>
      <c r="O788" s="31">
        <f t="shared" si="51"/>
        <v>1.1368169732360141</v>
      </c>
    </row>
    <row r="789" spans="1:15" x14ac:dyDescent="0.25">
      <c r="A789" t="s">
        <v>6526</v>
      </c>
      <c r="B789" t="s">
        <v>1579</v>
      </c>
      <c r="C789" s="3" t="s">
        <v>1580</v>
      </c>
      <c r="D789" s="24">
        <v>2.5193E-2</v>
      </c>
      <c r="E789" s="25">
        <v>7.9370000000000003</v>
      </c>
      <c r="F789" s="25">
        <v>9.1010000000000009</v>
      </c>
      <c r="G789" s="26">
        <v>-1.1639999999999999</v>
      </c>
      <c r="H789" s="27">
        <v>0.39300000000000002</v>
      </c>
      <c r="I789" s="26">
        <v>2.9630000000000001</v>
      </c>
      <c r="J789" s="28">
        <v>6</v>
      </c>
      <c r="K789" s="27">
        <v>8.8315000000000005E-2</v>
      </c>
      <c r="L789" s="29">
        <f t="shared" si="48"/>
        <v>1.0539655267285297</v>
      </c>
      <c r="M789" s="29">
        <f t="shared" si="49"/>
        <v>-1.1640000000000004</v>
      </c>
      <c r="N789" s="30">
        <f t="shared" si="50"/>
        <v>1.5987201133328317</v>
      </c>
      <c r="O789" s="31">
        <f t="shared" si="51"/>
        <v>0.44627348573648823</v>
      </c>
    </row>
    <row r="790" spans="1:15" x14ac:dyDescent="0.25">
      <c r="A790" t="s">
        <v>6527</v>
      </c>
      <c r="B790" t="s">
        <v>1581</v>
      </c>
      <c r="C790" s="3" t="s">
        <v>1582</v>
      </c>
      <c r="D790" s="24">
        <v>2.5293E-2</v>
      </c>
      <c r="E790" s="25">
        <v>11.36</v>
      </c>
      <c r="F790" s="25">
        <v>10.85</v>
      </c>
      <c r="G790" s="26">
        <v>0.51459999999999995</v>
      </c>
      <c r="H790" s="27">
        <v>0.1739</v>
      </c>
      <c r="I790" s="26">
        <v>2.96</v>
      </c>
      <c r="J790" s="28">
        <v>6</v>
      </c>
      <c r="K790" s="27">
        <v>8.8553999999999994E-2</v>
      </c>
      <c r="L790" s="29">
        <f t="shared" si="48"/>
        <v>1.0527918168715042</v>
      </c>
      <c r="M790" s="29">
        <f t="shared" si="49"/>
        <v>0.50999999999999923</v>
      </c>
      <c r="N790" s="30">
        <f t="shared" si="50"/>
        <v>1.5969996559788364</v>
      </c>
      <c r="O790" s="31">
        <f t="shared" si="51"/>
        <v>1.424050195597071</v>
      </c>
    </row>
    <row r="791" spans="1:15" x14ac:dyDescent="0.25">
      <c r="A791" t="s">
        <v>6528</v>
      </c>
      <c r="B791" t="s">
        <v>1583</v>
      </c>
      <c r="C791" s="3" t="s">
        <v>1584</v>
      </c>
      <c r="D791" s="24">
        <v>2.5377E-2</v>
      </c>
      <c r="E791" s="25">
        <v>8.0579999999999998</v>
      </c>
      <c r="F791" s="25">
        <v>8.6720000000000006</v>
      </c>
      <c r="G791" s="26">
        <v>-0.61360000000000003</v>
      </c>
      <c r="H791" s="27">
        <v>0.20749999999999999</v>
      </c>
      <c r="I791" s="26">
        <v>2.9569999999999999</v>
      </c>
      <c r="J791" s="28">
        <v>6</v>
      </c>
      <c r="K791" s="27">
        <v>8.8683999999999999E-2</v>
      </c>
      <c r="L791" s="29">
        <f t="shared" si="48"/>
        <v>1.0521547267128242</v>
      </c>
      <c r="M791" s="29">
        <f t="shared" si="49"/>
        <v>-0.61400000000000077</v>
      </c>
      <c r="N791" s="30">
        <f t="shared" si="50"/>
        <v>1.5955597203206813</v>
      </c>
      <c r="O791" s="31">
        <f t="shared" si="51"/>
        <v>0.65338262694658633</v>
      </c>
    </row>
    <row r="792" spans="1:15" x14ac:dyDescent="0.25">
      <c r="A792" t="s">
        <v>6529</v>
      </c>
      <c r="B792" t="s">
        <v>1585</v>
      </c>
      <c r="C792" s="3" t="s">
        <v>1586</v>
      </c>
      <c r="D792" s="24">
        <v>2.5395000000000001E-2</v>
      </c>
      <c r="E792" s="25">
        <v>13.62</v>
      </c>
      <c r="F792" s="25">
        <v>14.03</v>
      </c>
      <c r="G792" s="26">
        <v>-0.40899999999999997</v>
      </c>
      <c r="H792" s="27">
        <v>0.13830000000000001</v>
      </c>
      <c r="I792" s="26">
        <v>2.9569999999999999</v>
      </c>
      <c r="J792" s="28">
        <v>6</v>
      </c>
      <c r="K792" s="27">
        <v>8.8683999999999999E-2</v>
      </c>
      <c r="L792" s="29">
        <f t="shared" si="48"/>
        <v>1.0521547267128242</v>
      </c>
      <c r="M792" s="29">
        <f t="shared" si="49"/>
        <v>-0.40999999999999925</v>
      </c>
      <c r="N792" s="30">
        <f t="shared" si="50"/>
        <v>1.5952517828353834</v>
      </c>
      <c r="O792" s="31">
        <f t="shared" si="51"/>
        <v>0.752623373705534</v>
      </c>
    </row>
    <row r="793" spans="1:15" x14ac:dyDescent="0.25">
      <c r="A793" t="s">
        <v>6530</v>
      </c>
      <c r="B793" t="s">
        <v>1587</v>
      </c>
      <c r="C793" s="3" t="s">
        <v>1588</v>
      </c>
      <c r="D793" s="24">
        <v>2.5516E-2</v>
      </c>
      <c r="E793" s="25">
        <v>12.2</v>
      </c>
      <c r="F793" s="25">
        <v>12.73</v>
      </c>
      <c r="G793" s="26">
        <v>-0.53010000000000002</v>
      </c>
      <c r="H793" s="27">
        <v>0.17949999999999999</v>
      </c>
      <c r="I793" s="26">
        <v>2.9529999999999998</v>
      </c>
      <c r="J793" s="28">
        <v>6</v>
      </c>
      <c r="K793" s="27">
        <v>8.8993000000000003E-2</v>
      </c>
      <c r="L793" s="29">
        <f t="shared" si="48"/>
        <v>1.0506441526914081</v>
      </c>
      <c r="M793" s="29">
        <f t="shared" si="49"/>
        <v>-0.53000000000000103</v>
      </c>
      <c r="N793" s="30">
        <f t="shared" si="50"/>
        <v>1.593187406521577</v>
      </c>
      <c r="O793" s="31">
        <f t="shared" si="51"/>
        <v>0.69255473405546186</v>
      </c>
    </row>
    <row r="794" spans="1:15" x14ac:dyDescent="0.25">
      <c r="A794" t="s">
        <v>6531</v>
      </c>
      <c r="B794" t="s">
        <v>1595</v>
      </c>
      <c r="C794" s="3" t="s">
        <v>1596</v>
      </c>
      <c r="D794" s="24">
        <v>2.5647E-2</v>
      </c>
      <c r="E794" s="25">
        <v>11.52</v>
      </c>
      <c r="F794" s="25">
        <v>11.23</v>
      </c>
      <c r="G794" s="26">
        <v>0.29549999999999998</v>
      </c>
      <c r="H794" s="27">
        <v>0.1002</v>
      </c>
      <c r="I794" s="26">
        <v>2.9489999999999998</v>
      </c>
      <c r="J794" s="28">
        <v>6</v>
      </c>
      <c r="K794" s="27">
        <v>8.9002999999999999E-2</v>
      </c>
      <c r="L794" s="29">
        <f t="shared" si="48"/>
        <v>1.0505953544619691</v>
      </c>
      <c r="M794" s="29">
        <f t="shared" si="49"/>
        <v>0.28999999999999965</v>
      </c>
      <c r="N794" s="30">
        <f t="shared" si="50"/>
        <v>1.5909634281990914</v>
      </c>
      <c r="O794" s="31">
        <f t="shared" si="51"/>
        <v>1.2226402776920682</v>
      </c>
    </row>
    <row r="795" spans="1:15" x14ac:dyDescent="0.25">
      <c r="A795" t="s">
        <v>6532</v>
      </c>
      <c r="B795" t="s">
        <v>1593</v>
      </c>
      <c r="C795" s="3" t="s">
        <v>1594</v>
      </c>
      <c r="D795" s="24">
        <v>2.5638000000000001E-2</v>
      </c>
      <c r="E795" s="25">
        <v>9.7590000000000003</v>
      </c>
      <c r="F795" s="25">
        <v>10.17</v>
      </c>
      <c r="G795" s="26">
        <v>-0.40629999999999999</v>
      </c>
      <c r="H795" s="27">
        <v>0.13780000000000001</v>
      </c>
      <c r="I795" s="26">
        <v>2.9489999999999998</v>
      </c>
      <c r="J795" s="28">
        <v>6</v>
      </c>
      <c r="K795" s="27">
        <v>8.9002999999999999E-2</v>
      </c>
      <c r="L795" s="29">
        <f t="shared" si="48"/>
        <v>1.0505953544619691</v>
      </c>
      <c r="M795" s="29">
        <f t="shared" si="49"/>
        <v>-0.41099999999999953</v>
      </c>
      <c r="N795" s="30">
        <f t="shared" si="50"/>
        <v>1.5911158567991597</v>
      </c>
      <c r="O795" s="31">
        <f t="shared" si="51"/>
        <v>0.75210187569434406</v>
      </c>
    </row>
    <row r="796" spans="1:15" x14ac:dyDescent="0.25">
      <c r="A796" t="s">
        <v>6533</v>
      </c>
      <c r="B796" t="s">
        <v>1591</v>
      </c>
      <c r="C796" s="3" t="s">
        <v>1592</v>
      </c>
      <c r="D796" s="24">
        <v>2.5595E-2</v>
      </c>
      <c r="E796" s="25">
        <v>9.6180000000000003</v>
      </c>
      <c r="F796" s="25">
        <v>9.8889999999999993</v>
      </c>
      <c r="G796" s="26">
        <v>-0.27010000000000001</v>
      </c>
      <c r="H796" s="27">
        <v>9.1550000000000006E-2</v>
      </c>
      <c r="I796" s="26">
        <v>2.9510000000000001</v>
      </c>
      <c r="J796" s="28">
        <v>6</v>
      </c>
      <c r="K796" s="27">
        <v>8.9002999999999999E-2</v>
      </c>
      <c r="L796" s="29">
        <f t="shared" si="48"/>
        <v>1.0505953544619691</v>
      </c>
      <c r="M796" s="29">
        <f t="shared" si="49"/>
        <v>-0.2709999999999993</v>
      </c>
      <c r="N796" s="30">
        <f t="shared" si="50"/>
        <v>1.5918448661137357</v>
      </c>
      <c r="O796" s="31">
        <f t="shared" si="51"/>
        <v>0.82874490448799254</v>
      </c>
    </row>
    <row r="797" spans="1:15" x14ac:dyDescent="0.25">
      <c r="A797" t="s">
        <v>6534</v>
      </c>
      <c r="B797" t="s">
        <v>1589</v>
      </c>
      <c r="C797" s="3" t="s">
        <v>1590</v>
      </c>
      <c r="D797" s="24">
        <v>2.5566999999999999E-2</v>
      </c>
      <c r="E797" s="25">
        <v>10.4</v>
      </c>
      <c r="F797" s="25">
        <v>10.59</v>
      </c>
      <c r="G797" s="26">
        <v>-0.18779999999999999</v>
      </c>
      <c r="H797" s="27">
        <v>6.3630000000000006E-2</v>
      </c>
      <c r="I797" s="26">
        <v>2.9510000000000001</v>
      </c>
      <c r="J797" s="28">
        <v>6</v>
      </c>
      <c r="K797" s="27">
        <v>8.9002999999999999E-2</v>
      </c>
      <c r="L797" s="29">
        <f t="shared" si="48"/>
        <v>1.0505953544619691</v>
      </c>
      <c r="M797" s="29">
        <f t="shared" si="49"/>
        <v>-0.18999999999999981</v>
      </c>
      <c r="N797" s="30">
        <f t="shared" si="50"/>
        <v>1.5923202285588065</v>
      </c>
      <c r="O797" s="31">
        <f t="shared" si="51"/>
        <v>0.8766057213160352</v>
      </c>
    </row>
    <row r="798" spans="1:15" x14ac:dyDescent="0.25">
      <c r="A798" t="s">
        <v>6535</v>
      </c>
      <c r="B798" t="s">
        <v>1599</v>
      </c>
      <c r="C798" s="3" t="s">
        <v>1600</v>
      </c>
      <c r="D798" s="24">
        <v>2.5727E-2</v>
      </c>
      <c r="E798" s="25">
        <v>9.9469999999999992</v>
      </c>
      <c r="F798" s="25">
        <v>10.41</v>
      </c>
      <c r="G798" s="26">
        <v>-0.4602</v>
      </c>
      <c r="H798" s="27">
        <v>0.15620000000000001</v>
      </c>
      <c r="I798" s="26">
        <v>2.9470000000000001</v>
      </c>
      <c r="J798" s="28">
        <v>6</v>
      </c>
      <c r="K798" s="27">
        <v>8.9009000000000005E-2</v>
      </c>
      <c r="L798" s="29">
        <f t="shared" si="48"/>
        <v>1.0505660781559629</v>
      </c>
      <c r="M798" s="29">
        <f t="shared" si="49"/>
        <v>-0.46300000000000108</v>
      </c>
      <c r="N798" s="30">
        <f t="shared" si="50"/>
        <v>1.5896108534867668</v>
      </c>
      <c r="O798" s="31">
        <f t="shared" si="51"/>
        <v>0.72547610391708872</v>
      </c>
    </row>
    <row r="799" spans="1:15" x14ac:dyDescent="0.25">
      <c r="A799" t="s">
        <v>6536</v>
      </c>
      <c r="B799" t="s">
        <v>1601</v>
      </c>
      <c r="C799" s="3" t="s">
        <v>1602</v>
      </c>
      <c r="D799" s="24">
        <v>2.5746000000000002E-2</v>
      </c>
      <c r="E799" s="25">
        <v>10.130000000000001</v>
      </c>
      <c r="F799" s="25">
        <v>9.7140000000000004</v>
      </c>
      <c r="G799" s="26">
        <v>0.42109999999999997</v>
      </c>
      <c r="H799" s="27">
        <v>0.14299999999999999</v>
      </c>
      <c r="I799" s="26">
        <v>2.9460000000000002</v>
      </c>
      <c r="J799" s="28">
        <v>6</v>
      </c>
      <c r="K799" s="27">
        <v>8.9009000000000005E-2</v>
      </c>
      <c r="L799" s="29">
        <f t="shared" si="48"/>
        <v>1.0505660781559629</v>
      </c>
      <c r="M799" s="29">
        <f t="shared" si="49"/>
        <v>0.41600000000000037</v>
      </c>
      <c r="N799" s="30">
        <f t="shared" si="50"/>
        <v>1.5892902350836844</v>
      </c>
      <c r="O799" s="31">
        <f t="shared" si="51"/>
        <v>1.3342231696777693</v>
      </c>
    </row>
    <row r="800" spans="1:15" x14ac:dyDescent="0.25">
      <c r="A800" t="s">
        <v>6537</v>
      </c>
      <c r="B800" t="s">
        <v>1597</v>
      </c>
      <c r="C800" s="3" t="s">
        <v>1598</v>
      </c>
      <c r="D800" s="24">
        <v>2.5680999999999999E-2</v>
      </c>
      <c r="E800" s="25">
        <v>11.51</v>
      </c>
      <c r="F800" s="25">
        <v>11.72</v>
      </c>
      <c r="G800" s="26">
        <v>-0.2079</v>
      </c>
      <c r="H800" s="27">
        <v>7.0519999999999999E-2</v>
      </c>
      <c r="I800" s="26">
        <v>2.948</v>
      </c>
      <c r="J800" s="28">
        <v>6</v>
      </c>
      <c r="K800" s="27">
        <v>8.9009000000000005E-2</v>
      </c>
      <c r="L800" s="29">
        <f t="shared" si="48"/>
        <v>1.0505660781559629</v>
      </c>
      <c r="M800" s="29">
        <f t="shared" si="49"/>
        <v>-0.21000000000000166</v>
      </c>
      <c r="N800" s="30">
        <f t="shared" si="50"/>
        <v>1.5903880691535646</v>
      </c>
      <c r="O800" s="31">
        <f t="shared" si="51"/>
        <v>0.8645372313078642</v>
      </c>
    </row>
    <row r="801" spans="1:15" x14ac:dyDescent="0.25">
      <c r="A801" t="s">
        <v>6538</v>
      </c>
      <c r="B801" t="s">
        <v>1603</v>
      </c>
      <c r="C801" s="3" t="s">
        <v>1604</v>
      </c>
      <c r="D801" s="24">
        <v>2.5784000000000001E-2</v>
      </c>
      <c r="E801" s="25">
        <v>13.07</v>
      </c>
      <c r="F801" s="25">
        <v>13.42</v>
      </c>
      <c r="G801" s="26">
        <v>-0.35160000000000002</v>
      </c>
      <c r="H801" s="27">
        <v>0.11940000000000001</v>
      </c>
      <c r="I801" s="26">
        <v>2.9449999999999998</v>
      </c>
      <c r="J801" s="28">
        <v>6</v>
      </c>
      <c r="K801" s="27">
        <v>8.9032E-2</v>
      </c>
      <c r="L801" s="29">
        <f t="shared" si="48"/>
        <v>1.0504538705954645</v>
      </c>
      <c r="M801" s="29">
        <f t="shared" si="49"/>
        <v>-0.34999999999999953</v>
      </c>
      <c r="N801" s="30">
        <f t="shared" si="50"/>
        <v>1.5886497074957218</v>
      </c>
      <c r="O801" s="31">
        <f t="shared" si="51"/>
        <v>0.78458409789675099</v>
      </c>
    </row>
    <row r="802" spans="1:15" x14ac:dyDescent="0.25">
      <c r="A802" t="s">
        <v>6539</v>
      </c>
      <c r="B802" t="s">
        <v>1605</v>
      </c>
      <c r="C802" s="3" t="s">
        <v>1606</v>
      </c>
      <c r="D802" s="24">
        <v>2.5846999999999998E-2</v>
      </c>
      <c r="E802" s="25">
        <v>10.08</v>
      </c>
      <c r="F802" s="25">
        <v>9.7940000000000005</v>
      </c>
      <c r="G802" s="26">
        <v>0.29110000000000003</v>
      </c>
      <c r="H802" s="27">
        <v>9.8919999999999994E-2</v>
      </c>
      <c r="I802" s="26">
        <v>2.9430000000000001</v>
      </c>
      <c r="J802" s="28">
        <v>6</v>
      </c>
      <c r="K802" s="27">
        <v>8.9136999999999994E-2</v>
      </c>
      <c r="L802" s="29">
        <f t="shared" si="48"/>
        <v>1.0499419866439463</v>
      </c>
      <c r="M802" s="29">
        <f t="shared" si="49"/>
        <v>0.28599999999999914</v>
      </c>
      <c r="N802" s="30">
        <f t="shared" si="50"/>
        <v>1.5875898571756124</v>
      </c>
      <c r="O802" s="31">
        <f t="shared" si="51"/>
        <v>1.2192550940763025</v>
      </c>
    </row>
    <row r="803" spans="1:15" x14ac:dyDescent="0.25">
      <c r="A803" t="s">
        <v>6540</v>
      </c>
      <c r="B803" t="s">
        <v>1607</v>
      </c>
      <c r="C803" s="3" t="s">
        <v>1608</v>
      </c>
      <c r="D803" s="24">
        <v>2.5891999999999998E-2</v>
      </c>
      <c r="E803" s="25">
        <v>8.0609999999999999</v>
      </c>
      <c r="F803" s="25">
        <v>8.7260000000000009</v>
      </c>
      <c r="G803" s="26">
        <v>-0.66559999999999997</v>
      </c>
      <c r="H803" s="27">
        <v>0.2263</v>
      </c>
      <c r="I803" s="26">
        <v>2.9420000000000002</v>
      </c>
      <c r="J803" s="28">
        <v>6</v>
      </c>
      <c r="K803" s="27">
        <v>8.9178999999999994E-2</v>
      </c>
      <c r="L803" s="29">
        <f t="shared" si="48"/>
        <v>1.0497374018778316</v>
      </c>
      <c r="M803" s="29">
        <f t="shared" si="49"/>
        <v>-0.66500000000000059</v>
      </c>
      <c r="N803" s="30">
        <f t="shared" si="50"/>
        <v>1.5868344016541072</v>
      </c>
      <c r="O803" s="31">
        <f t="shared" si="51"/>
        <v>0.63068870441562452</v>
      </c>
    </row>
    <row r="804" spans="1:15" x14ac:dyDescent="0.25">
      <c r="A804" t="s">
        <v>6541</v>
      </c>
      <c r="B804" t="s">
        <v>1609</v>
      </c>
      <c r="C804" s="3" t="s">
        <v>1610</v>
      </c>
      <c r="D804" s="24">
        <v>2.6187999999999999E-2</v>
      </c>
      <c r="E804" s="25">
        <v>10.01</v>
      </c>
      <c r="F804" s="25">
        <v>9.5879999999999992</v>
      </c>
      <c r="G804" s="26">
        <v>0.42599999999999999</v>
      </c>
      <c r="H804" s="27">
        <v>0.1452</v>
      </c>
      <c r="I804" s="26">
        <v>2.9329999999999998</v>
      </c>
      <c r="J804" s="28">
        <v>6</v>
      </c>
      <c r="K804" s="27">
        <v>9.0085999999999999E-2</v>
      </c>
      <c r="L804" s="29">
        <f t="shared" si="48"/>
        <v>1.0453426962037244</v>
      </c>
      <c r="M804" s="29">
        <f t="shared" si="49"/>
        <v>0.42200000000000049</v>
      </c>
      <c r="N804" s="30">
        <f t="shared" si="50"/>
        <v>1.5818976677500409</v>
      </c>
      <c r="O804" s="31">
        <f t="shared" si="51"/>
        <v>1.3397836024278413</v>
      </c>
    </row>
    <row r="805" spans="1:15" x14ac:dyDescent="0.25">
      <c r="A805" t="s">
        <v>6542</v>
      </c>
      <c r="B805" t="s">
        <v>1611</v>
      </c>
      <c r="C805" s="3" t="s">
        <v>1612</v>
      </c>
      <c r="D805" s="24">
        <v>2.6383E-2</v>
      </c>
      <c r="E805" s="25">
        <v>8.8379999999999992</v>
      </c>
      <c r="F805" s="25">
        <v>9.1310000000000002</v>
      </c>
      <c r="G805" s="26">
        <v>-0.29339999999999999</v>
      </c>
      <c r="H805" s="27">
        <v>0.1002</v>
      </c>
      <c r="I805" s="26">
        <v>2.927</v>
      </c>
      <c r="J805" s="28">
        <v>6</v>
      </c>
      <c r="K805" s="27">
        <v>9.0644000000000002E-2</v>
      </c>
      <c r="L805" s="29">
        <f t="shared" si="48"/>
        <v>1.0426609378799045</v>
      </c>
      <c r="M805" s="29">
        <f t="shared" si="49"/>
        <v>-0.29300000000000098</v>
      </c>
      <c r="N805" s="30">
        <f t="shared" si="50"/>
        <v>1.5786758225361379</v>
      </c>
      <c r="O805" s="31">
        <f t="shared" si="51"/>
        <v>0.81620304615090111</v>
      </c>
    </row>
    <row r="806" spans="1:15" x14ac:dyDescent="0.25">
      <c r="A806" t="s">
        <v>6543</v>
      </c>
      <c r="B806" t="s">
        <v>1613</v>
      </c>
      <c r="C806" s="3" t="s">
        <v>1614</v>
      </c>
      <c r="D806" s="24">
        <v>2.6440000000000002E-2</v>
      </c>
      <c r="E806" s="25">
        <v>10.42</v>
      </c>
      <c r="F806" s="25">
        <v>10.08</v>
      </c>
      <c r="G806" s="26">
        <v>0.3402</v>
      </c>
      <c r="H806" s="27">
        <v>0.1163</v>
      </c>
      <c r="I806" s="26">
        <v>2.9260000000000002</v>
      </c>
      <c r="J806" s="28">
        <v>6</v>
      </c>
      <c r="K806" s="27">
        <v>9.0729000000000004E-2</v>
      </c>
      <c r="L806" s="29">
        <f t="shared" si="48"/>
        <v>1.0422538758181383</v>
      </c>
      <c r="M806" s="29">
        <f t="shared" si="49"/>
        <v>0.34000000000000025</v>
      </c>
      <c r="N806" s="30">
        <f t="shared" si="50"/>
        <v>1.5777385491863973</v>
      </c>
      <c r="O806" s="31">
        <f t="shared" si="51"/>
        <v>1.2657565939702802</v>
      </c>
    </row>
    <row r="807" spans="1:15" x14ac:dyDescent="0.25">
      <c r="A807" t="s">
        <v>6544</v>
      </c>
      <c r="B807" t="s">
        <v>1615</v>
      </c>
      <c r="C807" s="3" t="s">
        <v>1616</v>
      </c>
      <c r="D807" s="24">
        <v>2.6686000000000001E-2</v>
      </c>
      <c r="E807" s="25">
        <v>10.15</v>
      </c>
      <c r="F807" s="25">
        <v>9.8889999999999993</v>
      </c>
      <c r="G807" s="26">
        <v>0.25690000000000002</v>
      </c>
      <c r="H807" s="27">
        <v>8.8039999999999993E-2</v>
      </c>
      <c r="I807" s="26">
        <v>2.9180000000000001</v>
      </c>
      <c r="J807" s="28">
        <v>6</v>
      </c>
      <c r="K807" s="27">
        <v>9.146E-2</v>
      </c>
      <c r="L807" s="29">
        <f t="shared" si="48"/>
        <v>1.0387688029553368</v>
      </c>
      <c r="M807" s="29">
        <f t="shared" si="49"/>
        <v>0.26100000000000134</v>
      </c>
      <c r="N807" s="30">
        <f t="shared" si="50"/>
        <v>1.5737165183112207</v>
      </c>
      <c r="O807" s="31">
        <f t="shared" si="51"/>
        <v>1.1983090213394199</v>
      </c>
    </row>
    <row r="808" spans="1:15" x14ac:dyDescent="0.25">
      <c r="A808" t="s">
        <v>6545</v>
      </c>
      <c r="B808" t="s">
        <v>1617</v>
      </c>
      <c r="C808" s="3" t="s">
        <v>1618</v>
      </c>
      <c r="D808" s="24">
        <v>2.6744E-2</v>
      </c>
      <c r="E808" s="25">
        <v>8.0220000000000002</v>
      </c>
      <c r="F808" s="25">
        <v>7.4450000000000003</v>
      </c>
      <c r="G808" s="26">
        <v>0.5766</v>
      </c>
      <c r="H808" s="27">
        <v>0.19769999999999999</v>
      </c>
      <c r="I808" s="26">
        <v>2.9169999999999998</v>
      </c>
      <c r="J808" s="28">
        <v>6</v>
      </c>
      <c r="K808" s="27">
        <v>9.1542999999999999E-2</v>
      </c>
      <c r="L808" s="29">
        <f t="shared" si="48"/>
        <v>1.0383748592006488</v>
      </c>
      <c r="M808" s="29">
        <f t="shared" si="49"/>
        <v>0.57700000000000051</v>
      </c>
      <c r="N808" s="30">
        <f t="shared" si="50"/>
        <v>1.5727736364154878</v>
      </c>
      <c r="O808" s="31">
        <f t="shared" si="51"/>
        <v>1.4917440266914661</v>
      </c>
    </row>
    <row r="809" spans="1:15" x14ac:dyDescent="0.25">
      <c r="A809" t="s">
        <v>6546</v>
      </c>
      <c r="B809" t="s">
        <v>1619</v>
      </c>
      <c r="C809" s="3" t="s">
        <v>1620</v>
      </c>
      <c r="D809" s="24">
        <v>2.6837E-2</v>
      </c>
      <c r="E809" s="25">
        <v>10.42</v>
      </c>
      <c r="F809" s="25">
        <v>10.199999999999999</v>
      </c>
      <c r="G809" s="26">
        <v>0.21840000000000001</v>
      </c>
      <c r="H809" s="27">
        <v>7.4959999999999999E-2</v>
      </c>
      <c r="I809" s="26">
        <v>2.9140000000000001</v>
      </c>
      <c r="J809" s="28">
        <v>6</v>
      </c>
      <c r="K809" s="27">
        <v>9.1746999999999995E-2</v>
      </c>
      <c r="L809" s="29">
        <f t="shared" si="48"/>
        <v>1.0374081276725675</v>
      </c>
      <c r="M809" s="29">
        <f t="shared" si="49"/>
        <v>0.22000000000000081</v>
      </c>
      <c r="N809" s="30">
        <f t="shared" si="50"/>
        <v>1.5712660338184343</v>
      </c>
      <c r="O809" s="31">
        <f t="shared" si="51"/>
        <v>1.1647335864684565</v>
      </c>
    </row>
    <row r="810" spans="1:15" x14ac:dyDescent="0.25">
      <c r="A810" t="s">
        <v>6547</v>
      </c>
      <c r="B810" t="s">
        <v>1621</v>
      </c>
      <c r="C810" s="3" t="s">
        <v>1622</v>
      </c>
      <c r="D810" s="24">
        <v>2.7286000000000001E-2</v>
      </c>
      <c r="E810" s="25">
        <v>9.7970000000000006</v>
      </c>
      <c r="F810" s="25">
        <v>9.5150000000000006</v>
      </c>
      <c r="G810" s="26">
        <v>0.28289999999999998</v>
      </c>
      <c r="H810" s="27">
        <v>9.7500000000000003E-2</v>
      </c>
      <c r="I810" s="26">
        <v>2.9009999999999998</v>
      </c>
      <c r="J810" s="28">
        <v>6</v>
      </c>
      <c r="K810" s="27">
        <v>9.3168000000000001E-2</v>
      </c>
      <c r="L810" s="29">
        <f t="shared" si="48"/>
        <v>1.0307332272360499</v>
      </c>
      <c r="M810" s="29">
        <f t="shared" si="49"/>
        <v>0.28200000000000008</v>
      </c>
      <c r="N810" s="30">
        <f t="shared" si="50"/>
        <v>1.5640601252041404</v>
      </c>
      <c r="O810" s="31">
        <f t="shared" si="51"/>
        <v>1.2158792831830971</v>
      </c>
    </row>
    <row r="811" spans="1:15" x14ac:dyDescent="0.25">
      <c r="A811" t="s">
        <v>6548</v>
      </c>
      <c r="B811" t="s">
        <v>1623</v>
      </c>
      <c r="C811" s="3" t="s">
        <v>1624</v>
      </c>
      <c r="D811" s="24">
        <v>2.7366999999999999E-2</v>
      </c>
      <c r="E811" s="25">
        <v>9.2840000000000007</v>
      </c>
      <c r="F811" s="25">
        <v>9.5549999999999997</v>
      </c>
      <c r="G811" s="26">
        <v>-0.27139999999999997</v>
      </c>
      <c r="H811" s="27">
        <v>9.3609999999999999E-2</v>
      </c>
      <c r="I811" s="26">
        <v>2.899</v>
      </c>
      <c r="J811" s="28">
        <v>6</v>
      </c>
      <c r="K811" s="27">
        <v>9.3327999999999994E-2</v>
      </c>
      <c r="L811" s="29">
        <f t="shared" si="48"/>
        <v>1.0299880409140598</v>
      </c>
      <c r="M811" s="29">
        <f t="shared" si="49"/>
        <v>-0.27099999999999796</v>
      </c>
      <c r="N811" s="30">
        <f t="shared" si="50"/>
        <v>1.5627728078092713</v>
      </c>
      <c r="O811" s="31">
        <f t="shared" si="51"/>
        <v>0.82874490448799332</v>
      </c>
    </row>
    <row r="812" spans="1:15" x14ac:dyDescent="0.25">
      <c r="A812" t="s">
        <v>6549</v>
      </c>
      <c r="B812" t="s">
        <v>1625</v>
      </c>
      <c r="C812" s="3" t="s">
        <v>1626</v>
      </c>
      <c r="D812" s="24">
        <v>2.7483E-2</v>
      </c>
      <c r="E812" s="25">
        <v>7.7240000000000002</v>
      </c>
      <c r="F812" s="25">
        <v>7.5259999999999998</v>
      </c>
      <c r="G812" s="26">
        <v>0.1986</v>
      </c>
      <c r="H812" s="27">
        <v>6.8580000000000002E-2</v>
      </c>
      <c r="I812" s="26">
        <v>2.8959999999999999</v>
      </c>
      <c r="J812" s="28">
        <v>6</v>
      </c>
      <c r="K812" s="27">
        <v>9.3609999999999999E-2</v>
      </c>
      <c r="L812" s="29">
        <f t="shared" si="48"/>
        <v>1.028677754757187</v>
      </c>
      <c r="M812" s="29">
        <f t="shared" si="49"/>
        <v>0.1980000000000004</v>
      </c>
      <c r="N812" s="30">
        <f t="shared" si="50"/>
        <v>1.5609358621389502</v>
      </c>
      <c r="O812" s="31">
        <f t="shared" si="51"/>
        <v>1.1471070242261656</v>
      </c>
    </row>
    <row r="813" spans="1:15" x14ac:dyDescent="0.25">
      <c r="A813" t="s">
        <v>6550</v>
      </c>
      <c r="B813" t="s">
        <v>1627</v>
      </c>
      <c r="C813" s="3" t="s">
        <v>1628</v>
      </c>
      <c r="D813" s="24">
        <v>2.7535E-2</v>
      </c>
      <c r="E813" s="25">
        <v>10.02</v>
      </c>
      <c r="F813" s="25">
        <v>9.4019999999999992</v>
      </c>
      <c r="G813" s="26">
        <v>0.61419999999999997</v>
      </c>
      <c r="H813" s="27">
        <v>0.2122</v>
      </c>
      <c r="I813" s="26">
        <v>2.8940000000000001</v>
      </c>
      <c r="J813" s="28">
        <v>6</v>
      </c>
      <c r="K813" s="27">
        <v>9.3671000000000004E-2</v>
      </c>
      <c r="L813" s="29">
        <f t="shared" si="48"/>
        <v>1.0283948433637948</v>
      </c>
      <c r="M813" s="29">
        <f t="shared" si="49"/>
        <v>0.61799999999999999</v>
      </c>
      <c r="N813" s="30">
        <f t="shared" si="50"/>
        <v>1.5601149191826984</v>
      </c>
      <c r="O813" s="31">
        <f t="shared" si="51"/>
        <v>1.5347460960008867</v>
      </c>
    </row>
    <row r="814" spans="1:15" x14ac:dyDescent="0.25">
      <c r="A814" t="s">
        <v>6551</v>
      </c>
      <c r="B814" t="s">
        <v>1629</v>
      </c>
      <c r="C814" s="3" t="s">
        <v>1630</v>
      </c>
      <c r="D814" s="24">
        <v>2.7744999999999999E-2</v>
      </c>
      <c r="E814" s="25">
        <v>11.71</v>
      </c>
      <c r="F814" s="25">
        <v>11.58</v>
      </c>
      <c r="G814" s="26">
        <v>0.12609999999999999</v>
      </c>
      <c r="H814" s="27">
        <v>4.3650000000000001E-2</v>
      </c>
      <c r="I814" s="26">
        <v>2.8889999999999998</v>
      </c>
      <c r="J814" s="28">
        <v>6</v>
      </c>
      <c r="K814" s="27">
        <v>9.4269000000000006E-2</v>
      </c>
      <c r="L814" s="29">
        <f t="shared" si="48"/>
        <v>1.0256310998644276</v>
      </c>
      <c r="M814" s="29">
        <f t="shared" si="49"/>
        <v>0.1299999999999987</v>
      </c>
      <c r="N814" s="30">
        <f t="shared" si="50"/>
        <v>1.5568152708498151</v>
      </c>
      <c r="O814" s="31">
        <f t="shared" si="51"/>
        <v>1.0942937012607385</v>
      </c>
    </row>
    <row r="815" spans="1:15" x14ac:dyDescent="0.25">
      <c r="A815" t="s">
        <v>6552</v>
      </c>
      <c r="B815" t="s">
        <v>1631</v>
      </c>
      <c r="C815" s="3" t="s">
        <v>1632</v>
      </c>
      <c r="D815" s="24">
        <v>2.7888E-2</v>
      </c>
      <c r="E815" s="25">
        <v>7.3109999999999999</v>
      </c>
      <c r="F815" s="25">
        <v>6.9969999999999999</v>
      </c>
      <c r="G815" s="26">
        <v>0.31459999999999999</v>
      </c>
      <c r="H815" s="27">
        <v>0.1091</v>
      </c>
      <c r="I815" s="26">
        <v>2.8849999999999998</v>
      </c>
      <c r="J815" s="28">
        <v>6</v>
      </c>
      <c r="K815" s="27">
        <v>9.4639000000000001E-2</v>
      </c>
      <c r="L815" s="29">
        <f t="shared" si="48"/>
        <v>1.0239298573147877</v>
      </c>
      <c r="M815" s="29">
        <f t="shared" si="49"/>
        <v>0.3139999999999995</v>
      </c>
      <c r="N815" s="30">
        <f t="shared" si="50"/>
        <v>1.5545826302340819</v>
      </c>
      <c r="O815" s="31">
        <f t="shared" si="51"/>
        <v>1.2431496689039392</v>
      </c>
    </row>
    <row r="816" spans="1:15" x14ac:dyDescent="0.25">
      <c r="A816" t="s">
        <v>6553</v>
      </c>
      <c r="B816" t="s">
        <v>1633</v>
      </c>
      <c r="C816" s="3" t="s">
        <v>1634</v>
      </c>
      <c r="D816" s="24">
        <v>2.8135E-2</v>
      </c>
      <c r="E816" s="25">
        <v>12.28</v>
      </c>
      <c r="F816" s="25">
        <v>12.49</v>
      </c>
      <c r="G816" s="26">
        <v>-0.21579999999999999</v>
      </c>
      <c r="H816" s="27">
        <v>7.4969999999999995E-2</v>
      </c>
      <c r="I816" s="26">
        <v>2.8780000000000001</v>
      </c>
      <c r="J816" s="28">
        <v>6</v>
      </c>
      <c r="K816" s="27">
        <v>9.5362000000000002E-2</v>
      </c>
      <c r="L816" s="29">
        <f t="shared" si="48"/>
        <v>1.0206246491741469</v>
      </c>
      <c r="M816" s="29">
        <f t="shared" si="49"/>
        <v>-0.2099999999999991</v>
      </c>
      <c r="N816" s="30">
        <f t="shared" si="50"/>
        <v>1.5507530805099883</v>
      </c>
      <c r="O816" s="31">
        <f t="shared" si="51"/>
        <v>0.86453723130786575</v>
      </c>
    </row>
    <row r="817" spans="1:15" x14ac:dyDescent="0.25">
      <c r="A817" t="s">
        <v>6554</v>
      </c>
      <c r="B817" t="s">
        <v>1635</v>
      </c>
      <c r="C817" s="3" t="s">
        <v>1636</v>
      </c>
      <c r="D817" s="24">
        <v>2.8244999999999999E-2</v>
      </c>
      <c r="E817" s="25">
        <v>11.56</v>
      </c>
      <c r="F817" s="25">
        <v>11.14</v>
      </c>
      <c r="G817" s="26">
        <v>0.41930000000000001</v>
      </c>
      <c r="H817" s="27">
        <v>0.14580000000000001</v>
      </c>
      <c r="I817" s="26">
        <v>2.875</v>
      </c>
      <c r="J817" s="28">
        <v>6</v>
      </c>
      <c r="K817" s="27">
        <v>9.5616000000000007E-2</v>
      </c>
      <c r="L817" s="29">
        <f t="shared" si="48"/>
        <v>1.0194694285367327</v>
      </c>
      <c r="M817" s="29">
        <f t="shared" si="49"/>
        <v>0.41999999999999948</v>
      </c>
      <c r="N817" s="30">
        <f t="shared" si="50"/>
        <v>1.5490584209276537</v>
      </c>
      <c r="O817" s="31">
        <f t="shared" si="51"/>
        <v>1.3379275547861116</v>
      </c>
    </row>
    <row r="818" spans="1:15" x14ac:dyDescent="0.25">
      <c r="A818" t="s">
        <v>6555</v>
      </c>
      <c r="B818" t="s">
        <v>1637</v>
      </c>
      <c r="C818" s="3" t="s">
        <v>1638</v>
      </c>
      <c r="D818" s="24">
        <v>2.8392000000000001E-2</v>
      </c>
      <c r="E818" s="25">
        <v>11.34</v>
      </c>
      <c r="F818" s="25">
        <v>11.5</v>
      </c>
      <c r="G818" s="26">
        <v>-0.1668</v>
      </c>
      <c r="H818" s="27">
        <v>5.8119999999999998E-2</v>
      </c>
      <c r="I818" s="26">
        <v>2.871</v>
      </c>
      <c r="J818" s="28">
        <v>6</v>
      </c>
      <c r="K818" s="27">
        <v>9.5995999999999998E-2</v>
      </c>
      <c r="L818" s="29">
        <f t="shared" si="48"/>
        <v>1.0177468629408464</v>
      </c>
      <c r="M818" s="29">
        <f t="shared" si="49"/>
        <v>-0.16000000000000086</v>
      </c>
      <c r="N818" s="30">
        <f t="shared" si="50"/>
        <v>1.5468040136604635</v>
      </c>
      <c r="O818" s="31">
        <f t="shared" si="51"/>
        <v>0.8950250709279719</v>
      </c>
    </row>
    <row r="819" spans="1:15" x14ac:dyDescent="0.25">
      <c r="A819" t="s">
        <v>6556</v>
      </c>
      <c r="B819" t="s">
        <v>1639</v>
      </c>
      <c r="C819" s="3" t="s">
        <v>1640</v>
      </c>
      <c r="D819" s="24">
        <v>2.8615999999999999E-2</v>
      </c>
      <c r="E819" s="25">
        <v>10.050000000000001</v>
      </c>
      <c r="F819" s="25">
        <v>9.8759999999999994</v>
      </c>
      <c r="G819" s="26">
        <v>0.17599999999999999</v>
      </c>
      <c r="H819" s="27">
        <v>6.1440000000000002E-2</v>
      </c>
      <c r="I819" s="26">
        <v>2.8650000000000002</v>
      </c>
      <c r="J819" s="28">
        <v>6</v>
      </c>
      <c r="K819" s="27">
        <v>9.6633999999999998E-2</v>
      </c>
      <c r="L819" s="29">
        <f t="shared" si="48"/>
        <v>1.0148700432074809</v>
      </c>
      <c r="M819" s="29">
        <f t="shared" si="49"/>
        <v>0.17400000000000207</v>
      </c>
      <c r="N819" s="30">
        <f t="shared" si="50"/>
        <v>1.5433910728590867</v>
      </c>
      <c r="O819" s="31">
        <f t="shared" si="51"/>
        <v>1.1281821374565131</v>
      </c>
    </row>
    <row r="820" spans="1:15" x14ac:dyDescent="0.25">
      <c r="A820" t="s">
        <v>6557</v>
      </c>
      <c r="B820" t="s">
        <v>1641</v>
      </c>
      <c r="C820" s="3" t="s">
        <v>1642</v>
      </c>
      <c r="D820" s="24">
        <v>2.8804E-2</v>
      </c>
      <c r="E820" s="25">
        <v>13.32</v>
      </c>
      <c r="F820" s="25">
        <v>12.64</v>
      </c>
      <c r="G820" s="26">
        <v>0.68330000000000002</v>
      </c>
      <c r="H820" s="27">
        <v>0.2389</v>
      </c>
      <c r="I820" s="26">
        <v>2.86</v>
      </c>
      <c r="J820" s="28">
        <v>6</v>
      </c>
      <c r="K820" s="27">
        <v>9.715E-2</v>
      </c>
      <c r="L820" s="29">
        <f t="shared" si="48"/>
        <v>1.0125571950641985</v>
      </c>
      <c r="M820" s="29">
        <f t="shared" si="49"/>
        <v>0.67999999999999827</v>
      </c>
      <c r="N820" s="30">
        <f t="shared" si="50"/>
        <v>1.5405471977511362</v>
      </c>
      <c r="O820" s="31">
        <f t="shared" si="51"/>
        <v>1.6021397551792422</v>
      </c>
    </row>
    <row r="821" spans="1:15" x14ac:dyDescent="0.25">
      <c r="A821" t="s">
        <v>6558</v>
      </c>
      <c r="B821" t="s">
        <v>1643</v>
      </c>
      <c r="C821" s="3" t="s">
        <v>1644</v>
      </c>
      <c r="D821" s="24">
        <v>2.8979999999999999E-2</v>
      </c>
      <c r="E821" s="25">
        <v>10.61</v>
      </c>
      <c r="F821" s="25">
        <v>11.05</v>
      </c>
      <c r="G821" s="26">
        <v>-0.438</v>
      </c>
      <c r="H821" s="27">
        <v>0.15340000000000001</v>
      </c>
      <c r="I821" s="26">
        <v>2.855</v>
      </c>
      <c r="J821" s="28">
        <v>6</v>
      </c>
      <c r="K821" s="27">
        <v>9.7625000000000003E-2</v>
      </c>
      <c r="L821" s="29">
        <f t="shared" si="48"/>
        <v>1.0104389531146432</v>
      </c>
      <c r="M821" s="29">
        <f t="shared" si="49"/>
        <v>-0.44000000000000161</v>
      </c>
      <c r="N821" s="30">
        <f t="shared" si="50"/>
        <v>1.5379016188648442</v>
      </c>
      <c r="O821" s="31">
        <f t="shared" si="51"/>
        <v>0.7371346086455498</v>
      </c>
    </row>
    <row r="822" spans="1:15" x14ac:dyDescent="0.25">
      <c r="A822" t="s">
        <v>6559</v>
      </c>
      <c r="B822" t="s">
        <v>1649</v>
      </c>
      <c r="C822" s="3" t="s">
        <v>1650</v>
      </c>
      <c r="D822" s="24">
        <v>2.9086999999999998E-2</v>
      </c>
      <c r="E822" s="25">
        <v>8.7070000000000007</v>
      </c>
      <c r="F822" s="25">
        <v>8.484</v>
      </c>
      <c r="G822" s="26">
        <v>0.22239999999999999</v>
      </c>
      <c r="H822" s="27">
        <v>7.7960000000000002E-2</v>
      </c>
      <c r="I822" s="26">
        <v>2.8519999999999999</v>
      </c>
      <c r="J822" s="28">
        <v>6</v>
      </c>
      <c r="K822" s="27">
        <v>9.7629999999999995E-2</v>
      </c>
      <c r="L822" s="29">
        <f t="shared" si="48"/>
        <v>1.0104167106889947</v>
      </c>
      <c r="M822" s="29">
        <f t="shared" si="49"/>
        <v>0.22300000000000092</v>
      </c>
      <c r="N822" s="30">
        <f t="shared" si="50"/>
        <v>1.5363010690806256</v>
      </c>
      <c r="O822" s="31">
        <f t="shared" si="51"/>
        <v>1.1671581018184682</v>
      </c>
    </row>
    <row r="823" spans="1:15" x14ac:dyDescent="0.25">
      <c r="A823" t="s">
        <v>6560</v>
      </c>
      <c r="B823" t="s">
        <v>1645</v>
      </c>
      <c r="C823" s="3" t="s">
        <v>1646</v>
      </c>
      <c r="D823" s="24">
        <v>2.9054E-2</v>
      </c>
      <c r="E823" s="25">
        <v>8.6460000000000008</v>
      </c>
      <c r="F823" s="25">
        <v>8.26</v>
      </c>
      <c r="G823" s="26">
        <v>0.3866</v>
      </c>
      <c r="H823" s="27">
        <v>0.13550000000000001</v>
      </c>
      <c r="I823" s="26">
        <v>2.8530000000000002</v>
      </c>
      <c r="J823" s="28">
        <v>6</v>
      </c>
      <c r="K823" s="27">
        <v>9.7629999999999995E-2</v>
      </c>
      <c r="L823" s="29">
        <f t="shared" si="48"/>
        <v>1.0104167106889947</v>
      </c>
      <c r="M823" s="29">
        <f t="shared" si="49"/>
        <v>0.38600000000000045</v>
      </c>
      <c r="N823" s="30">
        <f t="shared" si="50"/>
        <v>1.5367940678058563</v>
      </c>
      <c r="O823" s="31">
        <f t="shared" si="51"/>
        <v>1.3067652538931738</v>
      </c>
    </row>
    <row r="824" spans="1:15" x14ac:dyDescent="0.25">
      <c r="A824" t="s">
        <v>6561</v>
      </c>
      <c r="B824" t="s">
        <v>1647</v>
      </c>
      <c r="C824" s="3" t="s">
        <v>1648</v>
      </c>
      <c r="D824" s="24">
        <v>2.9054E-2</v>
      </c>
      <c r="E824" s="25">
        <v>8.6460000000000008</v>
      </c>
      <c r="F824" s="25">
        <v>8.26</v>
      </c>
      <c r="G824" s="26">
        <v>0.3866</v>
      </c>
      <c r="H824" s="27">
        <v>0.13550000000000001</v>
      </c>
      <c r="I824" s="26">
        <v>2.8530000000000002</v>
      </c>
      <c r="J824" s="28">
        <v>6</v>
      </c>
      <c r="K824" s="27">
        <v>9.7629999999999995E-2</v>
      </c>
      <c r="L824" s="29">
        <f t="shared" si="48"/>
        <v>1.0104167106889947</v>
      </c>
      <c r="M824" s="29">
        <f t="shared" si="49"/>
        <v>0.38600000000000045</v>
      </c>
      <c r="N824" s="30">
        <f t="shared" si="50"/>
        <v>1.5367940678058563</v>
      </c>
      <c r="O824" s="31">
        <f t="shared" si="51"/>
        <v>1.3067652538931738</v>
      </c>
    </row>
    <row r="825" spans="1:15" x14ac:dyDescent="0.25">
      <c r="A825" t="s">
        <v>6562</v>
      </c>
      <c r="B825" t="s">
        <v>1665</v>
      </c>
      <c r="C825" s="3" t="s">
        <v>1666</v>
      </c>
      <c r="D825" s="24">
        <v>2.9725000000000001E-2</v>
      </c>
      <c r="E825" s="25">
        <v>8.1440000000000001</v>
      </c>
      <c r="F825" s="25">
        <v>7.6689999999999996</v>
      </c>
      <c r="G825" s="26">
        <v>0.47489999999999999</v>
      </c>
      <c r="H825" s="27">
        <v>0.16739999999999999</v>
      </c>
      <c r="I825" s="26">
        <v>2.8359999999999999</v>
      </c>
      <c r="J825" s="28">
        <v>6</v>
      </c>
      <c r="K825" s="27">
        <v>9.8788000000000001E-2</v>
      </c>
      <c r="L825" s="29">
        <f t="shared" si="48"/>
        <v>1.0052958069336104</v>
      </c>
      <c r="M825" s="29">
        <f t="shared" si="49"/>
        <v>0.47500000000000114</v>
      </c>
      <c r="N825" s="30">
        <f t="shared" si="50"/>
        <v>1.5268781367092705</v>
      </c>
      <c r="O825" s="31">
        <f t="shared" si="51"/>
        <v>1.3899182198423381</v>
      </c>
    </row>
    <row r="826" spans="1:15" x14ac:dyDescent="0.25">
      <c r="A826" t="s">
        <v>6563</v>
      </c>
      <c r="B826" t="s">
        <v>1653</v>
      </c>
      <c r="C826" s="3" t="s">
        <v>1654</v>
      </c>
      <c r="D826" s="24">
        <v>2.9583999999999999E-2</v>
      </c>
      <c r="E826" s="25">
        <v>10.35</v>
      </c>
      <c r="F826" s="25">
        <v>10.56</v>
      </c>
      <c r="G826" s="26">
        <v>-0.2107</v>
      </c>
      <c r="H826" s="27">
        <v>7.4219999999999994E-2</v>
      </c>
      <c r="I826" s="26">
        <v>2.84</v>
      </c>
      <c r="J826" s="28">
        <v>6</v>
      </c>
      <c r="K826" s="27">
        <v>9.8788000000000001E-2</v>
      </c>
      <c r="L826" s="29">
        <f t="shared" si="48"/>
        <v>1.0052958069336104</v>
      </c>
      <c r="M826" s="29">
        <f t="shared" si="49"/>
        <v>-0.21000000000000038</v>
      </c>
      <c r="N826" s="30">
        <f t="shared" si="50"/>
        <v>1.5289431061849021</v>
      </c>
      <c r="O826" s="31">
        <f t="shared" si="51"/>
        <v>0.86453723130786497</v>
      </c>
    </row>
    <row r="827" spans="1:15" x14ac:dyDescent="0.25">
      <c r="A827" t="s">
        <v>6564</v>
      </c>
      <c r="B827" t="s">
        <v>1659</v>
      </c>
      <c r="C827" s="3" t="s">
        <v>1660</v>
      </c>
      <c r="D827" s="24">
        <v>2.9652999999999999E-2</v>
      </c>
      <c r="E827" s="25">
        <v>10.79</v>
      </c>
      <c r="F827" s="25">
        <v>10.48</v>
      </c>
      <c r="G827" s="26">
        <v>0.31130000000000002</v>
      </c>
      <c r="H827" s="27">
        <v>0.10970000000000001</v>
      </c>
      <c r="I827" s="26">
        <v>2.8380000000000001</v>
      </c>
      <c r="J827" s="28">
        <v>6</v>
      </c>
      <c r="K827" s="27">
        <v>9.8788000000000001E-2</v>
      </c>
      <c r="L827" s="29">
        <f t="shared" si="48"/>
        <v>1.0052958069336104</v>
      </c>
      <c r="M827" s="29">
        <f t="shared" si="49"/>
        <v>0.30999999999999778</v>
      </c>
      <c r="N827" s="30">
        <f t="shared" si="50"/>
        <v>1.5279313624165145</v>
      </c>
      <c r="O827" s="31">
        <f t="shared" si="51"/>
        <v>1.2397076999389847</v>
      </c>
    </row>
    <row r="828" spans="1:15" x14ac:dyDescent="0.25">
      <c r="A828" t="s">
        <v>6565</v>
      </c>
      <c r="B828" t="s">
        <v>1655</v>
      </c>
      <c r="C828" s="3" t="s">
        <v>1656</v>
      </c>
      <c r="D828" s="24">
        <v>2.9631000000000001E-2</v>
      </c>
      <c r="E828" s="25">
        <v>9.6300000000000008</v>
      </c>
      <c r="F828" s="25">
        <v>9.1829999999999998</v>
      </c>
      <c r="G828" s="26">
        <v>0.44629999999999997</v>
      </c>
      <c r="H828" s="27">
        <v>0.15720000000000001</v>
      </c>
      <c r="I828" s="26">
        <v>2.8380000000000001</v>
      </c>
      <c r="J828" s="28">
        <v>6</v>
      </c>
      <c r="K828" s="27">
        <v>9.8788000000000001E-2</v>
      </c>
      <c r="L828" s="29">
        <f t="shared" si="48"/>
        <v>1.0052958069336104</v>
      </c>
      <c r="M828" s="29">
        <f t="shared" si="49"/>
        <v>0.44700000000000217</v>
      </c>
      <c r="N828" s="30">
        <f t="shared" si="50"/>
        <v>1.5282536915117328</v>
      </c>
      <c r="O828" s="31">
        <f t="shared" si="51"/>
        <v>1.3632026072825096</v>
      </c>
    </row>
    <row r="829" spans="1:15" x14ac:dyDescent="0.25">
      <c r="A829" t="s">
        <v>6566</v>
      </c>
      <c r="B829" t="s">
        <v>1661</v>
      </c>
      <c r="C829" s="3" t="s">
        <v>1662</v>
      </c>
      <c r="D829" s="24">
        <v>2.9655000000000001E-2</v>
      </c>
      <c r="E829" s="25">
        <v>7.9139999999999997</v>
      </c>
      <c r="F829" s="25">
        <v>7.0170000000000003</v>
      </c>
      <c r="G829" s="26">
        <v>0.8972</v>
      </c>
      <c r="H829" s="27">
        <v>0.31619999999999998</v>
      </c>
      <c r="I829" s="26">
        <v>2.8380000000000001</v>
      </c>
      <c r="J829" s="28">
        <v>6</v>
      </c>
      <c r="K829" s="27">
        <v>9.8788000000000001E-2</v>
      </c>
      <c r="L829" s="29">
        <f t="shared" si="48"/>
        <v>1.0052958069336104</v>
      </c>
      <c r="M829" s="29">
        <f t="shared" si="49"/>
        <v>0.89699999999999891</v>
      </c>
      <c r="N829" s="30">
        <f t="shared" si="50"/>
        <v>1.5279020716306464</v>
      </c>
      <c r="O829" s="31">
        <f t="shared" si="51"/>
        <v>1.8621896396604565</v>
      </c>
    </row>
    <row r="830" spans="1:15" x14ac:dyDescent="0.25">
      <c r="A830" t="s">
        <v>6567</v>
      </c>
      <c r="B830" t="s">
        <v>1657</v>
      </c>
      <c r="C830" s="3" t="s">
        <v>1658</v>
      </c>
      <c r="D830" s="24">
        <v>2.9645999999999999E-2</v>
      </c>
      <c r="E830" s="25">
        <v>9.9339999999999993</v>
      </c>
      <c r="F830" s="25">
        <v>10.08</v>
      </c>
      <c r="G830" s="26">
        <v>-0.1482</v>
      </c>
      <c r="H830" s="27">
        <v>5.2220000000000003E-2</v>
      </c>
      <c r="I830" s="26">
        <v>2.8380000000000001</v>
      </c>
      <c r="J830" s="28">
        <v>6</v>
      </c>
      <c r="K830" s="27">
        <v>9.8788000000000001E-2</v>
      </c>
      <c r="L830" s="29">
        <f t="shared" si="48"/>
        <v>1.0052958069336104</v>
      </c>
      <c r="M830" s="29">
        <f t="shared" si="49"/>
        <v>-0.1460000000000003</v>
      </c>
      <c r="N830" s="30">
        <f t="shared" si="50"/>
        <v>1.5280338957269395</v>
      </c>
      <c r="O830" s="31">
        <f t="shared" si="51"/>
        <v>0.90375272675108564</v>
      </c>
    </row>
    <row r="831" spans="1:15" x14ac:dyDescent="0.25">
      <c r="A831" t="s">
        <v>6568</v>
      </c>
      <c r="B831" t="s">
        <v>1651</v>
      </c>
      <c r="C831" s="3" t="s">
        <v>1652</v>
      </c>
      <c r="D831" s="24">
        <v>2.9564E-2</v>
      </c>
      <c r="E831" s="25">
        <v>7.9320000000000004</v>
      </c>
      <c r="F831" s="25">
        <v>7.5519999999999996</v>
      </c>
      <c r="G831" s="26">
        <v>0.37969999999999998</v>
      </c>
      <c r="H831" s="27">
        <v>0.13370000000000001</v>
      </c>
      <c r="I831" s="26">
        <v>2.84</v>
      </c>
      <c r="J831" s="28">
        <v>6</v>
      </c>
      <c r="K831" s="27">
        <v>9.8788000000000001E-2</v>
      </c>
      <c r="L831" s="29">
        <f t="shared" si="48"/>
        <v>1.0052958069336104</v>
      </c>
      <c r="M831" s="29">
        <f t="shared" si="49"/>
        <v>0.38000000000000056</v>
      </c>
      <c r="N831" s="30">
        <f t="shared" si="50"/>
        <v>1.5292368063935007</v>
      </c>
      <c r="O831" s="31">
        <f t="shared" si="51"/>
        <v>1.301341855441934</v>
      </c>
    </row>
    <row r="832" spans="1:15" x14ac:dyDescent="0.25">
      <c r="A832" t="s">
        <v>6569</v>
      </c>
      <c r="B832" t="s">
        <v>1663</v>
      </c>
      <c r="C832" s="3" t="s">
        <v>1664</v>
      </c>
      <c r="D832" s="24">
        <v>2.9685E-2</v>
      </c>
      <c r="E832" s="25">
        <v>12.77</v>
      </c>
      <c r="F832" s="25">
        <v>13.02</v>
      </c>
      <c r="G832" s="26">
        <v>-0.2487</v>
      </c>
      <c r="H832" s="27">
        <v>8.7679999999999994E-2</v>
      </c>
      <c r="I832" s="26">
        <v>2.8370000000000002</v>
      </c>
      <c r="J832" s="28">
        <v>6</v>
      </c>
      <c r="K832" s="27">
        <v>9.8788000000000001E-2</v>
      </c>
      <c r="L832" s="29">
        <f t="shared" si="48"/>
        <v>1.0052958069336104</v>
      </c>
      <c r="M832" s="29">
        <f t="shared" si="49"/>
        <v>-0.25000000000000067</v>
      </c>
      <c r="N832" s="30">
        <f t="shared" si="50"/>
        <v>1.5274629467379224</v>
      </c>
      <c r="O832" s="31">
        <f t="shared" si="51"/>
        <v>0.84089641525371417</v>
      </c>
    </row>
    <row r="833" spans="1:15" x14ac:dyDescent="0.25">
      <c r="A833" t="s">
        <v>6570</v>
      </c>
      <c r="B833" t="s">
        <v>1667</v>
      </c>
      <c r="C833" s="3" t="s">
        <v>1668</v>
      </c>
      <c r="D833" s="24">
        <v>2.9753999999999999E-2</v>
      </c>
      <c r="E833" s="25">
        <v>8.5579999999999998</v>
      </c>
      <c r="F833" s="25">
        <v>8.1820000000000004</v>
      </c>
      <c r="G833" s="26">
        <v>0.3755</v>
      </c>
      <c r="H833" s="27">
        <v>0.13239999999999999</v>
      </c>
      <c r="I833" s="26">
        <v>2.835</v>
      </c>
      <c r="J833" s="28">
        <v>6</v>
      </c>
      <c r="K833" s="27">
        <v>9.8788000000000001E-2</v>
      </c>
      <c r="L833" s="29">
        <f t="shared" si="48"/>
        <v>1.0052958069336104</v>
      </c>
      <c r="M833" s="29">
        <f t="shared" si="49"/>
        <v>0.37600000000000022</v>
      </c>
      <c r="N833" s="30">
        <f t="shared" si="50"/>
        <v>1.5264546413252462</v>
      </c>
      <c r="O833" s="31">
        <f t="shared" si="51"/>
        <v>1.2977387669391836</v>
      </c>
    </row>
    <row r="834" spans="1:15" x14ac:dyDescent="0.25">
      <c r="A834" t="s">
        <v>6571</v>
      </c>
      <c r="B834" t="s">
        <v>1671</v>
      </c>
      <c r="C834" s="3" t="s">
        <v>1672</v>
      </c>
      <c r="D834" s="24">
        <v>2.9842E-2</v>
      </c>
      <c r="E834" s="25">
        <v>12.29</v>
      </c>
      <c r="F834" s="25">
        <v>13</v>
      </c>
      <c r="G834" s="26">
        <v>-0.71409999999999996</v>
      </c>
      <c r="H834" s="27">
        <v>0.25209999999999999</v>
      </c>
      <c r="I834" s="26">
        <v>2.8330000000000002</v>
      </c>
      <c r="J834" s="28">
        <v>6</v>
      </c>
      <c r="K834" s="27">
        <v>9.8839999999999997E-2</v>
      </c>
      <c r="L834" s="29">
        <f t="shared" ref="L834:L897" si="52">-LOG(K834,10)</f>
        <v>1.0050672632699582</v>
      </c>
      <c r="M834" s="29">
        <f t="shared" ref="M834:M897" si="53">LOG(O834,2)</f>
        <v>-0.71000000000000141</v>
      </c>
      <c r="N834" s="30">
        <f t="shared" ref="N834:N897" si="54">-LOG(D834,10)</f>
        <v>1.5251720739655583</v>
      </c>
      <c r="O834" s="31">
        <f t="shared" ref="O834:O897" si="55">((2^E834)/(2^F834))</f>
        <v>0.61132013884603364</v>
      </c>
    </row>
    <row r="835" spans="1:15" x14ac:dyDescent="0.25">
      <c r="A835" t="s">
        <v>6572</v>
      </c>
      <c r="B835" t="s">
        <v>1669</v>
      </c>
      <c r="C835" s="3" t="s">
        <v>1670</v>
      </c>
      <c r="D835" s="24">
        <v>2.9822000000000001E-2</v>
      </c>
      <c r="E835" s="25">
        <v>8.8889999999999993</v>
      </c>
      <c r="F835" s="25">
        <v>8.4339999999999993</v>
      </c>
      <c r="G835" s="26">
        <v>0.45429999999999998</v>
      </c>
      <c r="H835" s="27">
        <v>0.1603</v>
      </c>
      <c r="I835" s="26">
        <v>2.8330000000000002</v>
      </c>
      <c r="J835" s="28">
        <v>6</v>
      </c>
      <c r="K835" s="27">
        <v>9.8839999999999997E-2</v>
      </c>
      <c r="L835" s="29">
        <f t="shared" si="52"/>
        <v>1.0050672632699582</v>
      </c>
      <c r="M835" s="29">
        <f t="shared" si="53"/>
        <v>0.45500000000000013</v>
      </c>
      <c r="N835" s="30">
        <f t="shared" si="54"/>
        <v>1.5254632341279142</v>
      </c>
      <c r="O835" s="31">
        <f t="shared" si="55"/>
        <v>1.3707828049797035</v>
      </c>
    </row>
    <row r="836" spans="1:15" x14ac:dyDescent="0.25">
      <c r="A836" t="s">
        <v>6573</v>
      </c>
      <c r="B836" t="s">
        <v>1673</v>
      </c>
      <c r="C836" s="3" t="s">
        <v>1674</v>
      </c>
      <c r="D836" s="24">
        <v>2.9902000000000001E-2</v>
      </c>
      <c r="E836" s="25">
        <v>10.73</v>
      </c>
      <c r="F836" s="25">
        <v>10.43</v>
      </c>
      <c r="G836" s="26">
        <v>0.3075</v>
      </c>
      <c r="H836" s="27">
        <v>0.1086</v>
      </c>
      <c r="I836" s="26">
        <v>2.831</v>
      </c>
      <c r="J836" s="28">
        <v>6</v>
      </c>
      <c r="K836" s="27">
        <v>9.8919999999999994E-2</v>
      </c>
      <c r="L836" s="29">
        <f t="shared" si="52"/>
        <v>1.0047158923107402</v>
      </c>
      <c r="M836" s="29">
        <f t="shared" si="53"/>
        <v>0.30000000000000004</v>
      </c>
      <c r="N836" s="30">
        <f t="shared" si="54"/>
        <v>1.5242997628489714</v>
      </c>
      <c r="O836" s="31">
        <f t="shared" si="55"/>
        <v>1.2311444133449163</v>
      </c>
    </row>
    <row r="837" spans="1:15" x14ac:dyDescent="0.25">
      <c r="A837" t="s">
        <v>6574</v>
      </c>
      <c r="B837" t="s">
        <v>1675</v>
      </c>
      <c r="C837" s="3" t="s">
        <v>1676</v>
      </c>
      <c r="D837" s="24">
        <v>2.9982000000000002E-2</v>
      </c>
      <c r="E837" s="25">
        <v>11.04</v>
      </c>
      <c r="F837" s="25">
        <v>11.46</v>
      </c>
      <c r="G837" s="26">
        <v>-0.42309999999999998</v>
      </c>
      <c r="H837" s="27">
        <v>0.14949999999999999</v>
      </c>
      <c r="I837" s="26">
        <v>2.8290000000000002</v>
      </c>
      <c r="J837" s="28">
        <v>6</v>
      </c>
      <c r="K837" s="27">
        <v>9.9068000000000003E-2</v>
      </c>
      <c r="L837" s="29">
        <f t="shared" si="52"/>
        <v>1.0040666045226541</v>
      </c>
      <c r="M837" s="29">
        <f t="shared" si="53"/>
        <v>-0.42000000000000076</v>
      </c>
      <c r="N837" s="30">
        <f t="shared" si="54"/>
        <v>1.5231394001737695</v>
      </c>
      <c r="O837" s="31">
        <f t="shared" si="55"/>
        <v>0.74742462431746881</v>
      </c>
    </row>
    <row r="838" spans="1:15" x14ac:dyDescent="0.25">
      <c r="A838" t="s">
        <v>6575</v>
      </c>
      <c r="B838" t="s">
        <v>1677</v>
      </c>
      <c r="C838" s="3" t="s">
        <v>1678</v>
      </c>
      <c r="D838" s="24">
        <v>3.0044999999999999E-2</v>
      </c>
      <c r="E838" s="25">
        <v>9.1199999999999992</v>
      </c>
      <c r="F838" s="25">
        <v>9.4559999999999995</v>
      </c>
      <c r="G838" s="26">
        <v>-0.33560000000000001</v>
      </c>
      <c r="H838" s="27">
        <v>0.1187</v>
      </c>
      <c r="I838" s="26">
        <v>2.8279999999999998</v>
      </c>
      <c r="J838" s="28">
        <v>6</v>
      </c>
      <c r="K838" s="27">
        <v>9.9155999999999994E-2</v>
      </c>
      <c r="L838" s="29">
        <f t="shared" si="52"/>
        <v>1.003681001195931</v>
      </c>
      <c r="M838" s="29">
        <f t="shared" si="53"/>
        <v>-0.33599999999999997</v>
      </c>
      <c r="N838" s="30">
        <f t="shared" si="54"/>
        <v>1.5222277916507423</v>
      </c>
      <c r="O838" s="31">
        <f t="shared" si="55"/>
        <v>0.79223481092496917</v>
      </c>
    </row>
    <row r="839" spans="1:15" x14ac:dyDescent="0.25">
      <c r="A839" t="s">
        <v>6576</v>
      </c>
      <c r="B839" t="s">
        <v>1681</v>
      </c>
      <c r="C839" s="3" t="s">
        <v>1682</v>
      </c>
      <c r="D839" s="24">
        <v>3.0188E-2</v>
      </c>
      <c r="E839" s="25">
        <v>12.1</v>
      </c>
      <c r="F839" s="25">
        <v>11.55</v>
      </c>
      <c r="G839" s="26">
        <v>0.54859999999999998</v>
      </c>
      <c r="H839" s="27">
        <v>0.19420000000000001</v>
      </c>
      <c r="I839" s="26">
        <v>2.8239999999999998</v>
      </c>
      <c r="J839" s="28">
        <v>6</v>
      </c>
      <c r="K839" s="27">
        <v>9.9283999999999997E-2</v>
      </c>
      <c r="L839" s="29">
        <f t="shared" si="52"/>
        <v>1.0031207340986394</v>
      </c>
      <c r="M839" s="29">
        <f t="shared" si="53"/>
        <v>0.54999999999999938</v>
      </c>
      <c r="N839" s="30">
        <f t="shared" si="54"/>
        <v>1.5201656586806394</v>
      </c>
      <c r="O839" s="31">
        <f t="shared" si="55"/>
        <v>1.4640856959456248</v>
      </c>
    </row>
    <row r="840" spans="1:15" x14ac:dyDescent="0.25">
      <c r="A840" t="s">
        <v>6577</v>
      </c>
      <c r="B840" t="s">
        <v>1683</v>
      </c>
      <c r="C840" s="3" t="s">
        <v>1684</v>
      </c>
      <c r="D840" s="24">
        <v>3.0190999999999999E-2</v>
      </c>
      <c r="E840" s="25">
        <v>9.9420000000000002</v>
      </c>
      <c r="F840" s="25">
        <v>10.14</v>
      </c>
      <c r="G840" s="26">
        <v>-0.19989999999999999</v>
      </c>
      <c r="H840" s="27">
        <v>7.077E-2</v>
      </c>
      <c r="I840" s="26">
        <v>2.8239999999999998</v>
      </c>
      <c r="J840" s="28">
        <v>6</v>
      </c>
      <c r="K840" s="27">
        <v>9.9283999999999997E-2</v>
      </c>
      <c r="L840" s="29">
        <f t="shared" si="52"/>
        <v>1.0031207340986394</v>
      </c>
      <c r="M840" s="29">
        <f t="shared" si="53"/>
        <v>-0.19800000000000051</v>
      </c>
      <c r="N840" s="30">
        <f t="shared" si="54"/>
        <v>1.5201225018397915</v>
      </c>
      <c r="O840" s="31">
        <f t="shared" si="55"/>
        <v>0.87175823953706189</v>
      </c>
    </row>
    <row r="841" spans="1:15" x14ac:dyDescent="0.25">
      <c r="A841" t="s">
        <v>6578</v>
      </c>
      <c r="B841" t="s">
        <v>1679</v>
      </c>
      <c r="C841" s="3" t="s">
        <v>1680</v>
      </c>
      <c r="D841" s="24">
        <v>3.0124999999999999E-2</v>
      </c>
      <c r="E841" s="25">
        <v>11.17</v>
      </c>
      <c r="F841" s="25">
        <v>10.86</v>
      </c>
      <c r="G841" s="26">
        <v>0.31230000000000002</v>
      </c>
      <c r="H841" s="27">
        <v>0.1105</v>
      </c>
      <c r="I841" s="26">
        <v>2.8260000000000001</v>
      </c>
      <c r="J841" s="28">
        <v>6</v>
      </c>
      <c r="K841" s="27">
        <v>9.9283999999999997E-2</v>
      </c>
      <c r="L841" s="29">
        <f t="shared" si="52"/>
        <v>1.0031207340986394</v>
      </c>
      <c r="M841" s="29">
        <f t="shared" si="53"/>
        <v>0.31000000000000039</v>
      </c>
      <c r="N841" s="30">
        <f t="shared" si="54"/>
        <v>1.5210729444170752</v>
      </c>
      <c r="O841" s="31">
        <f t="shared" si="55"/>
        <v>1.2397076999389869</v>
      </c>
    </row>
    <row r="842" spans="1:15" x14ac:dyDescent="0.25">
      <c r="A842" t="s">
        <v>6579</v>
      </c>
      <c r="B842" t="s">
        <v>1685</v>
      </c>
      <c r="C842" s="3" t="s">
        <v>1686</v>
      </c>
      <c r="D842" s="24">
        <v>3.0293E-2</v>
      </c>
      <c r="E842" s="25">
        <v>7.32</v>
      </c>
      <c r="F842" s="25">
        <v>6.952</v>
      </c>
      <c r="G842" s="26">
        <v>0.36799999999999999</v>
      </c>
      <c r="H842" s="27">
        <v>0.13039999999999999</v>
      </c>
      <c r="I842" s="26">
        <v>2.8220000000000001</v>
      </c>
      <c r="J842" s="28">
        <v>6</v>
      </c>
      <c r="K842" s="27">
        <v>9.9500000000000005E-2</v>
      </c>
      <c r="L842" s="29">
        <f t="shared" si="52"/>
        <v>1.0021769192542744</v>
      </c>
      <c r="M842" s="29">
        <f t="shared" si="53"/>
        <v>0.36800000000000055</v>
      </c>
      <c r="N842" s="30">
        <f t="shared" si="54"/>
        <v>1.5186577151475174</v>
      </c>
      <c r="O842" s="31">
        <f t="shared" si="55"/>
        <v>1.2905624904517794</v>
      </c>
    </row>
    <row r="843" spans="1:15" x14ac:dyDescent="0.25">
      <c r="A843" t="s">
        <v>6580</v>
      </c>
      <c r="B843" t="s">
        <v>1687</v>
      </c>
      <c r="C843" s="3" t="s">
        <v>1688</v>
      </c>
      <c r="D843" s="24">
        <v>3.0332999999999999E-2</v>
      </c>
      <c r="E843" s="25">
        <v>8.6929999999999996</v>
      </c>
      <c r="F843" s="25">
        <v>8.9469999999999992</v>
      </c>
      <c r="G843" s="26">
        <v>-0.25409999999999999</v>
      </c>
      <c r="H843" s="27">
        <v>9.0090000000000003E-2</v>
      </c>
      <c r="I843" s="26">
        <v>2.8210000000000002</v>
      </c>
      <c r="J843" s="28">
        <v>6</v>
      </c>
      <c r="K843" s="27">
        <v>9.9513000000000004E-2</v>
      </c>
      <c r="L843" s="29">
        <f t="shared" si="52"/>
        <v>1.0021201809681044</v>
      </c>
      <c r="M843" s="29">
        <f t="shared" si="53"/>
        <v>-0.25399999999999984</v>
      </c>
      <c r="N843" s="30">
        <f t="shared" si="54"/>
        <v>1.5180846348916255</v>
      </c>
      <c r="O843" s="31">
        <f t="shared" si="55"/>
        <v>0.83856818444093129</v>
      </c>
    </row>
    <row r="844" spans="1:15" x14ac:dyDescent="0.25">
      <c r="A844" t="s">
        <v>6581</v>
      </c>
      <c r="B844" t="s">
        <v>1691</v>
      </c>
      <c r="C844" s="3" t="s">
        <v>1692</v>
      </c>
      <c r="D844" s="24">
        <v>3.0571000000000001E-2</v>
      </c>
      <c r="E844" s="25">
        <v>8.016</v>
      </c>
      <c r="F844" s="25">
        <v>8.7140000000000004</v>
      </c>
      <c r="G844" s="26">
        <v>-0.69830000000000003</v>
      </c>
      <c r="H844" s="27">
        <v>0.24809999999999999</v>
      </c>
      <c r="I844" s="26">
        <v>2.8149999999999999</v>
      </c>
      <c r="J844" s="28">
        <v>6</v>
      </c>
      <c r="K844" s="27">
        <v>0.10005699999999999</v>
      </c>
      <c r="L844" s="29">
        <f t="shared" si="52"/>
        <v>0.99975252266965564</v>
      </c>
      <c r="M844" s="29">
        <f t="shared" si="53"/>
        <v>-0.69800000000000084</v>
      </c>
      <c r="N844" s="30">
        <f t="shared" si="54"/>
        <v>1.5146903549481412</v>
      </c>
      <c r="O844" s="31">
        <f t="shared" si="55"/>
        <v>0.61642616273190298</v>
      </c>
    </row>
    <row r="845" spans="1:15" x14ac:dyDescent="0.25">
      <c r="A845" t="s">
        <v>6582</v>
      </c>
      <c r="B845" t="s">
        <v>1689</v>
      </c>
      <c r="C845" s="3" t="s">
        <v>1690</v>
      </c>
      <c r="D845" s="24">
        <v>3.056E-2</v>
      </c>
      <c r="E845" s="25">
        <v>10.38</v>
      </c>
      <c r="F845" s="25">
        <v>10.19</v>
      </c>
      <c r="G845" s="26">
        <v>0.18260000000000001</v>
      </c>
      <c r="H845" s="27">
        <v>6.4869999999999997E-2</v>
      </c>
      <c r="I845" s="26">
        <v>2.8149999999999999</v>
      </c>
      <c r="J845" s="28">
        <v>6</v>
      </c>
      <c r="K845" s="27">
        <v>0.10005699999999999</v>
      </c>
      <c r="L845" s="29">
        <f t="shared" si="52"/>
        <v>0.99975252266965564</v>
      </c>
      <c r="M845" s="29">
        <f t="shared" si="53"/>
        <v>0.19000000000000083</v>
      </c>
      <c r="N845" s="30">
        <f t="shared" si="54"/>
        <v>1.5148466500963476</v>
      </c>
      <c r="O845" s="31">
        <f t="shared" si="55"/>
        <v>1.1407637158684243</v>
      </c>
    </row>
    <row r="846" spans="1:15" x14ac:dyDescent="0.25">
      <c r="A846" t="s">
        <v>6583</v>
      </c>
      <c r="B846" t="s">
        <v>1693</v>
      </c>
      <c r="C846" s="3" t="s">
        <v>1694</v>
      </c>
      <c r="D846" s="24">
        <v>3.0692000000000001E-2</v>
      </c>
      <c r="E846" s="25">
        <v>8.64</v>
      </c>
      <c r="F846" s="25">
        <v>8.2629999999999999</v>
      </c>
      <c r="G846" s="26">
        <v>0.37740000000000001</v>
      </c>
      <c r="H846" s="27">
        <v>0.13420000000000001</v>
      </c>
      <c r="I846" s="26">
        <v>2.8119999999999998</v>
      </c>
      <c r="J846" s="28">
        <v>6</v>
      </c>
      <c r="K846" s="27">
        <v>0.10033300000000001</v>
      </c>
      <c r="L846" s="29">
        <f t="shared" si="52"/>
        <v>0.99855620196702599</v>
      </c>
      <c r="M846" s="29">
        <f t="shared" si="53"/>
        <v>0.37700000000000067</v>
      </c>
      <c r="N846" s="30">
        <f t="shared" si="54"/>
        <v>1.5129748104713048</v>
      </c>
      <c r="O846" s="31">
        <f t="shared" si="55"/>
        <v>1.2986386027298844</v>
      </c>
    </row>
    <row r="847" spans="1:15" x14ac:dyDescent="0.25">
      <c r="A847" t="s">
        <v>6584</v>
      </c>
      <c r="B847" t="s">
        <v>1695</v>
      </c>
      <c r="C847" s="3" t="s">
        <v>1696</v>
      </c>
      <c r="D847" s="24">
        <v>3.0786999999999998E-2</v>
      </c>
      <c r="E847" s="25">
        <v>9.7859999999999996</v>
      </c>
      <c r="F847" s="25">
        <v>9.0109999999999992</v>
      </c>
      <c r="G847" s="26">
        <v>0.77490000000000003</v>
      </c>
      <c r="H847" s="27">
        <v>0.27579999999999999</v>
      </c>
      <c r="I847" s="26">
        <v>2.8090000000000002</v>
      </c>
      <c r="J847" s="28">
        <v>6</v>
      </c>
      <c r="K847" s="27">
        <v>0.100525</v>
      </c>
      <c r="L847" s="29">
        <f t="shared" si="52"/>
        <v>0.99772591822505108</v>
      </c>
      <c r="M847" s="29">
        <f t="shared" si="53"/>
        <v>0.77499999999999991</v>
      </c>
      <c r="N847" s="30">
        <f t="shared" si="54"/>
        <v>1.5116326283076675</v>
      </c>
      <c r="O847" s="31">
        <f t="shared" si="55"/>
        <v>1.7111900513652043</v>
      </c>
    </row>
    <row r="848" spans="1:15" x14ac:dyDescent="0.25">
      <c r="A848" t="s">
        <v>6585</v>
      </c>
      <c r="B848" t="s">
        <v>1697</v>
      </c>
      <c r="C848" s="3" t="s">
        <v>1698</v>
      </c>
      <c r="D848" s="24">
        <v>3.0862000000000001E-2</v>
      </c>
      <c r="E848" s="25">
        <v>14.32</v>
      </c>
      <c r="F848" s="25">
        <v>14.95</v>
      </c>
      <c r="G848" s="26">
        <v>-0.63890000000000002</v>
      </c>
      <c r="H848" s="27">
        <v>0.2276</v>
      </c>
      <c r="I848" s="26">
        <v>2.8069999999999999</v>
      </c>
      <c r="J848" s="28">
        <v>6</v>
      </c>
      <c r="K848" s="27">
        <v>0.100651</v>
      </c>
      <c r="L848" s="29">
        <f t="shared" si="52"/>
        <v>0.99718190589877942</v>
      </c>
      <c r="M848" s="29">
        <f t="shared" si="53"/>
        <v>-0.63000000000000023</v>
      </c>
      <c r="N848" s="30">
        <f t="shared" si="54"/>
        <v>1.5105759330745907</v>
      </c>
      <c r="O848" s="31">
        <f t="shared" si="55"/>
        <v>0.64617641531874603</v>
      </c>
    </row>
    <row r="849" spans="1:15" x14ac:dyDescent="0.25">
      <c r="A849" t="s">
        <v>6586</v>
      </c>
      <c r="B849" t="s">
        <v>1699</v>
      </c>
      <c r="C849" s="3" t="s">
        <v>1700</v>
      </c>
      <c r="D849" s="24">
        <v>3.0959E-2</v>
      </c>
      <c r="E849" s="25">
        <v>8.9480000000000004</v>
      </c>
      <c r="F849" s="25">
        <v>9.3889999999999993</v>
      </c>
      <c r="G849" s="26">
        <v>-0.44059999999999999</v>
      </c>
      <c r="H849" s="27">
        <v>0.15709999999999999</v>
      </c>
      <c r="I849" s="26">
        <v>2.8050000000000002</v>
      </c>
      <c r="J849" s="28">
        <v>6</v>
      </c>
      <c r="K849" s="27">
        <v>0.10085</v>
      </c>
      <c r="L849" s="29">
        <f t="shared" si="52"/>
        <v>0.99632409745121564</v>
      </c>
      <c r="M849" s="29">
        <f t="shared" si="53"/>
        <v>-0.44099999999999945</v>
      </c>
      <c r="N849" s="30">
        <f t="shared" si="54"/>
        <v>1.5092130758152384</v>
      </c>
      <c r="O849" s="31">
        <f t="shared" si="55"/>
        <v>0.73662384290824034</v>
      </c>
    </row>
    <row r="850" spans="1:15" x14ac:dyDescent="0.25">
      <c r="A850" t="s">
        <v>6587</v>
      </c>
      <c r="B850" t="s">
        <v>1701</v>
      </c>
      <c r="C850" s="3" t="s">
        <v>1702</v>
      </c>
      <c r="D850" s="24">
        <v>3.1184E-2</v>
      </c>
      <c r="E850" s="25">
        <v>10.61</v>
      </c>
      <c r="F850" s="25">
        <v>10.39</v>
      </c>
      <c r="G850" s="26">
        <v>0.21529999999999999</v>
      </c>
      <c r="H850" s="27">
        <v>7.6910000000000006E-2</v>
      </c>
      <c r="I850" s="26">
        <v>2.8</v>
      </c>
      <c r="J850" s="28">
        <v>6</v>
      </c>
      <c r="K850" s="27">
        <v>0.101379</v>
      </c>
      <c r="L850" s="29">
        <f t="shared" si="52"/>
        <v>0.99405199696173741</v>
      </c>
      <c r="M850" s="29">
        <f t="shared" si="53"/>
        <v>0.21999999999999945</v>
      </c>
      <c r="N850" s="30">
        <f t="shared" si="54"/>
        <v>1.5060681782264538</v>
      </c>
      <c r="O850" s="31">
        <f t="shared" si="55"/>
        <v>1.1647335864684554</v>
      </c>
    </row>
    <row r="851" spans="1:15" x14ac:dyDescent="0.25">
      <c r="A851" t="s">
        <v>6588</v>
      </c>
      <c r="B851" t="s">
        <v>1703</v>
      </c>
      <c r="C851" s="3" t="s">
        <v>1704</v>
      </c>
      <c r="D851" s="24">
        <v>3.1195000000000001E-2</v>
      </c>
      <c r="E851" s="25">
        <v>8.7959999999999994</v>
      </c>
      <c r="F851" s="25">
        <v>8.0489999999999995</v>
      </c>
      <c r="G851" s="26">
        <v>0.74750000000000005</v>
      </c>
      <c r="H851" s="27">
        <v>0.26700000000000002</v>
      </c>
      <c r="I851" s="26">
        <v>2.7989999999999999</v>
      </c>
      <c r="J851" s="28">
        <v>6</v>
      </c>
      <c r="K851" s="27">
        <v>0.101379</v>
      </c>
      <c r="L851" s="29">
        <f t="shared" si="52"/>
        <v>0.99405199696173741</v>
      </c>
      <c r="M851" s="29">
        <f t="shared" si="53"/>
        <v>0.74700000000000077</v>
      </c>
      <c r="N851" s="30">
        <f t="shared" si="54"/>
        <v>1.5059150100336176</v>
      </c>
      <c r="O851" s="31">
        <f t="shared" si="55"/>
        <v>1.678299274213084</v>
      </c>
    </row>
    <row r="852" spans="1:15" x14ac:dyDescent="0.25">
      <c r="A852" t="s">
        <v>6589</v>
      </c>
      <c r="B852" t="s">
        <v>1705</v>
      </c>
      <c r="C852" s="3" t="s">
        <v>1706</v>
      </c>
      <c r="D852" s="24">
        <v>3.1288999999999997E-2</v>
      </c>
      <c r="E852" s="25">
        <v>11.29</v>
      </c>
      <c r="F852" s="25">
        <v>11.74</v>
      </c>
      <c r="G852" s="26">
        <v>-0.45779999999999998</v>
      </c>
      <c r="H852" s="27">
        <v>0.16370000000000001</v>
      </c>
      <c r="I852" s="26">
        <v>2.7970000000000002</v>
      </c>
      <c r="J852" s="28">
        <v>6</v>
      </c>
      <c r="K852" s="27">
        <v>0.101564</v>
      </c>
      <c r="L852" s="29">
        <f t="shared" si="52"/>
        <v>0.99326020319297226</v>
      </c>
      <c r="M852" s="29">
        <f t="shared" si="53"/>
        <v>-0.45000000000000062</v>
      </c>
      <c r="N852" s="30">
        <f t="shared" si="54"/>
        <v>1.5046083167330613</v>
      </c>
      <c r="O852" s="31">
        <f t="shared" si="55"/>
        <v>0.73204284797281238</v>
      </c>
    </row>
    <row r="853" spans="1:15" x14ac:dyDescent="0.25">
      <c r="A853" t="s">
        <v>6590</v>
      </c>
      <c r="B853" t="s">
        <v>1707</v>
      </c>
      <c r="C853" s="3" t="s">
        <v>1708</v>
      </c>
      <c r="D853" s="24">
        <v>3.1375E-2</v>
      </c>
      <c r="E853" s="25">
        <v>9.2639999999999993</v>
      </c>
      <c r="F853" s="25">
        <v>9.5640000000000001</v>
      </c>
      <c r="G853" s="26">
        <v>-0.3</v>
      </c>
      <c r="H853" s="27">
        <v>0.10730000000000001</v>
      </c>
      <c r="I853" s="26">
        <v>2.7949999999999999</v>
      </c>
      <c r="J853" s="28">
        <v>6</v>
      </c>
      <c r="K853" s="27">
        <v>0.10172299999999999</v>
      </c>
      <c r="L853" s="29">
        <f t="shared" si="52"/>
        <v>0.99258084015742476</v>
      </c>
      <c r="M853" s="29">
        <f t="shared" si="53"/>
        <v>-0.30000000000000127</v>
      </c>
      <c r="N853" s="30">
        <f t="shared" si="54"/>
        <v>1.5034162655109053</v>
      </c>
      <c r="O853" s="31">
        <f t="shared" si="55"/>
        <v>0.81225239635623481</v>
      </c>
    </row>
    <row r="854" spans="1:15" x14ac:dyDescent="0.25">
      <c r="A854" t="s">
        <v>6591</v>
      </c>
      <c r="B854" t="s">
        <v>1709</v>
      </c>
      <c r="C854" s="3" t="s">
        <v>1710</v>
      </c>
      <c r="D854" s="24">
        <v>3.1427999999999998E-2</v>
      </c>
      <c r="E854" s="25">
        <v>9.9629999999999992</v>
      </c>
      <c r="F854" s="25">
        <v>10.4</v>
      </c>
      <c r="G854" s="26">
        <v>-0.43340000000000001</v>
      </c>
      <c r="H854" s="27">
        <v>0.15509999999999999</v>
      </c>
      <c r="I854" s="26">
        <v>2.794</v>
      </c>
      <c r="J854" s="28">
        <v>6</v>
      </c>
      <c r="K854" s="27">
        <v>0.101775</v>
      </c>
      <c r="L854" s="29">
        <f t="shared" si="52"/>
        <v>0.99235888894856283</v>
      </c>
      <c r="M854" s="29">
        <f t="shared" si="53"/>
        <v>-0.43700000000000155</v>
      </c>
      <c r="N854" s="30">
        <f t="shared" si="54"/>
        <v>1.5026832555271428</v>
      </c>
      <c r="O854" s="31">
        <f t="shared" si="55"/>
        <v>0.73866903179127952</v>
      </c>
    </row>
    <row r="855" spans="1:15" x14ac:dyDescent="0.25">
      <c r="A855" t="s">
        <v>6592</v>
      </c>
      <c r="B855" t="s">
        <v>1711</v>
      </c>
      <c r="C855" s="3" t="s">
        <v>1712</v>
      </c>
      <c r="D855" s="24">
        <v>3.1504999999999998E-2</v>
      </c>
      <c r="E855" s="25">
        <v>9.5489999999999995</v>
      </c>
      <c r="F855" s="25">
        <v>8.984</v>
      </c>
      <c r="G855" s="26">
        <v>0.56489999999999996</v>
      </c>
      <c r="H855" s="27">
        <v>0.20230000000000001</v>
      </c>
      <c r="I855" s="26">
        <v>2.7919999999999998</v>
      </c>
      <c r="J855" s="28">
        <v>6</v>
      </c>
      <c r="K855" s="27">
        <v>0.101906</v>
      </c>
      <c r="L855" s="29">
        <f t="shared" si="52"/>
        <v>0.99180024494176766</v>
      </c>
      <c r="M855" s="29">
        <f t="shared" si="53"/>
        <v>0.56499999999999928</v>
      </c>
      <c r="N855" s="30">
        <f t="shared" si="54"/>
        <v>1.5016205160488543</v>
      </c>
      <c r="O855" s="31">
        <f t="shared" si="55"/>
        <v>1.4793875092488367</v>
      </c>
    </row>
    <row r="856" spans="1:15" x14ac:dyDescent="0.25">
      <c r="A856" t="s">
        <v>6593</v>
      </c>
      <c r="B856" t="s">
        <v>1713</v>
      </c>
      <c r="C856" s="3" t="s">
        <v>1714</v>
      </c>
      <c r="D856" s="24">
        <v>3.1580999999999998E-2</v>
      </c>
      <c r="E856" s="25">
        <v>10.75</v>
      </c>
      <c r="F856" s="25">
        <v>10.38</v>
      </c>
      <c r="G856" s="26">
        <v>0.37380000000000002</v>
      </c>
      <c r="H856" s="27">
        <v>0.13400000000000001</v>
      </c>
      <c r="I856" s="26">
        <v>2.79</v>
      </c>
      <c r="J856" s="28">
        <v>6</v>
      </c>
      <c r="K856" s="27">
        <v>0.102033</v>
      </c>
      <c r="L856" s="29">
        <f t="shared" si="52"/>
        <v>0.99125934392399817</v>
      </c>
      <c r="M856" s="29">
        <f t="shared" si="53"/>
        <v>0.36999999999999883</v>
      </c>
      <c r="N856" s="30">
        <f t="shared" si="54"/>
        <v>1.5005741223452687</v>
      </c>
      <c r="O856" s="31">
        <f t="shared" si="55"/>
        <v>1.2923528306374912</v>
      </c>
    </row>
    <row r="857" spans="1:15" x14ac:dyDescent="0.25">
      <c r="A857" t="s">
        <v>6594</v>
      </c>
      <c r="B857" t="s">
        <v>1715</v>
      </c>
      <c r="C857" s="3" t="s">
        <v>1716</v>
      </c>
      <c r="D857" s="24">
        <v>3.1662000000000003E-2</v>
      </c>
      <c r="E857" s="25">
        <v>8.5370000000000008</v>
      </c>
      <c r="F857" s="25">
        <v>7.9960000000000004</v>
      </c>
      <c r="G857" s="26">
        <v>0.54079999999999995</v>
      </c>
      <c r="H857" s="27">
        <v>0.19400000000000001</v>
      </c>
      <c r="I857" s="26">
        <v>2.7879999999999998</v>
      </c>
      <c r="J857" s="28">
        <v>6</v>
      </c>
      <c r="K857" s="27">
        <v>0.102174</v>
      </c>
      <c r="L857" s="29">
        <f t="shared" si="52"/>
        <v>0.9906596041336887</v>
      </c>
      <c r="M857" s="29">
        <f t="shared" si="53"/>
        <v>0.54099999999999948</v>
      </c>
      <c r="N857" s="30">
        <f t="shared" si="54"/>
        <v>1.4994616554392324</v>
      </c>
      <c r="O857" s="31">
        <f t="shared" si="55"/>
        <v>1.4549806836347567</v>
      </c>
    </row>
    <row r="858" spans="1:15" x14ac:dyDescent="0.25">
      <c r="A858" t="s">
        <v>6595</v>
      </c>
      <c r="B858" t="s">
        <v>1717</v>
      </c>
      <c r="C858" s="3" t="s">
        <v>1718</v>
      </c>
      <c r="D858" s="24">
        <v>3.1724000000000002E-2</v>
      </c>
      <c r="E858" s="25">
        <v>9.9160000000000004</v>
      </c>
      <c r="F858" s="25">
        <v>10.41</v>
      </c>
      <c r="G858" s="26">
        <v>-0.49099999999999999</v>
      </c>
      <c r="H858" s="27">
        <v>0.1762</v>
      </c>
      <c r="I858" s="26">
        <v>2.786</v>
      </c>
      <c r="J858" s="28">
        <v>6</v>
      </c>
      <c r="K858" s="27">
        <v>0.102254</v>
      </c>
      <c r="L858" s="29">
        <f t="shared" si="52"/>
        <v>0.99031969413774068</v>
      </c>
      <c r="M858" s="29">
        <f t="shared" si="53"/>
        <v>-0.49400000000000005</v>
      </c>
      <c r="N858" s="30">
        <f t="shared" si="54"/>
        <v>1.4986120587943834</v>
      </c>
      <c r="O858" s="31">
        <f t="shared" si="55"/>
        <v>0.71005367927171359</v>
      </c>
    </row>
    <row r="859" spans="1:15" x14ac:dyDescent="0.25">
      <c r="A859" t="s">
        <v>6596</v>
      </c>
      <c r="B859" t="s">
        <v>1719</v>
      </c>
      <c r="C859" s="3" t="s">
        <v>1720</v>
      </c>
      <c r="D859" s="24">
        <v>3.184E-2</v>
      </c>
      <c r="E859" s="25">
        <v>9.7420000000000009</v>
      </c>
      <c r="F859" s="25">
        <v>9.3960000000000008</v>
      </c>
      <c r="G859" s="26">
        <v>0.3463</v>
      </c>
      <c r="H859" s="27">
        <v>0.1244</v>
      </c>
      <c r="I859" s="26">
        <v>2.7839999999999998</v>
      </c>
      <c r="J859" s="28">
        <v>6</v>
      </c>
      <c r="K859" s="27">
        <v>0.102511</v>
      </c>
      <c r="L859" s="29">
        <f t="shared" si="52"/>
        <v>0.9892295298962307</v>
      </c>
      <c r="M859" s="29">
        <f t="shared" si="53"/>
        <v>0.34600000000000014</v>
      </c>
      <c r="N859" s="30">
        <f t="shared" si="54"/>
        <v>1.4970269409343684</v>
      </c>
      <c r="O859" s="31">
        <f t="shared" si="55"/>
        <v>1.2710316893056666</v>
      </c>
    </row>
    <row r="860" spans="1:15" x14ac:dyDescent="0.25">
      <c r="A860" t="s">
        <v>6597</v>
      </c>
      <c r="B860" t="s">
        <v>1721</v>
      </c>
      <c r="C860" s="3" t="s">
        <v>1722</v>
      </c>
      <c r="D860" s="24">
        <v>3.1951E-2</v>
      </c>
      <c r="E860" s="25">
        <v>9.5410000000000004</v>
      </c>
      <c r="F860" s="25">
        <v>9.0950000000000006</v>
      </c>
      <c r="G860" s="26">
        <v>0.44619999999999999</v>
      </c>
      <c r="H860" s="27">
        <v>0.16039999999999999</v>
      </c>
      <c r="I860" s="26">
        <v>2.7810000000000001</v>
      </c>
      <c r="J860" s="28">
        <v>6</v>
      </c>
      <c r="K860" s="27">
        <v>0.10266</v>
      </c>
      <c r="L860" s="29">
        <f t="shared" si="52"/>
        <v>0.98859874007525594</v>
      </c>
      <c r="M860" s="29">
        <f t="shared" si="53"/>
        <v>0.4460000000000004</v>
      </c>
      <c r="N860" s="30">
        <f t="shared" si="54"/>
        <v>1.4955155447767678</v>
      </c>
      <c r="O860" s="31">
        <f t="shared" si="55"/>
        <v>1.3622580346404884</v>
      </c>
    </row>
    <row r="861" spans="1:15" x14ac:dyDescent="0.25">
      <c r="A861" t="s">
        <v>6598</v>
      </c>
      <c r="B861" t="s">
        <v>1723</v>
      </c>
      <c r="C861" s="3" t="s">
        <v>1724</v>
      </c>
      <c r="D861" s="24">
        <v>3.1989999999999998E-2</v>
      </c>
      <c r="E861" s="25">
        <v>8.7140000000000004</v>
      </c>
      <c r="F861" s="25">
        <v>8.4060000000000006</v>
      </c>
      <c r="G861" s="26">
        <v>0.30830000000000002</v>
      </c>
      <c r="H861" s="27">
        <v>0.1109</v>
      </c>
      <c r="I861" s="26">
        <v>2.78</v>
      </c>
      <c r="J861" s="28">
        <v>6</v>
      </c>
      <c r="K861" s="27">
        <v>0.10266</v>
      </c>
      <c r="L861" s="29">
        <f t="shared" si="52"/>
        <v>0.98859874007525594</v>
      </c>
      <c r="M861" s="29">
        <f t="shared" si="53"/>
        <v>0.30800000000000077</v>
      </c>
      <c r="N861" s="30">
        <f t="shared" si="54"/>
        <v>1.4949857599158929</v>
      </c>
      <c r="O861" s="31">
        <f t="shared" si="55"/>
        <v>1.2379902908374463</v>
      </c>
    </row>
    <row r="862" spans="1:15" x14ac:dyDescent="0.25">
      <c r="A862" t="s">
        <v>6599</v>
      </c>
      <c r="B862" t="s">
        <v>1725</v>
      </c>
      <c r="C862" s="3" t="s">
        <v>1726</v>
      </c>
      <c r="D862" s="24">
        <v>3.1997999999999999E-2</v>
      </c>
      <c r="E862" s="25">
        <v>9.2560000000000002</v>
      </c>
      <c r="F862" s="25">
        <v>8.8409999999999993</v>
      </c>
      <c r="G862" s="26">
        <v>0.4148</v>
      </c>
      <c r="H862" s="27">
        <v>0.1492</v>
      </c>
      <c r="I862" s="26">
        <v>2.78</v>
      </c>
      <c r="J862" s="28">
        <v>6</v>
      </c>
      <c r="K862" s="27">
        <v>0.10266</v>
      </c>
      <c r="L862" s="29">
        <f t="shared" si="52"/>
        <v>0.98859874007525594</v>
      </c>
      <c r="M862" s="29">
        <f t="shared" si="53"/>
        <v>0.41500000000000137</v>
      </c>
      <c r="N862" s="30">
        <f t="shared" si="54"/>
        <v>1.4948771659334796</v>
      </c>
      <c r="O862" s="31">
        <f t="shared" si="55"/>
        <v>1.3332986770911999</v>
      </c>
    </row>
    <row r="863" spans="1:15" x14ac:dyDescent="0.25">
      <c r="A863" t="s">
        <v>6600</v>
      </c>
      <c r="B863" t="s">
        <v>1729</v>
      </c>
      <c r="C863" s="3" t="s">
        <v>1730</v>
      </c>
      <c r="D863" s="24">
        <v>3.211E-2</v>
      </c>
      <c r="E863" s="25">
        <v>8.9309999999999992</v>
      </c>
      <c r="F863" s="25">
        <v>9.18</v>
      </c>
      <c r="G863" s="26">
        <v>-0.24859999999999999</v>
      </c>
      <c r="H863" s="27">
        <v>8.9520000000000002E-2</v>
      </c>
      <c r="I863" s="26">
        <v>2.7770000000000001</v>
      </c>
      <c r="J863" s="28">
        <v>6</v>
      </c>
      <c r="K863" s="27">
        <v>0.10278</v>
      </c>
      <c r="L863" s="29">
        <f t="shared" si="52"/>
        <v>0.98809138665084584</v>
      </c>
      <c r="M863" s="29">
        <f t="shared" si="53"/>
        <v>-0.24900000000000014</v>
      </c>
      <c r="N863" s="30">
        <f t="shared" si="54"/>
        <v>1.4933596944334973</v>
      </c>
      <c r="O863" s="31">
        <f t="shared" si="55"/>
        <v>0.84147948228538039</v>
      </c>
    </row>
    <row r="864" spans="1:15" x14ac:dyDescent="0.25">
      <c r="A864" t="s">
        <v>6601</v>
      </c>
      <c r="B864" t="s">
        <v>1727</v>
      </c>
      <c r="C864" s="3" t="s">
        <v>1728</v>
      </c>
      <c r="D864" s="24">
        <v>3.2088999999999999E-2</v>
      </c>
      <c r="E864" s="25">
        <v>11.8</v>
      </c>
      <c r="F864" s="25">
        <v>12.19</v>
      </c>
      <c r="G864" s="26">
        <v>-0.38450000000000001</v>
      </c>
      <c r="H864" s="27">
        <v>0.1384</v>
      </c>
      <c r="I864" s="26">
        <v>2.778</v>
      </c>
      <c r="J864" s="28">
        <v>6</v>
      </c>
      <c r="K864" s="27">
        <v>0.10278</v>
      </c>
      <c r="L864" s="29">
        <f t="shared" si="52"/>
        <v>0.98809138665084584</v>
      </c>
      <c r="M864" s="29">
        <f t="shared" si="53"/>
        <v>-0.38999999999999857</v>
      </c>
      <c r="N864" s="30">
        <f t="shared" si="54"/>
        <v>1.4936438167545696</v>
      </c>
      <c r="O864" s="31">
        <f t="shared" si="55"/>
        <v>0.76312960448028033</v>
      </c>
    </row>
    <row r="865" spans="1:15" x14ac:dyDescent="0.25">
      <c r="A865" t="s">
        <v>6602</v>
      </c>
      <c r="B865" t="s">
        <v>1731</v>
      </c>
      <c r="C865" s="3" t="s">
        <v>1732</v>
      </c>
      <c r="D865" s="24">
        <v>3.2386999999999999E-2</v>
      </c>
      <c r="E865" s="25">
        <v>9.1110000000000007</v>
      </c>
      <c r="F865" s="25">
        <v>8.8979999999999997</v>
      </c>
      <c r="G865" s="26">
        <v>0.21290000000000001</v>
      </c>
      <c r="H865" s="27">
        <v>7.6829999999999996E-2</v>
      </c>
      <c r="I865" s="26">
        <v>2.7709999999999999</v>
      </c>
      <c r="J865" s="28">
        <v>6</v>
      </c>
      <c r="K865" s="27">
        <v>0.103546</v>
      </c>
      <c r="L865" s="29">
        <f t="shared" si="52"/>
        <v>0.98486667331790589</v>
      </c>
      <c r="M865" s="29">
        <f t="shared" si="53"/>
        <v>0.21300000000000194</v>
      </c>
      <c r="N865" s="30">
        <f t="shared" si="54"/>
        <v>1.4896292787198859</v>
      </c>
      <c r="O865" s="31">
        <f t="shared" si="55"/>
        <v>1.1590959519044575</v>
      </c>
    </row>
    <row r="866" spans="1:15" x14ac:dyDescent="0.25">
      <c r="A866" t="s">
        <v>6603</v>
      </c>
      <c r="B866" t="s">
        <v>1733</v>
      </c>
      <c r="C866" s="3" t="s">
        <v>1734</v>
      </c>
      <c r="D866" s="24">
        <v>3.2531999999999998E-2</v>
      </c>
      <c r="E866" s="25">
        <v>8.9239999999999995</v>
      </c>
      <c r="F866" s="25">
        <v>8.6129999999999995</v>
      </c>
      <c r="G866" s="26">
        <v>0.3115</v>
      </c>
      <c r="H866" s="27">
        <v>0.1125</v>
      </c>
      <c r="I866" s="26">
        <v>2.7669999999999999</v>
      </c>
      <c r="J866" s="28">
        <v>6</v>
      </c>
      <c r="K866" s="27">
        <v>0.103879</v>
      </c>
      <c r="L866" s="29">
        <f t="shared" si="52"/>
        <v>0.98347223979525955</v>
      </c>
      <c r="M866" s="29">
        <f t="shared" si="53"/>
        <v>0.31100000000000083</v>
      </c>
      <c r="N866" s="30">
        <f t="shared" si="54"/>
        <v>1.4876892363718897</v>
      </c>
      <c r="O866" s="31">
        <f t="shared" si="55"/>
        <v>1.2405672977153896</v>
      </c>
    </row>
    <row r="867" spans="1:15" x14ac:dyDescent="0.25">
      <c r="A867" t="s">
        <v>6604</v>
      </c>
      <c r="B867" t="s">
        <v>1735</v>
      </c>
      <c r="C867" s="3" t="s">
        <v>1736</v>
      </c>
      <c r="D867" s="24">
        <v>3.2565999999999998E-2</v>
      </c>
      <c r="E867" s="25">
        <v>9.3360000000000003</v>
      </c>
      <c r="F867" s="25">
        <v>8.6489999999999991</v>
      </c>
      <c r="G867" s="26">
        <v>0.6875</v>
      </c>
      <c r="H867" s="27">
        <v>0.2485</v>
      </c>
      <c r="I867" s="26">
        <v>2.7669999999999999</v>
      </c>
      <c r="J867" s="28">
        <v>6</v>
      </c>
      <c r="K867" s="27">
        <v>0.103879</v>
      </c>
      <c r="L867" s="29">
        <f t="shared" si="52"/>
        <v>0.98347223979525955</v>
      </c>
      <c r="M867" s="29">
        <f t="shared" si="53"/>
        <v>0.68700000000000083</v>
      </c>
      <c r="N867" s="30">
        <f t="shared" si="54"/>
        <v>1.4872355814599916</v>
      </c>
      <c r="O867" s="31">
        <f t="shared" si="55"/>
        <v>1.6099322752422445</v>
      </c>
    </row>
    <row r="868" spans="1:15" x14ac:dyDescent="0.25">
      <c r="A868" t="s">
        <v>6605</v>
      </c>
      <c r="B868" t="s">
        <v>1737</v>
      </c>
      <c r="C868" s="3" t="s">
        <v>1738</v>
      </c>
      <c r="D868" s="24">
        <v>3.2979000000000001E-2</v>
      </c>
      <c r="E868" s="25">
        <v>11.24</v>
      </c>
      <c r="F868" s="25">
        <v>11.05</v>
      </c>
      <c r="G868" s="26">
        <v>0.19350000000000001</v>
      </c>
      <c r="H868" s="27">
        <v>7.0169999999999996E-2</v>
      </c>
      <c r="I868" s="26">
        <v>2.7570000000000001</v>
      </c>
      <c r="J868" s="28">
        <v>6</v>
      </c>
      <c r="K868" s="27">
        <v>0.105073</v>
      </c>
      <c r="L868" s="29">
        <f t="shared" si="52"/>
        <v>0.97850886777249235</v>
      </c>
      <c r="M868" s="29">
        <f t="shared" si="53"/>
        <v>0.18999999999999972</v>
      </c>
      <c r="N868" s="30">
        <f t="shared" si="54"/>
        <v>1.4817625173108524</v>
      </c>
      <c r="O868" s="31">
        <f t="shared" si="55"/>
        <v>1.1407637158684234</v>
      </c>
    </row>
    <row r="869" spans="1:15" x14ac:dyDescent="0.25">
      <c r="A869" t="s">
        <v>6606</v>
      </c>
      <c r="B869" t="s">
        <v>1739</v>
      </c>
      <c r="C869" s="3" t="s">
        <v>1740</v>
      </c>
      <c r="D869" s="24">
        <v>3.3134999999999998E-2</v>
      </c>
      <c r="E869" s="25">
        <v>10.52</v>
      </c>
      <c r="F869" s="25">
        <v>10.34</v>
      </c>
      <c r="G869" s="26">
        <v>0.17130000000000001</v>
      </c>
      <c r="H869" s="27">
        <v>6.2230000000000001E-2</v>
      </c>
      <c r="I869" s="26">
        <v>2.754</v>
      </c>
      <c r="J869" s="28">
        <v>6</v>
      </c>
      <c r="K869" s="27">
        <v>0.105449</v>
      </c>
      <c r="L869" s="29">
        <f t="shared" si="52"/>
        <v>0.97695753443128619</v>
      </c>
      <c r="M869" s="29">
        <f t="shared" si="53"/>
        <v>0.18000000000000047</v>
      </c>
      <c r="N869" s="30">
        <f t="shared" si="54"/>
        <v>1.4797130250728838</v>
      </c>
      <c r="O869" s="31">
        <f t="shared" si="55"/>
        <v>1.132883885295799</v>
      </c>
    </row>
    <row r="870" spans="1:15" x14ac:dyDescent="0.25">
      <c r="A870" t="s">
        <v>6607</v>
      </c>
      <c r="B870" t="s">
        <v>1741</v>
      </c>
      <c r="C870" s="3" t="s">
        <v>1742</v>
      </c>
      <c r="D870" s="24">
        <v>3.3280999999999998E-2</v>
      </c>
      <c r="E870" s="25">
        <v>8.8770000000000007</v>
      </c>
      <c r="F870" s="25">
        <v>9.1980000000000004</v>
      </c>
      <c r="G870" s="26">
        <v>-0.32050000000000001</v>
      </c>
      <c r="H870" s="27">
        <v>0.11650000000000001</v>
      </c>
      <c r="I870" s="26">
        <v>2.75</v>
      </c>
      <c r="J870" s="28">
        <v>6</v>
      </c>
      <c r="K870" s="27">
        <v>0.105792</v>
      </c>
      <c r="L870" s="29">
        <f t="shared" si="52"/>
        <v>0.97554717244466527</v>
      </c>
      <c r="M870" s="29">
        <f t="shared" si="53"/>
        <v>-0.32099999999999995</v>
      </c>
      <c r="N870" s="30">
        <f t="shared" si="54"/>
        <v>1.4778036328633695</v>
      </c>
      <c r="O870" s="31">
        <f t="shared" si="55"/>
        <v>0.80051481065630292</v>
      </c>
    </row>
    <row r="871" spans="1:15" x14ac:dyDescent="0.25">
      <c r="A871" t="s">
        <v>6608</v>
      </c>
      <c r="B871" t="s">
        <v>1743</v>
      </c>
      <c r="C871" s="3" t="s">
        <v>1744</v>
      </c>
      <c r="D871" s="24">
        <v>3.3320000000000002E-2</v>
      </c>
      <c r="E871" s="25">
        <v>9.7769999999999992</v>
      </c>
      <c r="F871" s="25">
        <v>9.5380000000000003</v>
      </c>
      <c r="G871" s="26">
        <v>0.2394</v>
      </c>
      <c r="H871" s="27">
        <v>8.7080000000000005E-2</v>
      </c>
      <c r="I871" s="26">
        <v>2.7490000000000001</v>
      </c>
      <c r="J871" s="28">
        <v>6</v>
      </c>
      <c r="K871" s="27">
        <v>0.105795</v>
      </c>
      <c r="L871" s="29">
        <f t="shared" si="52"/>
        <v>0.97553485709971688</v>
      </c>
      <c r="M871" s="29">
        <f t="shared" si="53"/>
        <v>0.23899999999999999</v>
      </c>
      <c r="N871" s="30">
        <f t="shared" si="54"/>
        <v>1.47729500726525</v>
      </c>
      <c r="O871" s="31">
        <f t="shared" si="55"/>
        <v>1.1801743433362017</v>
      </c>
    </row>
    <row r="872" spans="1:15" x14ac:dyDescent="0.25">
      <c r="A872" t="s">
        <v>6609</v>
      </c>
      <c r="B872" t="s">
        <v>1745</v>
      </c>
      <c r="C872" s="3" t="s">
        <v>1746</v>
      </c>
      <c r="D872" s="24">
        <v>3.3447999999999999E-2</v>
      </c>
      <c r="E872" s="25">
        <v>9.6989999999999998</v>
      </c>
      <c r="F872" s="25">
        <v>9.4990000000000006</v>
      </c>
      <c r="G872" s="26">
        <v>0.20019999999999999</v>
      </c>
      <c r="H872" s="27">
        <v>7.2910000000000003E-2</v>
      </c>
      <c r="I872" s="26">
        <v>2.746</v>
      </c>
      <c r="J872" s="28">
        <v>6</v>
      </c>
      <c r="K872" s="27">
        <v>0.10607900000000001</v>
      </c>
      <c r="L872" s="29">
        <f t="shared" si="52"/>
        <v>0.97437058298652046</v>
      </c>
      <c r="M872" s="29">
        <f t="shared" si="53"/>
        <v>0.19999999999999871</v>
      </c>
      <c r="N872" s="30">
        <f t="shared" si="54"/>
        <v>1.4756298454576415</v>
      </c>
      <c r="O872" s="31">
        <f t="shared" si="55"/>
        <v>1.148698354997034</v>
      </c>
    </row>
    <row r="873" spans="1:15" x14ac:dyDescent="0.25">
      <c r="A873" t="s">
        <v>6610</v>
      </c>
      <c r="B873" t="s">
        <v>1747</v>
      </c>
      <c r="C873" s="3" t="s">
        <v>1748</v>
      </c>
      <c r="D873" s="24">
        <v>3.363E-2</v>
      </c>
      <c r="E873" s="25">
        <v>13.11</v>
      </c>
      <c r="F873" s="25">
        <v>13.39</v>
      </c>
      <c r="G873" s="26">
        <v>-0.27439999999999998</v>
      </c>
      <c r="H873" s="27">
        <v>0.1</v>
      </c>
      <c r="I873" s="26">
        <v>2.742</v>
      </c>
      <c r="J873" s="28">
        <v>6</v>
      </c>
      <c r="K873" s="27">
        <v>0.106534</v>
      </c>
      <c r="L873" s="29">
        <f t="shared" si="52"/>
        <v>0.97251176634852809</v>
      </c>
      <c r="M873" s="29">
        <f t="shared" si="53"/>
        <v>-0.28000000000000064</v>
      </c>
      <c r="N873" s="30">
        <f t="shared" si="54"/>
        <v>1.4732731326853643</v>
      </c>
      <c r="O873" s="31">
        <f t="shared" si="55"/>
        <v>0.82359101726757278</v>
      </c>
    </row>
    <row r="874" spans="1:15" x14ac:dyDescent="0.25">
      <c r="A874" t="s">
        <v>6611</v>
      </c>
      <c r="B874" t="s">
        <v>1749</v>
      </c>
      <c r="C874" s="3" t="s">
        <v>1750</v>
      </c>
      <c r="D874" s="24">
        <v>3.3826000000000002E-2</v>
      </c>
      <c r="E874" s="25">
        <v>9.6989999999999998</v>
      </c>
      <c r="F874" s="25">
        <v>9.1069999999999993</v>
      </c>
      <c r="G874" s="26">
        <v>0.59209999999999996</v>
      </c>
      <c r="H874" s="27">
        <v>0.21629999999999999</v>
      </c>
      <c r="I874" s="26">
        <v>2.738</v>
      </c>
      <c r="J874" s="28">
        <v>6</v>
      </c>
      <c r="K874" s="27">
        <v>0.107033</v>
      </c>
      <c r="L874" s="29">
        <f t="shared" si="52"/>
        <v>0.97048230167623095</v>
      </c>
      <c r="M874" s="29">
        <f t="shared" si="53"/>
        <v>0.59200000000000075</v>
      </c>
      <c r="N874" s="30">
        <f t="shared" si="54"/>
        <v>1.4707493554675957</v>
      </c>
      <c r="O874" s="31">
        <f t="shared" si="55"/>
        <v>1.5073349095583817</v>
      </c>
    </row>
    <row r="875" spans="1:15" x14ac:dyDescent="0.25">
      <c r="A875" t="s">
        <v>6612</v>
      </c>
      <c r="B875" t="s">
        <v>1751</v>
      </c>
      <c r="C875" s="3" t="s">
        <v>1752</v>
      </c>
      <c r="D875" s="24">
        <v>3.3890000000000003E-2</v>
      </c>
      <c r="E875" s="25">
        <v>7.008</v>
      </c>
      <c r="F875" s="25">
        <v>7.5720000000000001</v>
      </c>
      <c r="G875" s="26">
        <v>-0.56379999999999997</v>
      </c>
      <c r="H875" s="27">
        <v>0.20599999999999999</v>
      </c>
      <c r="I875" s="26">
        <v>2.7370000000000001</v>
      </c>
      <c r="J875" s="28">
        <v>6</v>
      </c>
      <c r="K875" s="27">
        <v>0.107113</v>
      </c>
      <c r="L875" s="29">
        <f t="shared" si="52"/>
        <v>0.9701578168839069</v>
      </c>
      <c r="M875" s="29">
        <f t="shared" si="53"/>
        <v>-0.56400000000000017</v>
      </c>
      <c r="N875" s="30">
        <f t="shared" si="54"/>
        <v>1.4699284311626217</v>
      </c>
      <c r="O875" s="31">
        <f t="shared" si="55"/>
        <v>0.67642411552513715</v>
      </c>
    </row>
    <row r="876" spans="1:15" x14ac:dyDescent="0.25">
      <c r="A876" t="s">
        <v>6613</v>
      </c>
      <c r="B876" t="s">
        <v>1753</v>
      </c>
      <c r="C876" s="3" t="s">
        <v>1754</v>
      </c>
      <c r="D876" s="24">
        <v>3.4027000000000002E-2</v>
      </c>
      <c r="E876" s="25">
        <v>8.2059999999999995</v>
      </c>
      <c r="F876" s="25">
        <v>7.8369999999999997</v>
      </c>
      <c r="G876" s="26">
        <v>0.36870000000000003</v>
      </c>
      <c r="H876" s="27">
        <v>0.13489999999999999</v>
      </c>
      <c r="I876" s="26">
        <v>2.734</v>
      </c>
      <c r="J876" s="28">
        <v>6</v>
      </c>
      <c r="K876" s="27">
        <v>0.107374</v>
      </c>
      <c r="L876" s="29">
        <f t="shared" si="52"/>
        <v>0.96910086783128779</v>
      </c>
      <c r="M876" s="29">
        <f t="shared" si="53"/>
        <v>0.36899999999999977</v>
      </c>
      <c r="N876" s="30">
        <f t="shared" si="54"/>
        <v>1.4681763389112008</v>
      </c>
      <c r="O876" s="31">
        <f t="shared" si="55"/>
        <v>1.2914573503023348</v>
      </c>
    </row>
    <row r="877" spans="1:15" x14ac:dyDescent="0.25">
      <c r="A877" t="s">
        <v>6614</v>
      </c>
      <c r="B877" t="s">
        <v>1755</v>
      </c>
      <c r="C877" s="3" t="s">
        <v>1756</v>
      </c>
      <c r="D877" s="24">
        <v>3.4075000000000001E-2</v>
      </c>
      <c r="E877" s="25">
        <v>9.6809999999999992</v>
      </c>
      <c r="F877" s="25">
        <v>9.4350000000000005</v>
      </c>
      <c r="G877" s="26">
        <v>0.2455</v>
      </c>
      <c r="H877" s="27">
        <v>8.9859999999999995E-2</v>
      </c>
      <c r="I877" s="26">
        <v>2.7320000000000002</v>
      </c>
      <c r="J877" s="28">
        <v>6</v>
      </c>
      <c r="K877" s="27">
        <v>0.107374</v>
      </c>
      <c r="L877" s="29">
        <f t="shared" si="52"/>
        <v>0.96910086783128779</v>
      </c>
      <c r="M877" s="29">
        <f t="shared" si="53"/>
        <v>0.24599999999999775</v>
      </c>
      <c r="N877" s="30">
        <f t="shared" si="54"/>
        <v>1.4675641354932887</v>
      </c>
      <c r="O877" s="31">
        <f t="shared" si="55"/>
        <v>1.1859144994109461</v>
      </c>
    </row>
    <row r="878" spans="1:15" x14ac:dyDescent="0.25">
      <c r="A878" t="s">
        <v>6615</v>
      </c>
      <c r="B878" t="s">
        <v>1757</v>
      </c>
      <c r="C878" s="3" t="s">
        <v>1758</v>
      </c>
      <c r="D878" s="24">
        <v>3.4089000000000001E-2</v>
      </c>
      <c r="E878" s="25">
        <v>7.7110000000000003</v>
      </c>
      <c r="F878" s="25">
        <v>8.0310000000000006</v>
      </c>
      <c r="G878" s="26">
        <v>-0.32029999999999997</v>
      </c>
      <c r="H878" s="27">
        <v>0.1172</v>
      </c>
      <c r="I878" s="26">
        <v>2.7320000000000002</v>
      </c>
      <c r="J878" s="28">
        <v>6</v>
      </c>
      <c r="K878" s="27">
        <v>0.107374</v>
      </c>
      <c r="L878" s="29">
        <f t="shared" si="52"/>
        <v>0.96910086783128779</v>
      </c>
      <c r="M878" s="29">
        <f t="shared" si="53"/>
        <v>-0.31999999999999934</v>
      </c>
      <c r="N878" s="30">
        <f t="shared" si="54"/>
        <v>1.4673857386024918</v>
      </c>
      <c r="O878" s="31">
        <f t="shared" si="55"/>
        <v>0.80106987758962245</v>
      </c>
    </row>
    <row r="879" spans="1:15" x14ac:dyDescent="0.25">
      <c r="A879" t="s">
        <v>6616</v>
      </c>
      <c r="B879" t="s">
        <v>1759</v>
      </c>
      <c r="C879" s="3" t="s">
        <v>1760</v>
      </c>
      <c r="D879" s="24">
        <v>3.4245999999999999E-2</v>
      </c>
      <c r="E879" s="25">
        <v>9.6519999999999992</v>
      </c>
      <c r="F879" s="25">
        <v>9.2910000000000004</v>
      </c>
      <c r="G879" s="26">
        <v>0.36059999999999998</v>
      </c>
      <c r="H879" s="27">
        <v>0.1321</v>
      </c>
      <c r="I879" s="26">
        <v>2.7290000000000001</v>
      </c>
      <c r="J879" s="28">
        <v>6</v>
      </c>
      <c r="K879" s="27">
        <v>0.10762099999999999</v>
      </c>
      <c r="L879" s="29">
        <f t="shared" si="52"/>
        <v>0.96810297686428615</v>
      </c>
      <c r="M879" s="29">
        <f t="shared" si="53"/>
        <v>0.36099999999999893</v>
      </c>
      <c r="N879" s="30">
        <f t="shared" si="54"/>
        <v>1.4653901476570024</v>
      </c>
      <c r="O879" s="31">
        <f t="shared" si="55"/>
        <v>1.2843158089894247</v>
      </c>
    </row>
    <row r="880" spans="1:15" x14ac:dyDescent="0.25">
      <c r="A880" t="s">
        <v>6617</v>
      </c>
      <c r="B880" t="s">
        <v>1761</v>
      </c>
      <c r="C880" s="3" t="s">
        <v>1762</v>
      </c>
      <c r="D880" s="24">
        <v>3.4245999999999999E-2</v>
      </c>
      <c r="E880" s="25">
        <v>9.6519999999999992</v>
      </c>
      <c r="F880" s="25">
        <v>9.2910000000000004</v>
      </c>
      <c r="G880" s="26">
        <v>0.36059999999999998</v>
      </c>
      <c r="H880" s="27">
        <v>0.1321</v>
      </c>
      <c r="I880" s="26">
        <v>2.7290000000000001</v>
      </c>
      <c r="J880" s="28">
        <v>6</v>
      </c>
      <c r="K880" s="27">
        <v>0.10762099999999999</v>
      </c>
      <c r="L880" s="29">
        <f t="shared" si="52"/>
        <v>0.96810297686428615</v>
      </c>
      <c r="M880" s="29">
        <f t="shared" si="53"/>
        <v>0.36099999999999893</v>
      </c>
      <c r="N880" s="30">
        <f t="shared" si="54"/>
        <v>1.4653901476570024</v>
      </c>
      <c r="O880" s="31">
        <f t="shared" si="55"/>
        <v>1.2843158089894247</v>
      </c>
    </row>
    <row r="881" spans="1:15" x14ac:dyDescent="0.25">
      <c r="A881" t="s">
        <v>6618</v>
      </c>
      <c r="B881" t="s">
        <v>1763</v>
      </c>
      <c r="C881" s="3" t="s">
        <v>1764</v>
      </c>
      <c r="D881" s="24">
        <v>3.4327000000000003E-2</v>
      </c>
      <c r="E881" s="25">
        <v>10.24</v>
      </c>
      <c r="F881" s="25">
        <v>10.53</v>
      </c>
      <c r="G881" s="26">
        <v>-0.28849999999999998</v>
      </c>
      <c r="H881" s="27">
        <v>0.10580000000000001</v>
      </c>
      <c r="I881" s="26">
        <v>2.7269999999999999</v>
      </c>
      <c r="J881" s="28">
        <v>6</v>
      </c>
      <c r="K881" s="27">
        <v>0.107695</v>
      </c>
      <c r="L881" s="29">
        <f t="shared" si="52"/>
        <v>0.96780445940226589</v>
      </c>
      <c r="M881" s="29">
        <f t="shared" si="53"/>
        <v>-0.28999999999999848</v>
      </c>
      <c r="N881" s="30">
        <f t="shared" si="54"/>
        <v>1.4643641499787545</v>
      </c>
      <c r="O881" s="31">
        <f t="shared" si="55"/>
        <v>0.81790205855778197</v>
      </c>
    </row>
    <row r="882" spans="1:15" x14ac:dyDescent="0.25">
      <c r="A882" t="s">
        <v>6619</v>
      </c>
      <c r="B882" t="s">
        <v>1765</v>
      </c>
      <c r="C882" s="3" t="s">
        <v>1766</v>
      </c>
      <c r="D882" s="24">
        <v>3.4347000000000003E-2</v>
      </c>
      <c r="E882" s="25">
        <v>11.52</v>
      </c>
      <c r="F882" s="25">
        <v>11.09</v>
      </c>
      <c r="G882" s="26">
        <v>0.43440000000000001</v>
      </c>
      <c r="H882" s="27">
        <v>0.1593</v>
      </c>
      <c r="I882" s="26">
        <v>2.726</v>
      </c>
      <c r="J882" s="28">
        <v>6</v>
      </c>
      <c r="K882" s="27">
        <v>0.107695</v>
      </c>
      <c r="L882" s="29">
        <f t="shared" si="52"/>
        <v>0.96780445940226589</v>
      </c>
      <c r="M882" s="29">
        <f t="shared" si="53"/>
        <v>0.42999999999999977</v>
      </c>
      <c r="N882" s="30">
        <f t="shared" si="54"/>
        <v>1.4641111899099182</v>
      </c>
      <c r="O882" s="31">
        <f t="shared" si="55"/>
        <v>1.34723357686569</v>
      </c>
    </row>
    <row r="883" spans="1:15" x14ac:dyDescent="0.25">
      <c r="A883" t="s">
        <v>6620</v>
      </c>
      <c r="B883" t="s">
        <v>1767</v>
      </c>
      <c r="C883" s="3" t="s">
        <v>1768</v>
      </c>
      <c r="D883" s="24">
        <v>3.4387000000000001E-2</v>
      </c>
      <c r="E883" s="25">
        <v>11.45</v>
      </c>
      <c r="F883" s="25">
        <v>11.71</v>
      </c>
      <c r="G883" s="26">
        <v>-0.26600000000000001</v>
      </c>
      <c r="H883" s="27">
        <v>9.7600000000000006E-2</v>
      </c>
      <c r="I883" s="26">
        <v>2.726</v>
      </c>
      <c r="J883" s="28">
        <v>6</v>
      </c>
      <c r="K883" s="27">
        <v>0.107698</v>
      </c>
      <c r="L883" s="29">
        <f t="shared" si="52"/>
        <v>0.96779236166978799</v>
      </c>
      <c r="M883" s="29">
        <f t="shared" si="53"/>
        <v>-0.25999999999999984</v>
      </c>
      <c r="N883" s="30">
        <f t="shared" si="54"/>
        <v>1.4636057113625549</v>
      </c>
      <c r="O883" s="31">
        <f t="shared" si="55"/>
        <v>0.83508791942836946</v>
      </c>
    </row>
    <row r="884" spans="1:15" x14ac:dyDescent="0.25">
      <c r="A884" t="s">
        <v>6621</v>
      </c>
      <c r="B884" t="s">
        <v>1769</v>
      </c>
      <c r="C884" s="3" t="s">
        <v>1770</v>
      </c>
      <c r="D884" s="24">
        <v>3.4430000000000002E-2</v>
      </c>
      <c r="E884" s="25">
        <v>10.14</v>
      </c>
      <c r="F884" s="25">
        <v>9.7089999999999996</v>
      </c>
      <c r="G884" s="26">
        <v>0.4274</v>
      </c>
      <c r="H884" s="27">
        <v>0.15690000000000001</v>
      </c>
      <c r="I884" s="26">
        <v>2.7250000000000001</v>
      </c>
      <c r="J884" s="28">
        <v>6</v>
      </c>
      <c r="K884" s="27">
        <v>0.10771</v>
      </c>
      <c r="L884" s="29">
        <f t="shared" si="52"/>
        <v>0.96774397410954671</v>
      </c>
      <c r="M884" s="29">
        <f t="shared" si="53"/>
        <v>0.43100000000000027</v>
      </c>
      <c r="N884" s="30">
        <f t="shared" si="54"/>
        <v>1.4630629772953263</v>
      </c>
      <c r="O884" s="31">
        <f t="shared" si="55"/>
        <v>1.3481677317370568</v>
      </c>
    </row>
    <row r="885" spans="1:15" x14ac:dyDescent="0.25">
      <c r="A885" t="s">
        <v>6622</v>
      </c>
      <c r="B885" t="s">
        <v>1773</v>
      </c>
      <c r="C885" s="3" t="s">
        <v>1774</v>
      </c>
      <c r="D885" s="24">
        <v>3.4715999999999997E-2</v>
      </c>
      <c r="E885" s="25">
        <v>11.56</v>
      </c>
      <c r="F885" s="25">
        <v>10.99</v>
      </c>
      <c r="G885" s="26">
        <v>0.57140000000000002</v>
      </c>
      <c r="H885" s="27">
        <v>0.2102</v>
      </c>
      <c r="I885" s="26">
        <v>2.718</v>
      </c>
      <c r="J885" s="28">
        <v>6</v>
      </c>
      <c r="K885" s="27">
        <v>0.108361</v>
      </c>
      <c r="L885" s="29">
        <f t="shared" si="52"/>
        <v>0.96512699577177841</v>
      </c>
      <c r="M885" s="29">
        <f t="shared" si="53"/>
        <v>0.57000000000000028</v>
      </c>
      <c r="N885" s="30">
        <f t="shared" si="54"/>
        <v>1.4594703203043922</v>
      </c>
      <c r="O885" s="31">
        <f t="shared" si="55"/>
        <v>1.4845235706290494</v>
      </c>
    </row>
    <row r="886" spans="1:15" x14ac:dyDescent="0.25">
      <c r="A886" t="s">
        <v>6623</v>
      </c>
      <c r="B886" t="s">
        <v>1771</v>
      </c>
      <c r="C886" s="3" t="s">
        <v>1772</v>
      </c>
      <c r="D886" s="24">
        <v>3.4699000000000001E-2</v>
      </c>
      <c r="E886" s="25">
        <v>9.07</v>
      </c>
      <c r="F886" s="25">
        <v>9.2850000000000001</v>
      </c>
      <c r="G886" s="26">
        <v>-0.21510000000000001</v>
      </c>
      <c r="H886" s="27">
        <v>7.9119999999999996E-2</v>
      </c>
      <c r="I886" s="26">
        <v>2.7189999999999999</v>
      </c>
      <c r="J886" s="28">
        <v>6</v>
      </c>
      <c r="K886" s="27">
        <v>0.108361</v>
      </c>
      <c r="L886" s="29">
        <f t="shared" si="52"/>
        <v>0.96512699577177841</v>
      </c>
      <c r="M886" s="29">
        <f t="shared" si="53"/>
        <v>-0.21499999999999994</v>
      </c>
      <c r="N886" s="30">
        <f t="shared" si="54"/>
        <v>1.4596830410805921</v>
      </c>
      <c r="O886" s="31">
        <f t="shared" si="55"/>
        <v>0.8615461597120172</v>
      </c>
    </row>
    <row r="887" spans="1:15" x14ac:dyDescent="0.25">
      <c r="A887" t="s">
        <v>6624</v>
      </c>
      <c r="B887" t="s">
        <v>1777</v>
      </c>
      <c r="C887" s="3" t="s">
        <v>1778</v>
      </c>
      <c r="D887" s="24">
        <v>3.4955E-2</v>
      </c>
      <c r="E887" s="25">
        <v>9.1359999999999992</v>
      </c>
      <c r="F887" s="25">
        <v>8.9469999999999992</v>
      </c>
      <c r="G887" s="26">
        <v>0.18909999999999999</v>
      </c>
      <c r="H887" s="27">
        <v>6.9709999999999994E-2</v>
      </c>
      <c r="I887" s="26">
        <v>2.7130000000000001</v>
      </c>
      <c r="J887" s="28">
        <v>6</v>
      </c>
      <c r="K887" s="27">
        <v>0.10886</v>
      </c>
      <c r="L887" s="29">
        <f t="shared" si="52"/>
        <v>0.96313167001894495</v>
      </c>
      <c r="M887" s="29">
        <f t="shared" si="53"/>
        <v>0.18899999999999925</v>
      </c>
      <c r="N887" s="30">
        <f t="shared" si="54"/>
        <v>1.4564906935349731</v>
      </c>
      <c r="O887" s="31">
        <f t="shared" si="55"/>
        <v>1.1399732726934604</v>
      </c>
    </row>
    <row r="888" spans="1:15" x14ac:dyDescent="0.25">
      <c r="A888" t="s">
        <v>6625</v>
      </c>
      <c r="B888" t="s">
        <v>1775</v>
      </c>
      <c r="C888" s="3" t="s">
        <v>1776</v>
      </c>
      <c r="D888" s="24">
        <v>3.4934E-2</v>
      </c>
      <c r="E888" s="25">
        <v>8.8949999999999996</v>
      </c>
      <c r="F888" s="25">
        <v>8.6859999999999999</v>
      </c>
      <c r="G888" s="26">
        <v>0.20960000000000001</v>
      </c>
      <c r="H888" s="27">
        <v>7.7229999999999993E-2</v>
      </c>
      <c r="I888" s="26">
        <v>2.714</v>
      </c>
      <c r="J888" s="28">
        <v>6</v>
      </c>
      <c r="K888" s="27">
        <v>0.10886</v>
      </c>
      <c r="L888" s="29">
        <f t="shared" si="52"/>
        <v>0.96313167001894495</v>
      </c>
      <c r="M888" s="29">
        <f t="shared" si="53"/>
        <v>0.20899999999999991</v>
      </c>
      <c r="N888" s="30">
        <f t="shared" si="54"/>
        <v>1.4567516840884063</v>
      </c>
      <c r="O888" s="31">
        <f t="shared" si="55"/>
        <v>1.1558867065547986</v>
      </c>
    </row>
    <row r="889" spans="1:15" x14ac:dyDescent="0.25">
      <c r="A889" t="s">
        <v>6626</v>
      </c>
      <c r="B889" t="s">
        <v>1781</v>
      </c>
      <c r="C889" s="3" t="s">
        <v>1782</v>
      </c>
      <c r="D889" s="24">
        <v>3.5233E-2</v>
      </c>
      <c r="E889" s="25">
        <v>7.8170000000000002</v>
      </c>
      <c r="F889" s="25">
        <v>7.5780000000000003</v>
      </c>
      <c r="G889" s="26">
        <v>0.23880000000000001</v>
      </c>
      <c r="H889" s="27">
        <v>8.8209999999999997E-2</v>
      </c>
      <c r="I889" s="26">
        <v>2.7069999999999999</v>
      </c>
      <c r="J889" s="28">
        <v>6</v>
      </c>
      <c r="K889" s="27">
        <v>0.10936</v>
      </c>
      <c r="L889" s="29">
        <f t="shared" si="52"/>
        <v>0.961141498440234</v>
      </c>
      <c r="M889" s="29">
        <f t="shared" si="53"/>
        <v>0.23899999999999999</v>
      </c>
      <c r="N889" s="30">
        <f t="shared" si="54"/>
        <v>1.4530503761779532</v>
      </c>
      <c r="O889" s="31">
        <f t="shared" si="55"/>
        <v>1.1801743433362017</v>
      </c>
    </row>
    <row r="890" spans="1:15" x14ac:dyDescent="0.25">
      <c r="A890" t="s">
        <v>6627</v>
      </c>
      <c r="B890" t="s">
        <v>1783</v>
      </c>
      <c r="C890" s="3" t="s">
        <v>1784</v>
      </c>
      <c r="D890" s="24">
        <v>3.5235000000000002E-2</v>
      </c>
      <c r="E890" s="25">
        <v>9.2620000000000005</v>
      </c>
      <c r="F890" s="25">
        <v>9.49</v>
      </c>
      <c r="G890" s="26">
        <v>-0.2286</v>
      </c>
      <c r="H890" s="27">
        <v>8.4440000000000001E-2</v>
      </c>
      <c r="I890" s="26">
        <v>2.7069999999999999</v>
      </c>
      <c r="J890" s="28">
        <v>6</v>
      </c>
      <c r="K890" s="27">
        <v>0.10936</v>
      </c>
      <c r="L890" s="29">
        <f t="shared" si="52"/>
        <v>0.961141498440234</v>
      </c>
      <c r="M890" s="29">
        <f t="shared" si="53"/>
        <v>-0.22799999999999915</v>
      </c>
      <c r="N890" s="30">
        <f t="shared" si="54"/>
        <v>1.4530257241667128</v>
      </c>
      <c r="O890" s="31">
        <f t="shared" si="55"/>
        <v>0.85381771439124543</v>
      </c>
    </row>
    <row r="891" spans="1:15" x14ac:dyDescent="0.25">
      <c r="A891" t="s">
        <v>6628</v>
      </c>
      <c r="B891" t="s">
        <v>1779</v>
      </c>
      <c r="C891" s="3" t="s">
        <v>1780</v>
      </c>
      <c r="D891" s="24">
        <v>3.5177E-2</v>
      </c>
      <c r="E891" s="25">
        <v>9.8469999999999995</v>
      </c>
      <c r="F891" s="25">
        <v>10.18</v>
      </c>
      <c r="G891" s="26">
        <v>-0.33229999999999998</v>
      </c>
      <c r="H891" s="27">
        <v>0.1227</v>
      </c>
      <c r="I891" s="26">
        <v>2.7080000000000002</v>
      </c>
      <c r="J891" s="28">
        <v>6</v>
      </c>
      <c r="K891" s="27">
        <v>0.10936</v>
      </c>
      <c r="L891" s="29">
        <f t="shared" si="52"/>
        <v>0.961141498440234</v>
      </c>
      <c r="M891" s="29">
        <f t="shared" si="53"/>
        <v>-0.33299999999999991</v>
      </c>
      <c r="N891" s="30">
        <f t="shared" si="54"/>
        <v>1.4537412012344708</v>
      </c>
      <c r="O891" s="31">
        <f t="shared" si="55"/>
        <v>0.79388393093165255</v>
      </c>
    </row>
    <row r="892" spans="1:15" x14ac:dyDescent="0.25">
      <c r="A892" t="s">
        <v>6629</v>
      </c>
      <c r="B892" t="s">
        <v>1785</v>
      </c>
      <c r="C892" s="3" t="s">
        <v>1786</v>
      </c>
      <c r="D892" s="24">
        <v>3.5360000000000003E-2</v>
      </c>
      <c r="E892" s="25">
        <v>10.15</v>
      </c>
      <c r="F892" s="25">
        <v>10.36</v>
      </c>
      <c r="G892" s="26">
        <v>-0.2064</v>
      </c>
      <c r="H892" s="27">
        <v>7.6329999999999995E-2</v>
      </c>
      <c r="I892" s="26">
        <v>2.7050000000000001</v>
      </c>
      <c r="J892" s="28">
        <v>6</v>
      </c>
      <c r="K892" s="27">
        <v>0.109625</v>
      </c>
      <c r="L892" s="29">
        <f t="shared" si="52"/>
        <v>0.96009039362590298</v>
      </c>
      <c r="M892" s="29">
        <f t="shared" si="53"/>
        <v>-0.20999999999999797</v>
      </c>
      <c r="N892" s="30">
        <f t="shared" si="54"/>
        <v>1.4514877436589644</v>
      </c>
      <c r="O892" s="31">
        <f t="shared" si="55"/>
        <v>0.86453723130786642</v>
      </c>
    </row>
    <row r="893" spans="1:15" x14ac:dyDescent="0.25">
      <c r="A893" t="s">
        <v>6630</v>
      </c>
      <c r="B893" t="s">
        <v>1787</v>
      </c>
      <c r="C893" s="3" t="s">
        <v>1788</v>
      </c>
      <c r="D893" s="24">
        <v>3.5501999999999999E-2</v>
      </c>
      <c r="E893" s="25">
        <v>10.15</v>
      </c>
      <c r="F893" s="25">
        <v>9.9710000000000001</v>
      </c>
      <c r="G893" s="26">
        <v>0.17549999999999999</v>
      </c>
      <c r="H893" s="27">
        <v>6.4979999999999996E-2</v>
      </c>
      <c r="I893" s="26">
        <v>2.702</v>
      </c>
      <c r="J893" s="28">
        <v>6</v>
      </c>
      <c r="K893" s="27">
        <v>0.109943</v>
      </c>
      <c r="L893" s="29">
        <f t="shared" si="52"/>
        <v>0.95883241667290997</v>
      </c>
      <c r="M893" s="29">
        <f t="shared" si="53"/>
        <v>0.17900000000000141</v>
      </c>
      <c r="N893" s="30">
        <f t="shared" si="54"/>
        <v>1.4497471803393442</v>
      </c>
      <c r="O893" s="31">
        <f t="shared" si="55"/>
        <v>1.1320989021106749</v>
      </c>
    </row>
    <row r="894" spans="1:15" x14ac:dyDescent="0.25">
      <c r="A894" t="s">
        <v>6631</v>
      </c>
      <c r="B894" t="s">
        <v>1791</v>
      </c>
      <c r="C894" s="3" t="s">
        <v>1792</v>
      </c>
      <c r="D894" s="24">
        <v>3.5617999999999997E-2</v>
      </c>
      <c r="E894" s="25">
        <v>10.34</v>
      </c>
      <c r="F894" s="25">
        <v>10.1</v>
      </c>
      <c r="G894" s="26">
        <v>0.24490000000000001</v>
      </c>
      <c r="H894" s="27">
        <v>9.0749999999999997E-2</v>
      </c>
      <c r="I894" s="26">
        <v>2.6989999999999998</v>
      </c>
      <c r="J894" s="28">
        <v>6</v>
      </c>
      <c r="K894" s="27">
        <v>0.110054</v>
      </c>
      <c r="L894" s="29">
        <f t="shared" si="52"/>
        <v>0.95839416804604716</v>
      </c>
      <c r="M894" s="29">
        <f t="shared" si="53"/>
        <v>0.24000000000000019</v>
      </c>
      <c r="N894" s="30">
        <f t="shared" si="54"/>
        <v>1.4483304704244198</v>
      </c>
      <c r="O894" s="31">
        <f t="shared" si="55"/>
        <v>1.1809926614295305</v>
      </c>
    </row>
    <row r="895" spans="1:15" x14ac:dyDescent="0.25">
      <c r="A895" t="s">
        <v>6632</v>
      </c>
      <c r="B895" t="s">
        <v>1789</v>
      </c>
      <c r="C895" s="3" t="s">
        <v>1790</v>
      </c>
      <c r="D895" s="24">
        <v>3.5607E-2</v>
      </c>
      <c r="E895" s="25">
        <v>6.1669999999999998</v>
      </c>
      <c r="F895" s="25">
        <v>7.41</v>
      </c>
      <c r="G895" s="26">
        <v>-1.2430000000000001</v>
      </c>
      <c r="H895" s="27">
        <v>0.46050000000000002</v>
      </c>
      <c r="I895" s="26">
        <v>2.6989999999999998</v>
      </c>
      <c r="J895" s="28">
        <v>6</v>
      </c>
      <c r="K895" s="27">
        <v>0.110054</v>
      </c>
      <c r="L895" s="29">
        <f t="shared" si="52"/>
        <v>0.95839416804604716</v>
      </c>
      <c r="M895" s="29">
        <f t="shared" si="53"/>
        <v>-1.2430000000000005</v>
      </c>
      <c r="N895" s="30">
        <f t="shared" si="54"/>
        <v>1.4484646154392018</v>
      </c>
      <c r="O895" s="31">
        <f t="shared" si="55"/>
        <v>0.42249319220625664</v>
      </c>
    </row>
    <row r="896" spans="1:15" x14ac:dyDescent="0.25">
      <c r="A896" t="s">
        <v>6633</v>
      </c>
      <c r="B896" t="s">
        <v>1793</v>
      </c>
      <c r="C896" s="3" t="s">
        <v>1794</v>
      </c>
      <c r="D896" s="24">
        <v>3.5658000000000002E-2</v>
      </c>
      <c r="E896" s="25">
        <v>9.7780000000000005</v>
      </c>
      <c r="F896" s="25">
        <v>9.9920000000000009</v>
      </c>
      <c r="G896" s="26">
        <v>-0.2137</v>
      </c>
      <c r="H896" s="27">
        <v>7.9189999999999997E-2</v>
      </c>
      <c r="I896" s="26">
        <v>2.698</v>
      </c>
      <c r="J896" s="28">
        <v>6</v>
      </c>
      <c r="K896" s="27">
        <v>0.110056</v>
      </c>
      <c r="L896" s="29">
        <f t="shared" si="52"/>
        <v>0.95838627572889834</v>
      </c>
      <c r="M896" s="29">
        <f t="shared" si="53"/>
        <v>-0.21400000000000094</v>
      </c>
      <c r="N896" s="30">
        <f t="shared" si="54"/>
        <v>1.4478430193581466</v>
      </c>
      <c r="O896" s="31">
        <f t="shared" si="55"/>
        <v>0.86214354501759538</v>
      </c>
    </row>
    <row r="897" spans="1:15" x14ac:dyDescent="0.25">
      <c r="A897" t="s">
        <v>6634</v>
      </c>
      <c r="B897" t="s">
        <v>1795</v>
      </c>
      <c r="C897" s="3" t="s">
        <v>1796</v>
      </c>
      <c r="D897" s="24">
        <v>3.5751999999999999E-2</v>
      </c>
      <c r="E897" s="25">
        <v>8.673</v>
      </c>
      <c r="F897" s="25">
        <v>8.1859999999999999</v>
      </c>
      <c r="G897" s="26">
        <v>0.4864</v>
      </c>
      <c r="H897" s="27">
        <v>0.1804</v>
      </c>
      <c r="I897" s="26">
        <v>2.6960000000000002</v>
      </c>
      <c r="J897" s="28">
        <v>6</v>
      </c>
      <c r="K897" s="27">
        <v>0.110222</v>
      </c>
      <c r="L897" s="29">
        <f t="shared" si="52"/>
        <v>0.95773171287974235</v>
      </c>
      <c r="M897" s="29">
        <f t="shared" si="53"/>
        <v>0.48699999999999977</v>
      </c>
      <c r="N897" s="30">
        <f t="shared" si="54"/>
        <v>1.446699658347697</v>
      </c>
      <c r="O897" s="31">
        <f t="shared" si="55"/>
        <v>1.4015274490807457</v>
      </c>
    </row>
    <row r="898" spans="1:15" x14ac:dyDescent="0.25">
      <c r="A898" t="s">
        <v>6635</v>
      </c>
      <c r="B898" t="s">
        <v>1797</v>
      </c>
      <c r="C898" s="3" t="s">
        <v>1798</v>
      </c>
      <c r="D898" s="24">
        <v>3.5825999999999997E-2</v>
      </c>
      <c r="E898" s="25">
        <v>13.08</v>
      </c>
      <c r="F898" s="25">
        <v>12.75</v>
      </c>
      <c r="G898" s="26">
        <v>0.32819999999999999</v>
      </c>
      <c r="H898" s="27">
        <v>0.12180000000000001</v>
      </c>
      <c r="I898" s="26">
        <v>2.6949999999999998</v>
      </c>
      <c r="J898" s="28">
        <v>6</v>
      </c>
      <c r="K898" s="27">
        <v>0.110328</v>
      </c>
      <c r="L898" s="29">
        <f t="shared" ref="L898:L961" si="56">-LOG(K898,10)</f>
        <v>0.95731425453808416</v>
      </c>
      <c r="M898" s="29">
        <f t="shared" ref="M898:M961" si="57">LOG(O898,2)</f>
        <v>0.33000000000000107</v>
      </c>
      <c r="N898" s="30">
        <f t="shared" ref="N898:N961" si="58">-LOG(D898,10)</f>
        <v>1.4458016784345764</v>
      </c>
      <c r="O898" s="31">
        <f t="shared" ref="O898:O961" si="59">((2^E898)/(2^F898))</f>
        <v>1.2570133745218293</v>
      </c>
    </row>
    <row r="899" spans="1:15" x14ac:dyDescent="0.25">
      <c r="A899" t="s">
        <v>6636</v>
      </c>
      <c r="B899" t="s">
        <v>1799</v>
      </c>
      <c r="C899" s="3" t="s">
        <v>1800</v>
      </c>
      <c r="D899" s="24">
        <v>3.5991000000000002E-2</v>
      </c>
      <c r="E899" s="25">
        <v>10.130000000000001</v>
      </c>
      <c r="F899" s="25">
        <v>9.7040000000000006</v>
      </c>
      <c r="G899" s="26">
        <v>0.42349999999999999</v>
      </c>
      <c r="H899" s="27">
        <v>0.15740000000000001</v>
      </c>
      <c r="I899" s="26">
        <v>2.6909999999999998</v>
      </c>
      <c r="J899" s="28">
        <v>6</v>
      </c>
      <c r="K899" s="27">
        <v>0.11071400000000001</v>
      </c>
      <c r="L899" s="29">
        <f t="shared" si="56"/>
        <v>0.95579745826934581</v>
      </c>
      <c r="M899" s="29">
        <f t="shared" si="57"/>
        <v>0.42599999999999955</v>
      </c>
      <c r="N899" s="30">
        <f t="shared" si="58"/>
        <v>1.4438060864271534</v>
      </c>
      <c r="O899" s="31">
        <f t="shared" si="59"/>
        <v>1.3435034257212963</v>
      </c>
    </row>
    <row r="900" spans="1:15" x14ac:dyDescent="0.25">
      <c r="A900" t="s">
        <v>6637</v>
      </c>
      <c r="B900" t="s">
        <v>1801</v>
      </c>
      <c r="C900" s="3" t="s">
        <v>1802</v>
      </c>
      <c r="D900" s="24">
        <v>3.6038000000000001E-2</v>
      </c>
      <c r="E900" s="25">
        <v>11.41</v>
      </c>
      <c r="F900" s="25">
        <v>12.16</v>
      </c>
      <c r="G900" s="26">
        <v>-0.74960000000000004</v>
      </c>
      <c r="H900" s="27">
        <v>0.27860000000000001</v>
      </c>
      <c r="I900" s="26">
        <v>2.69</v>
      </c>
      <c r="J900" s="28">
        <v>6</v>
      </c>
      <c r="K900" s="27">
        <v>0.110735</v>
      </c>
      <c r="L900" s="29">
        <f t="shared" si="56"/>
        <v>0.95571509001166755</v>
      </c>
      <c r="M900" s="29">
        <f t="shared" si="57"/>
        <v>-0.75000000000000056</v>
      </c>
      <c r="N900" s="30">
        <f t="shared" si="58"/>
        <v>1.4432393190543893</v>
      </c>
      <c r="O900" s="31">
        <f t="shared" si="59"/>
        <v>0.59460355750136029</v>
      </c>
    </row>
    <row r="901" spans="1:15" x14ac:dyDescent="0.25">
      <c r="A901" t="s">
        <v>6638</v>
      </c>
      <c r="B901" t="s">
        <v>1803</v>
      </c>
      <c r="C901" s="3" t="s">
        <v>1804</v>
      </c>
      <c r="D901" s="24">
        <v>3.6129000000000001E-2</v>
      </c>
      <c r="E901" s="25">
        <v>8.9960000000000004</v>
      </c>
      <c r="F901" s="25">
        <v>8.3740000000000006</v>
      </c>
      <c r="G901" s="26">
        <v>0.62280000000000002</v>
      </c>
      <c r="H901" s="27">
        <v>0.23169999999999999</v>
      </c>
      <c r="I901" s="26">
        <v>2.6880000000000002</v>
      </c>
      <c r="J901" s="28">
        <v>6</v>
      </c>
      <c r="K901" s="27">
        <v>0.110889</v>
      </c>
      <c r="L901" s="29">
        <f t="shared" si="56"/>
        <v>0.95511153298736007</v>
      </c>
      <c r="M901" s="29">
        <f t="shared" si="57"/>
        <v>0.62200000000000044</v>
      </c>
      <c r="N901" s="30">
        <f t="shared" si="58"/>
        <v>1.4421440589271941</v>
      </c>
      <c r="O901" s="31">
        <f t="shared" si="59"/>
        <v>1.5390072201608629</v>
      </c>
    </row>
    <row r="902" spans="1:15" x14ac:dyDescent="0.25">
      <c r="A902" t="s">
        <v>6639</v>
      </c>
      <c r="B902" t="s">
        <v>1805</v>
      </c>
      <c r="C902" s="3" t="s">
        <v>1806</v>
      </c>
      <c r="D902" s="24">
        <v>3.6514999999999999E-2</v>
      </c>
      <c r="E902" s="25">
        <v>10.02</v>
      </c>
      <c r="F902" s="25">
        <v>9.5660000000000007</v>
      </c>
      <c r="G902" s="26">
        <v>0.4526</v>
      </c>
      <c r="H902" s="27">
        <v>0.16889999999999999</v>
      </c>
      <c r="I902" s="26">
        <v>2.68</v>
      </c>
      <c r="J902" s="28">
        <v>6</v>
      </c>
      <c r="K902" s="27">
        <v>0.11195099999999999</v>
      </c>
      <c r="L902" s="29">
        <f t="shared" si="56"/>
        <v>0.9509720227411167</v>
      </c>
      <c r="M902" s="29">
        <f t="shared" si="57"/>
        <v>0.45399999999999879</v>
      </c>
      <c r="N902" s="30">
        <f t="shared" si="58"/>
        <v>1.437528695022531</v>
      </c>
      <c r="O902" s="31">
        <f t="shared" si="59"/>
        <v>1.3698329799655646</v>
      </c>
    </row>
    <row r="903" spans="1:15" x14ac:dyDescent="0.25">
      <c r="A903" t="s">
        <v>6640</v>
      </c>
      <c r="B903" t="s">
        <v>1807</v>
      </c>
      <c r="C903" s="3" t="s">
        <v>1808</v>
      </c>
      <c r="D903" s="24">
        <v>3.6818999999999998E-2</v>
      </c>
      <c r="E903" s="25">
        <v>10.47</v>
      </c>
      <c r="F903" s="25">
        <v>10.86</v>
      </c>
      <c r="G903" s="26">
        <v>-0.3861</v>
      </c>
      <c r="H903" s="27">
        <v>0.1444</v>
      </c>
      <c r="I903" s="26">
        <v>2.6739999999999999</v>
      </c>
      <c r="J903" s="28">
        <v>6</v>
      </c>
      <c r="K903" s="27">
        <v>0.112758</v>
      </c>
      <c r="L903" s="29">
        <f t="shared" si="56"/>
        <v>0.94785263585707669</v>
      </c>
      <c r="M903" s="29">
        <f t="shared" si="57"/>
        <v>-0.38999999999999857</v>
      </c>
      <c r="N903" s="30">
        <f t="shared" si="58"/>
        <v>1.4339280110623014</v>
      </c>
      <c r="O903" s="31">
        <f t="shared" si="59"/>
        <v>0.76312960448028033</v>
      </c>
    </row>
    <row r="904" spans="1:15" x14ac:dyDescent="0.25">
      <c r="A904" t="s">
        <v>6641</v>
      </c>
      <c r="B904" t="s">
        <v>1809</v>
      </c>
      <c r="C904" s="3" t="s">
        <v>1810</v>
      </c>
      <c r="D904" s="24">
        <v>3.7079000000000001E-2</v>
      </c>
      <c r="E904" s="25">
        <v>10.039999999999999</v>
      </c>
      <c r="F904" s="25">
        <v>9.4380000000000006</v>
      </c>
      <c r="G904" s="26">
        <v>0.5998</v>
      </c>
      <c r="H904" s="27">
        <v>0.22470000000000001</v>
      </c>
      <c r="I904" s="26">
        <v>2.669</v>
      </c>
      <c r="J904" s="28">
        <v>6</v>
      </c>
      <c r="K904" s="27">
        <v>0.113427</v>
      </c>
      <c r="L904" s="29">
        <f t="shared" si="56"/>
        <v>0.94528355430302058</v>
      </c>
      <c r="M904" s="29">
        <f t="shared" si="57"/>
        <v>0.60199999999999865</v>
      </c>
      <c r="N904" s="30">
        <f t="shared" si="58"/>
        <v>1.4308719870501452</v>
      </c>
      <c r="O904" s="31">
        <f t="shared" si="59"/>
        <v>1.5178192529740526</v>
      </c>
    </row>
    <row r="905" spans="1:15" x14ac:dyDescent="0.25">
      <c r="A905" t="s">
        <v>6642</v>
      </c>
      <c r="B905" t="s">
        <v>1813</v>
      </c>
      <c r="C905" s="3" t="s">
        <v>1814</v>
      </c>
      <c r="D905" s="24">
        <v>3.7227000000000003E-2</v>
      </c>
      <c r="E905" s="25">
        <v>11.96</v>
      </c>
      <c r="F905" s="25">
        <v>11.72</v>
      </c>
      <c r="G905" s="26">
        <v>0.2379</v>
      </c>
      <c r="H905" s="27">
        <v>8.924E-2</v>
      </c>
      <c r="I905" s="26">
        <v>2.6659999999999999</v>
      </c>
      <c r="J905" s="28">
        <v>6</v>
      </c>
      <c r="K905" s="27">
        <v>0.113523</v>
      </c>
      <c r="L905" s="29">
        <f t="shared" si="56"/>
        <v>0.9449161405753328</v>
      </c>
      <c r="M905" s="29">
        <f t="shared" si="57"/>
        <v>0.23999999999999905</v>
      </c>
      <c r="N905" s="30">
        <f t="shared" si="58"/>
        <v>1.429141960717998</v>
      </c>
      <c r="O905" s="31">
        <f t="shared" si="59"/>
        <v>1.1809926614295296</v>
      </c>
    </row>
    <row r="906" spans="1:15" x14ac:dyDescent="0.25">
      <c r="A906" t="s">
        <v>6643</v>
      </c>
      <c r="B906" t="s">
        <v>1815</v>
      </c>
      <c r="C906" s="3" t="s">
        <v>1816</v>
      </c>
      <c r="D906" s="24">
        <v>3.7234000000000003E-2</v>
      </c>
      <c r="E906" s="25">
        <v>8.8960000000000008</v>
      </c>
      <c r="F906" s="25">
        <v>9.3859999999999992</v>
      </c>
      <c r="G906" s="26">
        <v>-0.49009999999999998</v>
      </c>
      <c r="H906" s="27">
        <v>0.18390000000000001</v>
      </c>
      <c r="I906" s="26">
        <v>2.6659999999999999</v>
      </c>
      <c r="J906" s="28">
        <v>6</v>
      </c>
      <c r="K906" s="27">
        <v>0.113523</v>
      </c>
      <c r="L906" s="29">
        <f t="shared" si="56"/>
        <v>0.9449161405753328</v>
      </c>
      <c r="M906" s="29">
        <f t="shared" si="57"/>
        <v>-0.48999999999999849</v>
      </c>
      <c r="N906" s="30">
        <f t="shared" si="58"/>
        <v>1.4290603055862572</v>
      </c>
      <c r="O906" s="31">
        <f t="shared" si="59"/>
        <v>0.71202509779853662</v>
      </c>
    </row>
    <row r="907" spans="1:15" x14ac:dyDescent="0.25">
      <c r="A907" t="s">
        <v>6644</v>
      </c>
      <c r="B907" t="s">
        <v>1811</v>
      </c>
      <c r="C907" s="3" t="s">
        <v>1812</v>
      </c>
      <c r="D907" s="24">
        <v>3.7155000000000001E-2</v>
      </c>
      <c r="E907" s="25">
        <v>8.2609999999999992</v>
      </c>
      <c r="F907" s="25">
        <v>9.0640000000000001</v>
      </c>
      <c r="G907" s="26">
        <v>-0.80369999999999997</v>
      </c>
      <c r="H907" s="27">
        <v>0.30130000000000001</v>
      </c>
      <c r="I907" s="26">
        <v>2.6669999999999998</v>
      </c>
      <c r="J907" s="28">
        <v>6</v>
      </c>
      <c r="K907" s="27">
        <v>0.113523</v>
      </c>
      <c r="L907" s="29">
        <f t="shared" si="56"/>
        <v>0.9449161405753328</v>
      </c>
      <c r="M907" s="29">
        <f t="shared" si="57"/>
        <v>-0.80300000000000127</v>
      </c>
      <c r="N907" s="30">
        <f t="shared" si="58"/>
        <v>1.4299827343584817</v>
      </c>
      <c r="O907" s="31">
        <f t="shared" si="59"/>
        <v>0.57315609286418845</v>
      </c>
    </row>
    <row r="908" spans="1:15" x14ac:dyDescent="0.25">
      <c r="A908" t="s">
        <v>6645</v>
      </c>
      <c r="B908" t="s">
        <v>1817</v>
      </c>
      <c r="C908" s="3" t="s">
        <v>1818</v>
      </c>
      <c r="D908" s="24">
        <v>3.7398000000000001E-2</v>
      </c>
      <c r="E908" s="25">
        <v>9.1639999999999997</v>
      </c>
      <c r="F908" s="25">
        <v>9.5269999999999992</v>
      </c>
      <c r="G908" s="26">
        <v>-0.36309999999999998</v>
      </c>
      <c r="H908" s="27">
        <v>0.13639999999999999</v>
      </c>
      <c r="I908" s="26">
        <v>2.6629999999999998</v>
      </c>
      <c r="J908" s="28">
        <v>6</v>
      </c>
      <c r="K908" s="27">
        <v>0.11386300000000001</v>
      </c>
      <c r="L908" s="29">
        <f t="shared" si="56"/>
        <v>0.94361737782043353</v>
      </c>
      <c r="M908" s="29">
        <f t="shared" si="57"/>
        <v>-0.36299999999999844</v>
      </c>
      <c r="N908" s="30">
        <f t="shared" si="58"/>
        <v>1.4271516227243575</v>
      </c>
      <c r="O908" s="31">
        <f t="shared" si="59"/>
        <v>0.77754603588255922</v>
      </c>
    </row>
    <row r="909" spans="1:15" x14ac:dyDescent="0.25">
      <c r="A909" t="s">
        <v>6646</v>
      </c>
      <c r="B909" t="s">
        <v>1819</v>
      </c>
      <c r="C909" s="3" t="s">
        <v>1820</v>
      </c>
      <c r="D909" s="24">
        <v>3.7427000000000002E-2</v>
      </c>
      <c r="E909" s="25">
        <v>10.99</v>
      </c>
      <c r="F909" s="25">
        <v>11.3</v>
      </c>
      <c r="G909" s="26">
        <v>-0.31259999999999999</v>
      </c>
      <c r="H909" s="27">
        <v>0.11749999999999999</v>
      </c>
      <c r="I909" s="26">
        <v>2.6619999999999999</v>
      </c>
      <c r="J909" s="28">
        <v>6</v>
      </c>
      <c r="K909" s="27">
        <v>0.11386300000000001</v>
      </c>
      <c r="L909" s="29">
        <f t="shared" si="56"/>
        <v>0.94361737782043353</v>
      </c>
      <c r="M909" s="29">
        <f t="shared" si="57"/>
        <v>-0.31000000000000033</v>
      </c>
      <c r="N909" s="30">
        <f t="shared" si="58"/>
        <v>1.4268149828150809</v>
      </c>
      <c r="O909" s="31">
        <f t="shared" si="59"/>
        <v>0.80664175922212611</v>
      </c>
    </row>
    <row r="910" spans="1:15" x14ac:dyDescent="0.25">
      <c r="A910" t="s">
        <v>6647</v>
      </c>
      <c r="B910" t="s">
        <v>1833</v>
      </c>
      <c r="C910" s="3" t="s">
        <v>1834</v>
      </c>
      <c r="D910" s="24">
        <v>3.7747999999999997E-2</v>
      </c>
      <c r="E910" s="25">
        <v>11.66</v>
      </c>
      <c r="F910" s="25">
        <v>11.41</v>
      </c>
      <c r="G910" s="26">
        <v>0.25269999999999998</v>
      </c>
      <c r="H910" s="27">
        <v>9.5159999999999995E-2</v>
      </c>
      <c r="I910" s="26">
        <v>2.6560000000000001</v>
      </c>
      <c r="J910" s="28">
        <v>6</v>
      </c>
      <c r="K910" s="27">
        <v>0.113914</v>
      </c>
      <c r="L910" s="29">
        <f t="shared" si="56"/>
        <v>0.94342289796559997</v>
      </c>
      <c r="M910" s="29">
        <f t="shared" si="57"/>
        <v>0.24999999999999944</v>
      </c>
      <c r="N910" s="30">
        <f t="shared" si="58"/>
        <v>1.4231060536234974</v>
      </c>
      <c r="O910" s="31">
        <f t="shared" si="59"/>
        <v>1.1892071150027206</v>
      </c>
    </row>
    <row r="911" spans="1:15" x14ac:dyDescent="0.25">
      <c r="A911" t="s">
        <v>6648</v>
      </c>
      <c r="B911" t="s">
        <v>1825</v>
      </c>
      <c r="C911" s="3" t="s">
        <v>1826</v>
      </c>
      <c r="D911" s="24">
        <v>3.7606000000000001E-2</v>
      </c>
      <c r="E911" s="25">
        <v>9.0449999999999999</v>
      </c>
      <c r="F911" s="25">
        <v>8.7669999999999995</v>
      </c>
      <c r="G911" s="26">
        <v>0.27739999999999998</v>
      </c>
      <c r="H911" s="27">
        <v>0.10440000000000001</v>
      </c>
      <c r="I911" s="26">
        <v>2.6579999999999999</v>
      </c>
      <c r="J911" s="28">
        <v>6</v>
      </c>
      <c r="K911" s="27">
        <v>0.113914</v>
      </c>
      <c r="L911" s="29">
        <f t="shared" si="56"/>
        <v>0.94342289796559997</v>
      </c>
      <c r="M911" s="29">
        <f t="shared" si="57"/>
        <v>0.27800000000000108</v>
      </c>
      <c r="N911" s="30">
        <f t="shared" si="58"/>
        <v>1.4247428582902484</v>
      </c>
      <c r="O911" s="31">
        <f t="shared" si="59"/>
        <v>1.212512819061738</v>
      </c>
    </row>
    <row r="912" spans="1:15" x14ac:dyDescent="0.25">
      <c r="A912" t="s">
        <v>6649</v>
      </c>
      <c r="B912" t="s">
        <v>1831</v>
      </c>
      <c r="C912" s="3" t="s">
        <v>1832</v>
      </c>
      <c r="D912" s="24">
        <v>3.7708999999999999E-2</v>
      </c>
      <c r="E912" s="25">
        <v>8.6349999999999998</v>
      </c>
      <c r="F912" s="25">
        <v>8.1649999999999991</v>
      </c>
      <c r="G912" s="26">
        <v>0.47049999999999997</v>
      </c>
      <c r="H912" s="27">
        <v>0.17710000000000001</v>
      </c>
      <c r="I912" s="26">
        <v>2.6560000000000001</v>
      </c>
      <c r="J912" s="28">
        <v>6</v>
      </c>
      <c r="K912" s="27">
        <v>0.113914</v>
      </c>
      <c r="L912" s="29">
        <f t="shared" si="56"/>
        <v>0.94342289796559997</v>
      </c>
      <c r="M912" s="29">
        <f t="shared" si="57"/>
        <v>0.47000000000000014</v>
      </c>
      <c r="N912" s="30">
        <f t="shared" si="58"/>
        <v>1.4235549844397881</v>
      </c>
      <c r="O912" s="31">
        <f t="shared" si="59"/>
        <v>1.3851094681109248</v>
      </c>
    </row>
    <row r="913" spans="1:15" x14ac:dyDescent="0.25">
      <c r="A913" t="s">
        <v>6650</v>
      </c>
      <c r="B913" t="s">
        <v>1837</v>
      </c>
      <c r="C913" s="3" t="s">
        <v>1838</v>
      </c>
      <c r="D913" s="24">
        <v>3.7848E-2</v>
      </c>
      <c r="E913" s="25">
        <v>8.6020000000000003</v>
      </c>
      <c r="F913" s="25">
        <v>8.1300000000000008</v>
      </c>
      <c r="G913" s="26">
        <v>0.47270000000000001</v>
      </c>
      <c r="H913" s="27">
        <v>0.17810000000000001</v>
      </c>
      <c r="I913" s="26">
        <v>2.6539999999999999</v>
      </c>
      <c r="J913" s="28">
        <v>6</v>
      </c>
      <c r="K913" s="27">
        <v>0.113914</v>
      </c>
      <c r="L913" s="29">
        <f t="shared" si="56"/>
        <v>0.94342289796559997</v>
      </c>
      <c r="M913" s="29">
        <f t="shared" si="57"/>
        <v>0.47199999999999953</v>
      </c>
      <c r="N913" s="30">
        <f t="shared" si="58"/>
        <v>1.421957064959491</v>
      </c>
      <c r="O913" s="31">
        <f t="shared" si="59"/>
        <v>1.3870309691313847</v>
      </c>
    </row>
    <row r="914" spans="1:15" x14ac:dyDescent="0.25">
      <c r="A914" t="s">
        <v>6651</v>
      </c>
      <c r="B914" t="s">
        <v>1829</v>
      </c>
      <c r="C914" s="3" t="s">
        <v>1830</v>
      </c>
      <c r="D914" s="24">
        <v>3.7673999999999999E-2</v>
      </c>
      <c r="E914" s="25">
        <v>9.4149999999999991</v>
      </c>
      <c r="F914" s="25">
        <v>9.1370000000000005</v>
      </c>
      <c r="G914" s="26">
        <v>0.2782</v>
      </c>
      <c r="H914" s="27">
        <v>0.1047</v>
      </c>
      <c r="I914" s="26">
        <v>2.657</v>
      </c>
      <c r="J914" s="28">
        <v>6</v>
      </c>
      <c r="K914" s="27">
        <v>0.113914</v>
      </c>
      <c r="L914" s="29">
        <f t="shared" si="56"/>
        <v>0.94342289796559997</v>
      </c>
      <c r="M914" s="29">
        <f t="shared" si="57"/>
        <v>0.27799999999999869</v>
      </c>
      <c r="N914" s="30">
        <f t="shared" si="58"/>
        <v>1.4239582665580073</v>
      </c>
      <c r="O914" s="31">
        <f t="shared" si="59"/>
        <v>1.212512819061736</v>
      </c>
    </row>
    <row r="915" spans="1:15" x14ac:dyDescent="0.25">
      <c r="A915" t="s">
        <v>6652</v>
      </c>
      <c r="B915" t="s">
        <v>1823</v>
      </c>
      <c r="C915" s="3" t="s">
        <v>1824</v>
      </c>
      <c r="D915" s="24">
        <v>3.7567000000000003E-2</v>
      </c>
      <c r="E915" s="25">
        <v>10.23</v>
      </c>
      <c r="F915" s="25">
        <v>10.51</v>
      </c>
      <c r="G915" s="26">
        <v>-0.27729999999999999</v>
      </c>
      <c r="H915" s="27">
        <v>0.1043</v>
      </c>
      <c r="I915" s="26">
        <v>2.6589999999999998</v>
      </c>
      <c r="J915" s="28">
        <v>6</v>
      </c>
      <c r="K915" s="27">
        <v>0.113914</v>
      </c>
      <c r="L915" s="29">
        <f t="shared" si="56"/>
        <v>0.94342289796559997</v>
      </c>
      <c r="M915" s="29">
        <f t="shared" si="57"/>
        <v>-0.27999999999999908</v>
      </c>
      <c r="N915" s="30">
        <f t="shared" si="58"/>
        <v>1.4251934851460035</v>
      </c>
      <c r="O915" s="31">
        <f t="shared" si="59"/>
        <v>0.82359101726757367</v>
      </c>
    </row>
    <row r="916" spans="1:15" x14ac:dyDescent="0.25">
      <c r="A916" t="s">
        <v>6653</v>
      </c>
      <c r="B916" t="s">
        <v>1821</v>
      </c>
      <c r="C916" s="3" t="s">
        <v>1822</v>
      </c>
      <c r="D916" s="24">
        <v>3.7497000000000003E-2</v>
      </c>
      <c r="E916" s="25">
        <v>11.61</v>
      </c>
      <c r="F916" s="25">
        <v>11.82</v>
      </c>
      <c r="G916" s="26">
        <v>-0.21970000000000001</v>
      </c>
      <c r="H916" s="27">
        <v>8.2589999999999997E-2</v>
      </c>
      <c r="I916" s="26">
        <v>2.661</v>
      </c>
      <c r="J916" s="28">
        <v>6</v>
      </c>
      <c r="K916" s="27">
        <v>0.113914</v>
      </c>
      <c r="L916" s="29">
        <f t="shared" si="56"/>
        <v>0.94342289796559997</v>
      </c>
      <c r="M916" s="29">
        <f t="shared" si="57"/>
        <v>-0.21000000000000166</v>
      </c>
      <c r="N916" s="30">
        <f t="shared" si="58"/>
        <v>1.4260034772206498</v>
      </c>
      <c r="O916" s="31">
        <f t="shared" si="59"/>
        <v>0.8645372313078642</v>
      </c>
    </row>
    <row r="917" spans="1:15" x14ac:dyDescent="0.25">
      <c r="A917" t="s">
        <v>6654</v>
      </c>
      <c r="B917" t="s">
        <v>1839</v>
      </c>
      <c r="C917" s="3" t="s">
        <v>1840</v>
      </c>
      <c r="D917" s="24">
        <v>3.7856000000000001E-2</v>
      </c>
      <c r="E917" s="25">
        <v>10.14</v>
      </c>
      <c r="F917" s="25">
        <v>10.28</v>
      </c>
      <c r="G917" s="26">
        <v>-0.14549999999999999</v>
      </c>
      <c r="H917" s="27">
        <v>5.4850000000000003E-2</v>
      </c>
      <c r="I917" s="26">
        <v>2.653</v>
      </c>
      <c r="J917" s="28">
        <v>6</v>
      </c>
      <c r="K917" s="27">
        <v>0.113914</v>
      </c>
      <c r="L917" s="29">
        <f t="shared" si="56"/>
        <v>0.94342289796559997</v>
      </c>
      <c r="M917" s="29">
        <f t="shared" si="57"/>
        <v>-0.1399999999999991</v>
      </c>
      <c r="N917" s="30">
        <f t="shared" si="58"/>
        <v>1.4218652770521634</v>
      </c>
      <c r="O917" s="31">
        <f t="shared" si="59"/>
        <v>0.90751915531716143</v>
      </c>
    </row>
    <row r="918" spans="1:15" x14ac:dyDescent="0.25">
      <c r="A918" t="s">
        <v>6655</v>
      </c>
      <c r="B918" t="s">
        <v>1827</v>
      </c>
      <c r="C918" s="3" t="s">
        <v>1828</v>
      </c>
      <c r="D918" s="24">
        <v>3.7645999999999999E-2</v>
      </c>
      <c r="E918" s="25">
        <v>9.8409999999999993</v>
      </c>
      <c r="F918" s="25">
        <v>10.14</v>
      </c>
      <c r="G918" s="26">
        <v>-0.29389999999999999</v>
      </c>
      <c r="H918" s="27">
        <v>0.1106</v>
      </c>
      <c r="I918" s="26">
        <v>2.6579999999999999</v>
      </c>
      <c r="J918" s="28">
        <v>6</v>
      </c>
      <c r="K918" s="27">
        <v>0.113914</v>
      </c>
      <c r="L918" s="29">
        <f t="shared" si="56"/>
        <v>0.94342289796559997</v>
      </c>
      <c r="M918" s="29">
        <f t="shared" si="57"/>
        <v>-0.29900000000000077</v>
      </c>
      <c r="N918" s="30">
        <f t="shared" si="58"/>
        <v>1.4242811620984601</v>
      </c>
      <c r="O918" s="31">
        <f t="shared" si="59"/>
        <v>0.81281560198431957</v>
      </c>
    </row>
    <row r="919" spans="1:15" x14ac:dyDescent="0.25">
      <c r="A919" t="s">
        <v>6656</v>
      </c>
      <c r="B919" t="s">
        <v>1835</v>
      </c>
      <c r="C919" s="3" t="s">
        <v>1836</v>
      </c>
      <c r="D919" s="24">
        <v>3.7838999999999998E-2</v>
      </c>
      <c r="E919" s="25">
        <v>9.4019999999999992</v>
      </c>
      <c r="F919" s="25">
        <v>8.9250000000000007</v>
      </c>
      <c r="G919" s="26">
        <v>0.47699999999999998</v>
      </c>
      <c r="H919" s="27">
        <v>0.17979999999999999</v>
      </c>
      <c r="I919" s="26">
        <v>2.6539999999999999</v>
      </c>
      <c r="J919" s="28">
        <v>6</v>
      </c>
      <c r="K919" s="27">
        <v>0.113914</v>
      </c>
      <c r="L919" s="29">
        <f t="shared" si="56"/>
        <v>0.94342289796559997</v>
      </c>
      <c r="M919" s="29">
        <f t="shared" si="57"/>
        <v>0.47699999999999942</v>
      </c>
      <c r="N919" s="30">
        <f t="shared" si="58"/>
        <v>1.4220603495488009</v>
      </c>
      <c r="O919" s="31">
        <f t="shared" si="59"/>
        <v>1.3918463918311006</v>
      </c>
    </row>
    <row r="920" spans="1:15" x14ac:dyDescent="0.25">
      <c r="A920" t="s">
        <v>6657</v>
      </c>
      <c r="B920" t="s">
        <v>1843</v>
      </c>
      <c r="C920" s="3" t="s">
        <v>1844</v>
      </c>
      <c r="D920" s="24">
        <v>3.7981000000000001E-2</v>
      </c>
      <c r="E920" s="25">
        <v>9.2759999999999998</v>
      </c>
      <c r="F920" s="25">
        <v>10.09</v>
      </c>
      <c r="G920" s="26">
        <v>-0.81299999999999994</v>
      </c>
      <c r="H920" s="27">
        <v>0.30669999999999997</v>
      </c>
      <c r="I920" s="26">
        <v>2.6509999999999998</v>
      </c>
      <c r="J920" s="28">
        <v>6</v>
      </c>
      <c r="K920" s="27">
        <v>0.11404</v>
      </c>
      <c r="L920" s="29">
        <f t="shared" si="56"/>
        <v>0.94294279136257764</v>
      </c>
      <c r="M920" s="29">
        <f t="shared" si="57"/>
        <v>-0.81399999999999961</v>
      </c>
      <c r="N920" s="30">
        <f t="shared" si="58"/>
        <v>1.420433604929054</v>
      </c>
      <c r="O920" s="31">
        <f t="shared" si="59"/>
        <v>0.56880261393625253</v>
      </c>
    </row>
    <row r="921" spans="1:15" x14ac:dyDescent="0.25">
      <c r="A921" t="s">
        <v>6658</v>
      </c>
      <c r="B921" t="s">
        <v>1841</v>
      </c>
      <c r="C921" s="3" t="s">
        <v>1842</v>
      </c>
      <c r="D921" s="24">
        <v>3.7941000000000003E-2</v>
      </c>
      <c r="E921" s="25">
        <v>7.1660000000000004</v>
      </c>
      <c r="F921" s="25">
        <v>8.0779999999999994</v>
      </c>
      <c r="G921" s="26">
        <v>-0.91239999999999999</v>
      </c>
      <c r="H921" s="27">
        <v>0.34410000000000002</v>
      </c>
      <c r="I921" s="26">
        <v>2.6520000000000001</v>
      </c>
      <c r="J921" s="28">
        <v>6</v>
      </c>
      <c r="K921" s="27">
        <v>0.11404</v>
      </c>
      <c r="L921" s="29">
        <f t="shared" si="56"/>
        <v>0.94294279136257764</v>
      </c>
      <c r="M921" s="29">
        <f t="shared" si="57"/>
        <v>-0.9119999999999987</v>
      </c>
      <c r="N921" s="30">
        <f t="shared" si="58"/>
        <v>1.4208912267220382</v>
      </c>
      <c r="O921" s="31">
        <f t="shared" si="59"/>
        <v>0.53144783717927713</v>
      </c>
    </row>
    <row r="922" spans="1:15" x14ac:dyDescent="0.25">
      <c r="A922" t="s">
        <v>6659</v>
      </c>
      <c r="B922" t="s">
        <v>1845</v>
      </c>
      <c r="C922" s="3" t="s">
        <v>1846</v>
      </c>
      <c r="D922" s="24">
        <v>3.8052000000000002E-2</v>
      </c>
      <c r="E922" s="25">
        <v>9.8659999999999997</v>
      </c>
      <c r="F922" s="25">
        <v>9.4979999999999993</v>
      </c>
      <c r="G922" s="26">
        <v>0.36780000000000002</v>
      </c>
      <c r="H922" s="27">
        <v>0.13880000000000001</v>
      </c>
      <c r="I922" s="26">
        <v>2.65</v>
      </c>
      <c r="J922" s="28">
        <v>6</v>
      </c>
      <c r="K922" s="27">
        <v>0.11412799999999999</v>
      </c>
      <c r="L922" s="29">
        <f t="shared" si="56"/>
        <v>0.94260779332339195</v>
      </c>
      <c r="M922" s="29">
        <f t="shared" si="57"/>
        <v>0.36800000000000055</v>
      </c>
      <c r="N922" s="30">
        <f t="shared" si="58"/>
        <v>1.4196225119252863</v>
      </c>
      <c r="O922" s="31">
        <f t="shared" si="59"/>
        <v>1.2905624904517794</v>
      </c>
    </row>
    <row r="923" spans="1:15" x14ac:dyDescent="0.25">
      <c r="A923" t="s">
        <v>6660</v>
      </c>
      <c r="B923" t="s">
        <v>1849</v>
      </c>
      <c r="C923" s="3" t="s">
        <v>1850</v>
      </c>
      <c r="D923" s="24">
        <v>3.8256999999999999E-2</v>
      </c>
      <c r="E923" s="25">
        <v>8.9410000000000007</v>
      </c>
      <c r="F923" s="25">
        <v>9.08</v>
      </c>
      <c r="G923" s="26">
        <v>-0.13880000000000001</v>
      </c>
      <c r="H923" s="27">
        <v>5.2479999999999999E-2</v>
      </c>
      <c r="I923" s="26">
        <v>2.6459999999999999</v>
      </c>
      <c r="J923" s="28">
        <v>6</v>
      </c>
      <c r="K923" s="27">
        <v>0.114496</v>
      </c>
      <c r="L923" s="29">
        <f t="shared" si="56"/>
        <v>0.94120968544873962</v>
      </c>
      <c r="M923" s="29">
        <f t="shared" si="57"/>
        <v>-0.13899999999999998</v>
      </c>
      <c r="N923" s="30">
        <f t="shared" si="58"/>
        <v>1.4172890890533254</v>
      </c>
      <c r="O923" s="31">
        <f t="shared" si="59"/>
        <v>0.90814841772150956</v>
      </c>
    </row>
    <row r="924" spans="1:15" x14ac:dyDescent="0.25">
      <c r="A924" t="s">
        <v>6661</v>
      </c>
      <c r="B924" t="s">
        <v>1847</v>
      </c>
      <c r="C924" s="3" t="s">
        <v>1848</v>
      </c>
      <c r="D924" s="24">
        <v>3.8238000000000001E-2</v>
      </c>
      <c r="E924" s="25">
        <v>7.9619999999999997</v>
      </c>
      <c r="F924" s="25">
        <v>7.5220000000000002</v>
      </c>
      <c r="G924" s="26">
        <v>0.43990000000000001</v>
      </c>
      <c r="H924" s="27">
        <v>0.1663</v>
      </c>
      <c r="I924" s="26">
        <v>2.6459999999999999</v>
      </c>
      <c r="J924" s="28">
        <v>6</v>
      </c>
      <c r="K924" s="27">
        <v>0.114496</v>
      </c>
      <c r="L924" s="29">
        <f t="shared" si="56"/>
        <v>0.94120968544873962</v>
      </c>
      <c r="M924" s="29">
        <f t="shared" si="57"/>
        <v>0.43999999999999895</v>
      </c>
      <c r="N924" s="30">
        <f t="shared" si="58"/>
        <v>1.4175048311364904</v>
      </c>
      <c r="O924" s="31">
        <f t="shared" si="59"/>
        <v>1.3566043274476709</v>
      </c>
    </row>
    <row r="925" spans="1:15" x14ac:dyDescent="0.25">
      <c r="A925" t="s">
        <v>6662</v>
      </c>
      <c r="B925" t="s">
        <v>1851</v>
      </c>
      <c r="C925" s="3" t="s">
        <v>1852</v>
      </c>
      <c r="D925" s="24">
        <v>3.8327E-2</v>
      </c>
      <c r="E925" s="25">
        <v>8.6549999999999994</v>
      </c>
      <c r="F925" s="25">
        <v>8.4589999999999996</v>
      </c>
      <c r="G925" s="26">
        <v>0.1953</v>
      </c>
      <c r="H925" s="27">
        <v>7.3870000000000005E-2</v>
      </c>
      <c r="I925" s="26">
        <v>2.6440000000000001</v>
      </c>
      <c r="J925" s="28">
        <v>6</v>
      </c>
      <c r="K925" s="27">
        <v>0.11458</v>
      </c>
      <c r="L925" s="29">
        <f t="shared" si="56"/>
        <v>0.94089118208640621</v>
      </c>
      <c r="M925" s="29">
        <f t="shared" si="57"/>
        <v>0.19599999999999967</v>
      </c>
      <c r="N925" s="30">
        <f t="shared" si="58"/>
        <v>1.4164951732954834</v>
      </c>
      <c r="O925" s="31">
        <f t="shared" si="59"/>
        <v>1.1455178979797567</v>
      </c>
    </row>
    <row r="926" spans="1:15" x14ac:dyDescent="0.25">
      <c r="A926" t="s">
        <v>6663</v>
      </c>
      <c r="B926" t="s">
        <v>1853</v>
      </c>
      <c r="C926" s="3" t="s">
        <v>1854</v>
      </c>
      <c r="D926" s="24">
        <v>3.8455999999999997E-2</v>
      </c>
      <c r="E926" s="25">
        <v>9.4990000000000006</v>
      </c>
      <c r="F926" s="25">
        <v>9.9969999999999999</v>
      </c>
      <c r="G926" s="26">
        <v>-0.4985</v>
      </c>
      <c r="H926" s="27">
        <v>0.18870000000000001</v>
      </c>
      <c r="I926" s="26">
        <v>2.6419999999999999</v>
      </c>
      <c r="J926" s="28">
        <v>6</v>
      </c>
      <c r="K926" s="27">
        <v>0.114844</v>
      </c>
      <c r="L926" s="29">
        <f t="shared" si="56"/>
        <v>0.93989168949776725</v>
      </c>
      <c r="M926" s="29">
        <f t="shared" si="57"/>
        <v>-0.49799999999999922</v>
      </c>
      <c r="N926" s="30">
        <f t="shared" si="58"/>
        <v>1.4150358908794094</v>
      </c>
      <c r="O926" s="31">
        <f t="shared" si="59"/>
        <v>0.70808771910727231</v>
      </c>
    </row>
    <row r="927" spans="1:15" x14ac:dyDescent="0.25">
      <c r="A927" t="s">
        <v>6664</v>
      </c>
      <c r="B927" t="s">
        <v>1855</v>
      </c>
      <c r="C927" s="3" t="s">
        <v>1856</v>
      </c>
      <c r="D927" s="24">
        <v>3.8503999999999997E-2</v>
      </c>
      <c r="E927" s="25">
        <v>9.8219999999999992</v>
      </c>
      <c r="F927" s="25">
        <v>9.5649999999999995</v>
      </c>
      <c r="G927" s="26">
        <v>0.25679999999999997</v>
      </c>
      <c r="H927" s="27">
        <v>9.7239999999999993E-2</v>
      </c>
      <c r="I927" s="26">
        <v>2.641</v>
      </c>
      <c r="J927" s="28">
        <v>6</v>
      </c>
      <c r="K927" s="27">
        <v>0.114861</v>
      </c>
      <c r="L927" s="29">
        <f t="shared" si="56"/>
        <v>0.93982740699450584</v>
      </c>
      <c r="M927" s="29">
        <f t="shared" si="57"/>
        <v>0.25699999999999984</v>
      </c>
      <c r="N927" s="30">
        <f t="shared" si="58"/>
        <v>1.4144941513306979</v>
      </c>
      <c r="O927" s="31">
        <f t="shared" si="59"/>
        <v>1.1949912048567821</v>
      </c>
    </row>
    <row r="928" spans="1:15" x14ac:dyDescent="0.25">
      <c r="A928" t="s">
        <v>6665</v>
      </c>
      <c r="B928" t="s">
        <v>1857</v>
      </c>
      <c r="C928" s="3" t="s">
        <v>1858</v>
      </c>
      <c r="D928" s="24">
        <v>3.8711000000000002E-2</v>
      </c>
      <c r="E928" s="25">
        <v>9.4659999999999993</v>
      </c>
      <c r="F928" s="25">
        <v>9.1620000000000008</v>
      </c>
      <c r="G928" s="26">
        <v>0.30380000000000001</v>
      </c>
      <c r="H928" s="27">
        <v>0.1152</v>
      </c>
      <c r="I928" s="26">
        <v>2.637</v>
      </c>
      <c r="J928" s="28">
        <v>6</v>
      </c>
      <c r="K928" s="27">
        <v>0.115353</v>
      </c>
      <c r="L928" s="29">
        <f t="shared" si="56"/>
        <v>0.93797110624472169</v>
      </c>
      <c r="M928" s="29">
        <f t="shared" si="57"/>
        <v>0.30399999999999783</v>
      </c>
      <c r="N928" s="30">
        <f t="shared" si="58"/>
        <v>1.4121656096453328</v>
      </c>
      <c r="O928" s="31">
        <f t="shared" si="59"/>
        <v>1.2345626068935365</v>
      </c>
    </row>
    <row r="929" spans="1:15" x14ac:dyDescent="0.25">
      <c r="A929" t="s">
        <v>6666</v>
      </c>
      <c r="B929" t="s">
        <v>1861</v>
      </c>
      <c r="C929" s="3" t="s">
        <v>1862</v>
      </c>
      <c r="D929" s="24">
        <v>3.8845999999999999E-2</v>
      </c>
      <c r="E929" s="25">
        <v>8.8670000000000009</v>
      </c>
      <c r="F929" s="25">
        <v>9.2270000000000003</v>
      </c>
      <c r="G929" s="26">
        <v>-0.36080000000000001</v>
      </c>
      <c r="H929" s="27">
        <v>0.13700000000000001</v>
      </c>
      <c r="I929" s="26">
        <v>2.6339999999999999</v>
      </c>
      <c r="J929" s="28">
        <v>6</v>
      </c>
      <c r="K929" s="27">
        <v>0.115506</v>
      </c>
      <c r="L929" s="29">
        <f t="shared" si="56"/>
        <v>0.93739545560550341</v>
      </c>
      <c r="M929" s="29">
        <f t="shared" si="57"/>
        <v>-0.35999999999999971</v>
      </c>
      <c r="N929" s="30">
        <f t="shared" si="58"/>
        <v>1.4106536941697274</v>
      </c>
      <c r="O929" s="31">
        <f t="shared" si="59"/>
        <v>0.77916457966050001</v>
      </c>
    </row>
    <row r="930" spans="1:15" x14ac:dyDescent="0.25">
      <c r="A930" t="s">
        <v>6667</v>
      </c>
      <c r="B930" t="s">
        <v>1859</v>
      </c>
      <c r="C930" s="3" t="s">
        <v>1860</v>
      </c>
      <c r="D930" s="24">
        <v>3.8837999999999998E-2</v>
      </c>
      <c r="E930" s="25">
        <v>9.1189999999999998</v>
      </c>
      <c r="F930" s="25">
        <v>9.6419999999999995</v>
      </c>
      <c r="G930" s="26">
        <v>-0.52249999999999996</v>
      </c>
      <c r="H930" s="27">
        <v>0.19839999999999999</v>
      </c>
      <c r="I930" s="26">
        <v>2.6339999999999999</v>
      </c>
      <c r="J930" s="28">
        <v>6</v>
      </c>
      <c r="K930" s="27">
        <v>0.115506</v>
      </c>
      <c r="L930" s="29">
        <f t="shared" si="56"/>
        <v>0.93739545560550341</v>
      </c>
      <c r="M930" s="29">
        <f t="shared" si="57"/>
        <v>-0.52300000000000091</v>
      </c>
      <c r="N930" s="30">
        <f t="shared" si="58"/>
        <v>1.410743142598426</v>
      </c>
      <c r="O930" s="31">
        <f t="shared" si="59"/>
        <v>0.69592319591555019</v>
      </c>
    </row>
    <row r="931" spans="1:15" x14ac:dyDescent="0.25">
      <c r="A931" t="s">
        <v>6668</v>
      </c>
      <c r="B931" t="s">
        <v>1863</v>
      </c>
      <c r="C931" s="3" t="s">
        <v>1864</v>
      </c>
      <c r="D931" s="24">
        <v>3.8983999999999998E-2</v>
      </c>
      <c r="E931" s="25">
        <v>10.199999999999999</v>
      </c>
      <c r="F931" s="25">
        <v>9.7409999999999997</v>
      </c>
      <c r="G931" s="26">
        <v>0.46029999999999999</v>
      </c>
      <c r="H931" s="27">
        <v>0.1749</v>
      </c>
      <c r="I931" s="26">
        <v>2.6309999999999998</v>
      </c>
      <c r="J931" s="28">
        <v>6</v>
      </c>
      <c r="K931" s="27">
        <v>0.11579399999999999</v>
      </c>
      <c r="L931" s="29">
        <f t="shared" si="56"/>
        <v>0.9363139434963258</v>
      </c>
      <c r="M931" s="29">
        <f t="shared" si="57"/>
        <v>0.4589999999999993</v>
      </c>
      <c r="N931" s="30">
        <f t="shared" si="58"/>
        <v>1.4091136016267616</v>
      </c>
      <c r="O931" s="31">
        <f t="shared" si="59"/>
        <v>1.3745886955720283</v>
      </c>
    </row>
    <row r="932" spans="1:15" x14ac:dyDescent="0.25">
      <c r="A932" t="s">
        <v>6669</v>
      </c>
      <c r="B932" t="s">
        <v>1865</v>
      </c>
      <c r="C932" s="3" t="s">
        <v>1866</v>
      </c>
      <c r="D932" s="24">
        <v>3.9099000000000002E-2</v>
      </c>
      <c r="E932" s="25">
        <v>10.1</v>
      </c>
      <c r="F932" s="25">
        <v>9.782</v>
      </c>
      <c r="G932" s="26">
        <v>0.3206</v>
      </c>
      <c r="H932" s="27">
        <v>0.12189999999999999</v>
      </c>
      <c r="I932" s="26">
        <v>2.629</v>
      </c>
      <c r="J932" s="28">
        <v>6</v>
      </c>
      <c r="K932" s="27">
        <v>0.11601</v>
      </c>
      <c r="L932" s="29">
        <f t="shared" si="56"/>
        <v>0.93550457320727198</v>
      </c>
      <c r="M932" s="29">
        <f t="shared" si="57"/>
        <v>0.31799999999999884</v>
      </c>
      <c r="N932" s="30">
        <f t="shared" si="58"/>
        <v>1.4078343500219244</v>
      </c>
      <c r="O932" s="31">
        <f t="shared" si="59"/>
        <v>1.2466011942750963</v>
      </c>
    </row>
    <row r="933" spans="1:15" x14ac:dyDescent="0.25">
      <c r="A933" t="s">
        <v>6670</v>
      </c>
      <c r="B933" t="s">
        <v>1871</v>
      </c>
      <c r="C933" s="3" t="s">
        <v>1872</v>
      </c>
      <c r="D933" s="24">
        <v>3.9241999999999999E-2</v>
      </c>
      <c r="E933" s="25">
        <v>10.36</v>
      </c>
      <c r="F933" s="25">
        <v>9.85</v>
      </c>
      <c r="G933" s="26">
        <v>0.51459999999999995</v>
      </c>
      <c r="H933" s="27">
        <v>0.19589999999999999</v>
      </c>
      <c r="I933" s="26">
        <v>2.6269999999999998</v>
      </c>
      <c r="J933" s="28">
        <v>6</v>
      </c>
      <c r="K933" s="27">
        <v>0.116059</v>
      </c>
      <c r="L933" s="29">
        <f t="shared" si="56"/>
        <v>0.9353211757700487</v>
      </c>
      <c r="M933" s="29">
        <f t="shared" si="57"/>
        <v>0.50999999999999923</v>
      </c>
      <c r="N933" s="30">
        <f t="shared" si="58"/>
        <v>1.4062488665614759</v>
      </c>
      <c r="O933" s="31">
        <f t="shared" si="59"/>
        <v>1.424050195597071</v>
      </c>
    </row>
    <row r="934" spans="1:15" x14ac:dyDescent="0.25">
      <c r="A934" t="s">
        <v>6671</v>
      </c>
      <c r="B934" t="s">
        <v>1869</v>
      </c>
      <c r="C934" s="3" t="s">
        <v>1870</v>
      </c>
      <c r="D934" s="24">
        <v>3.9220999999999999E-2</v>
      </c>
      <c r="E934" s="25">
        <v>11.01</v>
      </c>
      <c r="F934" s="25">
        <v>10.59</v>
      </c>
      <c r="G934" s="26">
        <v>0.42649999999999999</v>
      </c>
      <c r="H934" s="27">
        <v>0.16239999999999999</v>
      </c>
      <c r="I934" s="26">
        <v>2.6269999999999998</v>
      </c>
      <c r="J934" s="28">
        <v>6</v>
      </c>
      <c r="K934" s="27">
        <v>0.116059</v>
      </c>
      <c r="L934" s="29">
        <f t="shared" si="56"/>
        <v>0.9353211757700487</v>
      </c>
      <c r="M934" s="29">
        <f t="shared" si="57"/>
        <v>0.41999999999999948</v>
      </c>
      <c r="N934" s="30">
        <f t="shared" si="58"/>
        <v>1.4064813375181748</v>
      </c>
      <c r="O934" s="31">
        <f t="shared" si="59"/>
        <v>1.3379275547861116</v>
      </c>
    </row>
    <row r="935" spans="1:15" x14ac:dyDescent="0.25">
      <c r="A935" t="s">
        <v>6672</v>
      </c>
      <c r="B935" t="s">
        <v>1867</v>
      </c>
      <c r="C935" s="3" t="s">
        <v>1868</v>
      </c>
      <c r="D935" s="24">
        <v>3.9211000000000003E-2</v>
      </c>
      <c r="E935" s="25">
        <v>8.9320000000000004</v>
      </c>
      <c r="F935" s="25">
        <v>8.5890000000000004</v>
      </c>
      <c r="G935" s="26">
        <v>0.34239999999999998</v>
      </c>
      <c r="H935" s="27">
        <v>0.1303</v>
      </c>
      <c r="I935" s="26">
        <v>2.6269999999999998</v>
      </c>
      <c r="J935" s="28">
        <v>6</v>
      </c>
      <c r="K935" s="27">
        <v>0.116059</v>
      </c>
      <c r="L935" s="29">
        <f t="shared" si="56"/>
        <v>0.9353211757700487</v>
      </c>
      <c r="M935" s="29">
        <f t="shared" si="57"/>
        <v>0.34300000000000036</v>
      </c>
      <c r="N935" s="30">
        <f t="shared" si="58"/>
        <v>1.4065920817257065</v>
      </c>
      <c r="O935" s="31">
        <f t="shared" si="59"/>
        <v>1.2683913993258675</v>
      </c>
    </row>
    <row r="936" spans="1:15" x14ac:dyDescent="0.25">
      <c r="A936" t="s">
        <v>6673</v>
      </c>
      <c r="B936" t="s">
        <v>1873</v>
      </c>
      <c r="C936" s="3" t="s">
        <v>1874</v>
      </c>
      <c r="D936" s="24">
        <v>3.9449999999999999E-2</v>
      </c>
      <c r="E936" s="25">
        <v>11.57</v>
      </c>
      <c r="F936" s="25">
        <v>12.02</v>
      </c>
      <c r="G936" s="26">
        <v>-0.4516</v>
      </c>
      <c r="H936" s="27">
        <v>0.17219999999999999</v>
      </c>
      <c r="I936" s="26">
        <v>2.6230000000000002</v>
      </c>
      <c r="J936" s="28">
        <v>6</v>
      </c>
      <c r="K936" s="27">
        <v>0.116551</v>
      </c>
      <c r="L936" s="29">
        <f t="shared" si="56"/>
        <v>0.93348399590900899</v>
      </c>
      <c r="M936" s="29">
        <f t="shared" si="57"/>
        <v>-0.45000000000000062</v>
      </c>
      <c r="N936" s="30">
        <f t="shared" si="58"/>
        <v>1.4039529924545608</v>
      </c>
      <c r="O936" s="31">
        <f t="shared" si="59"/>
        <v>0.73204284797281238</v>
      </c>
    </row>
    <row r="937" spans="1:15" x14ac:dyDescent="0.25">
      <c r="A937" t="s">
        <v>6674</v>
      </c>
      <c r="B937" t="s">
        <v>1875</v>
      </c>
      <c r="C937" s="3" t="s">
        <v>1876</v>
      </c>
      <c r="D937" s="24">
        <v>3.95E-2</v>
      </c>
      <c r="E937" s="25">
        <v>9.1999999999999993</v>
      </c>
      <c r="F937" s="25">
        <v>9.4689999999999994</v>
      </c>
      <c r="G937" s="26">
        <v>-0.26900000000000002</v>
      </c>
      <c r="H937" s="27">
        <v>0.1026</v>
      </c>
      <c r="I937" s="26">
        <v>2.6219999999999999</v>
      </c>
      <c r="J937" s="28">
        <v>6</v>
      </c>
      <c r="K937" s="27">
        <v>0.116573</v>
      </c>
      <c r="L937" s="29">
        <f t="shared" si="56"/>
        <v>0.9334020268399279</v>
      </c>
      <c r="M937" s="29">
        <f t="shared" si="57"/>
        <v>-0.26900000000000091</v>
      </c>
      <c r="N937" s="30">
        <f t="shared" si="58"/>
        <v>1.4034029043735397</v>
      </c>
      <c r="O937" s="31">
        <f t="shared" si="59"/>
        <v>0.82989458558998197</v>
      </c>
    </row>
    <row r="938" spans="1:15" x14ac:dyDescent="0.25">
      <c r="A938" t="s">
        <v>6675</v>
      </c>
      <c r="B938" t="s">
        <v>1877</v>
      </c>
      <c r="C938" s="3" t="s">
        <v>1878</v>
      </c>
      <c r="D938" s="24">
        <v>3.9677999999999998E-2</v>
      </c>
      <c r="E938" s="25">
        <v>9.4789999999999992</v>
      </c>
      <c r="F938" s="25">
        <v>8.9120000000000008</v>
      </c>
      <c r="G938" s="26">
        <v>0.5675</v>
      </c>
      <c r="H938" s="27">
        <v>0.2167</v>
      </c>
      <c r="I938" s="26">
        <v>2.6179999999999999</v>
      </c>
      <c r="J938" s="28">
        <v>6</v>
      </c>
      <c r="K938" s="27">
        <v>0.116873</v>
      </c>
      <c r="L938" s="29">
        <f t="shared" si="56"/>
        <v>0.93228580796024429</v>
      </c>
      <c r="M938" s="29">
        <f t="shared" si="57"/>
        <v>0.56699999999999762</v>
      </c>
      <c r="N938" s="30">
        <f t="shared" si="58"/>
        <v>1.4014502269123745</v>
      </c>
      <c r="O938" s="31">
        <f t="shared" si="59"/>
        <v>1.4814397980203173</v>
      </c>
    </row>
    <row r="939" spans="1:15" x14ac:dyDescent="0.25">
      <c r="A939" t="s">
        <v>6676</v>
      </c>
      <c r="B939" t="s">
        <v>1879</v>
      </c>
      <c r="C939" s="3" t="s">
        <v>1880</v>
      </c>
      <c r="D939" s="24">
        <v>3.9685999999999999E-2</v>
      </c>
      <c r="E939" s="25">
        <v>9.2070000000000007</v>
      </c>
      <c r="F939" s="25">
        <v>8.8190000000000008</v>
      </c>
      <c r="G939" s="26">
        <v>0.38840000000000002</v>
      </c>
      <c r="H939" s="27">
        <v>0.1484</v>
      </c>
      <c r="I939" s="26">
        <v>2.6179999999999999</v>
      </c>
      <c r="J939" s="28">
        <v>6</v>
      </c>
      <c r="K939" s="27">
        <v>0.116873</v>
      </c>
      <c r="L939" s="29">
        <f t="shared" si="56"/>
        <v>0.93228580796024429</v>
      </c>
      <c r="M939" s="29">
        <f t="shared" si="57"/>
        <v>0.38799999999999996</v>
      </c>
      <c r="N939" s="30">
        <f t="shared" si="58"/>
        <v>1.4013626719537788</v>
      </c>
      <c r="O939" s="31">
        <f t="shared" si="59"/>
        <v>1.3085780714550102</v>
      </c>
    </row>
    <row r="940" spans="1:15" x14ac:dyDescent="0.25">
      <c r="A940" t="s">
        <v>6677</v>
      </c>
      <c r="B940" t="s">
        <v>1881</v>
      </c>
      <c r="C940" s="3" t="s">
        <v>1882</v>
      </c>
      <c r="D940" s="24">
        <v>3.9798E-2</v>
      </c>
      <c r="E940" s="25">
        <v>9.9559999999999995</v>
      </c>
      <c r="F940" s="25">
        <v>9.5559999999999992</v>
      </c>
      <c r="G940" s="26">
        <v>0.39989999999999998</v>
      </c>
      <c r="H940" s="27">
        <v>0.15290000000000001</v>
      </c>
      <c r="I940" s="26">
        <v>2.6160000000000001</v>
      </c>
      <c r="J940" s="28">
        <v>6</v>
      </c>
      <c r="K940" s="27">
        <v>0.117079</v>
      </c>
      <c r="L940" s="29">
        <f t="shared" si="56"/>
        <v>0.93152099563640578</v>
      </c>
      <c r="M940" s="29">
        <f t="shared" si="57"/>
        <v>0.40000000000000024</v>
      </c>
      <c r="N940" s="30">
        <f t="shared" si="58"/>
        <v>1.4001387523179798</v>
      </c>
      <c r="O940" s="31">
        <f t="shared" si="59"/>
        <v>1.3195079107728944</v>
      </c>
    </row>
    <row r="941" spans="1:15" x14ac:dyDescent="0.25">
      <c r="A941" t="s">
        <v>6678</v>
      </c>
      <c r="B941" t="s">
        <v>1883</v>
      </c>
      <c r="C941" s="3" t="s">
        <v>1884</v>
      </c>
      <c r="D941" s="24">
        <v>4.0008000000000002E-2</v>
      </c>
      <c r="E941" s="25">
        <v>8.7379999999999995</v>
      </c>
      <c r="F941" s="25">
        <v>9.1630000000000003</v>
      </c>
      <c r="G941" s="26">
        <v>-0.42449999999999999</v>
      </c>
      <c r="H941" s="27">
        <v>0.16250000000000001</v>
      </c>
      <c r="I941" s="26">
        <v>2.6120000000000001</v>
      </c>
      <c r="J941" s="28">
        <v>6</v>
      </c>
      <c r="K941" s="27">
        <v>0.11756900000000001</v>
      </c>
      <c r="L941" s="29">
        <f t="shared" si="56"/>
        <v>0.92970717574055983</v>
      </c>
      <c r="M941" s="29">
        <f t="shared" si="57"/>
        <v>-0.42500000000000038</v>
      </c>
      <c r="N941" s="30">
        <f t="shared" si="58"/>
        <v>1.3978531584603886</v>
      </c>
      <c r="O941" s="31">
        <f t="shared" si="59"/>
        <v>0.74483873156135094</v>
      </c>
    </row>
    <row r="942" spans="1:15" x14ac:dyDescent="0.25">
      <c r="A942" t="s">
        <v>6679</v>
      </c>
      <c r="B942" t="s">
        <v>1885</v>
      </c>
      <c r="C942" s="3" t="s">
        <v>1886</v>
      </c>
      <c r="D942" s="24">
        <v>4.0120999999999997E-2</v>
      </c>
      <c r="E942" s="25">
        <v>7.5</v>
      </c>
      <c r="F942" s="25">
        <v>7.0830000000000002</v>
      </c>
      <c r="G942" s="26">
        <v>0.41620000000000001</v>
      </c>
      <c r="H942" s="27">
        <v>0.15939999999999999</v>
      </c>
      <c r="I942" s="26">
        <v>2.61</v>
      </c>
      <c r="J942" s="28">
        <v>6</v>
      </c>
      <c r="K942" s="27">
        <v>0.11777700000000001</v>
      </c>
      <c r="L942" s="29">
        <f t="shared" si="56"/>
        <v>0.9289395121664521</v>
      </c>
      <c r="M942" s="29">
        <f t="shared" si="57"/>
        <v>0.41699999999999948</v>
      </c>
      <c r="N942" s="30">
        <f t="shared" si="58"/>
        <v>1.3966282508991381</v>
      </c>
      <c r="O942" s="31">
        <f t="shared" si="59"/>
        <v>1.3351483032959077</v>
      </c>
    </row>
    <row r="943" spans="1:15" x14ac:dyDescent="0.25">
      <c r="A943" t="s">
        <v>6680</v>
      </c>
      <c r="B943" t="s">
        <v>1887</v>
      </c>
      <c r="C943" s="3" t="s">
        <v>1888</v>
      </c>
      <c r="D943" s="24">
        <v>4.0278000000000001E-2</v>
      </c>
      <c r="E943" s="25">
        <v>14.98</v>
      </c>
      <c r="F943" s="25">
        <v>15.12</v>
      </c>
      <c r="G943" s="26">
        <v>-0.1421</v>
      </c>
      <c r="H943" s="27">
        <v>5.45E-2</v>
      </c>
      <c r="I943" s="26">
        <v>2.6070000000000002</v>
      </c>
      <c r="J943" s="28">
        <v>6</v>
      </c>
      <c r="K943" s="27">
        <v>0.118113</v>
      </c>
      <c r="L943" s="29">
        <f t="shared" si="56"/>
        <v>0.9277022995282983</v>
      </c>
      <c r="M943" s="29">
        <f t="shared" si="57"/>
        <v>-0.13999999999999785</v>
      </c>
      <c r="N943" s="30">
        <f t="shared" si="58"/>
        <v>1.3949321024314358</v>
      </c>
      <c r="O943" s="31">
        <f t="shared" si="59"/>
        <v>0.90751915531716221</v>
      </c>
    </row>
    <row r="944" spans="1:15" x14ac:dyDescent="0.25">
      <c r="A944" t="s">
        <v>6681</v>
      </c>
      <c r="B944" t="s">
        <v>1889</v>
      </c>
      <c r="C944" s="3" t="s">
        <v>1890</v>
      </c>
      <c r="D944" s="24">
        <v>4.0478E-2</v>
      </c>
      <c r="E944" s="25">
        <v>10.23</v>
      </c>
      <c r="F944" s="25">
        <v>9.9429999999999996</v>
      </c>
      <c r="G944" s="26">
        <v>0.28839999999999999</v>
      </c>
      <c r="H944" s="27">
        <v>0.1108</v>
      </c>
      <c r="I944" s="26">
        <v>2.6030000000000002</v>
      </c>
      <c r="J944" s="28">
        <v>6</v>
      </c>
      <c r="K944" s="27">
        <v>0.118572</v>
      </c>
      <c r="L944" s="29">
        <f t="shared" si="56"/>
        <v>0.9260178546577712</v>
      </c>
      <c r="M944" s="29">
        <f t="shared" si="57"/>
        <v>0.28700000000000114</v>
      </c>
      <c r="N944" s="30">
        <f t="shared" si="58"/>
        <v>1.3927809539355929</v>
      </c>
      <c r="O944" s="31">
        <f t="shared" si="59"/>
        <v>1.2201005102722242</v>
      </c>
    </row>
    <row r="945" spans="1:15" x14ac:dyDescent="0.25">
      <c r="A945" t="s">
        <v>6682</v>
      </c>
      <c r="B945" t="s">
        <v>1891</v>
      </c>
      <c r="C945" s="3" t="s">
        <v>1892</v>
      </c>
      <c r="D945" s="24">
        <v>4.0662999999999998E-2</v>
      </c>
      <c r="E945" s="25">
        <v>8.5449999999999999</v>
      </c>
      <c r="F945" s="25">
        <v>8.9109999999999996</v>
      </c>
      <c r="G945" s="26">
        <v>-0.36559999999999998</v>
      </c>
      <c r="H945" s="27">
        <v>0.1406</v>
      </c>
      <c r="I945" s="26">
        <v>2.6</v>
      </c>
      <c r="J945" s="28">
        <v>6</v>
      </c>
      <c r="K945" s="27">
        <v>0.118948</v>
      </c>
      <c r="L945" s="29">
        <f t="shared" si="56"/>
        <v>0.92464285582315053</v>
      </c>
      <c r="M945" s="29">
        <f t="shared" si="57"/>
        <v>-0.36599999999999971</v>
      </c>
      <c r="N945" s="30">
        <f t="shared" si="58"/>
        <v>1.3908005835095145</v>
      </c>
      <c r="O945" s="31">
        <f t="shared" si="59"/>
        <v>0.7759308542748562</v>
      </c>
    </row>
    <row r="946" spans="1:15" x14ac:dyDescent="0.25">
      <c r="A946" t="s">
        <v>6683</v>
      </c>
      <c r="B946" t="s">
        <v>1893</v>
      </c>
      <c r="C946" s="3" t="s">
        <v>1894</v>
      </c>
      <c r="D946" s="24">
        <v>4.0691999999999999E-2</v>
      </c>
      <c r="E946" s="25">
        <v>9.8889999999999993</v>
      </c>
      <c r="F946" s="25">
        <v>9.7149999999999999</v>
      </c>
      <c r="G946" s="26">
        <v>0.17369999999999999</v>
      </c>
      <c r="H946" s="27">
        <v>6.6839999999999997E-2</v>
      </c>
      <c r="I946" s="26">
        <v>2.5990000000000002</v>
      </c>
      <c r="J946" s="28">
        <v>6</v>
      </c>
      <c r="K946" s="27">
        <v>0.118948</v>
      </c>
      <c r="L946" s="29">
        <f t="shared" si="56"/>
        <v>0.92464285582315053</v>
      </c>
      <c r="M946" s="29">
        <f t="shared" si="57"/>
        <v>0.17399999999999921</v>
      </c>
      <c r="N946" s="30">
        <f t="shared" si="58"/>
        <v>1.3904909641742889</v>
      </c>
      <c r="O946" s="31">
        <f t="shared" si="59"/>
        <v>1.1281821374565109</v>
      </c>
    </row>
    <row r="947" spans="1:15" x14ac:dyDescent="0.25">
      <c r="A947" t="s">
        <v>6684</v>
      </c>
      <c r="B947" t="s">
        <v>1903</v>
      </c>
      <c r="C947" s="3" t="s">
        <v>1904</v>
      </c>
      <c r="D947" s="24">
        <v>4.1124000000000001E-2</v>
      </c>
      <c r="E947" s="25">
        <v>8.8889999999999993</v>
      </c>
      <c r="F947" s="25">
        <v>8.375</v>
      </c>
      <c r="G947" s="26">
        <v>0.51400000000000001</v>
      </c>
      <c r="H947" s="27">
        <v>0.1983</v>
      </c>
      <c r="I947" s="26">
        <v>2.5920000000000001</v>
      </c>
      <c r="J947" s="28">
        <v>6</v>
      </c>
      <c r="K947" s="27">
        <v>0.119578</v>
      </c>
      <c r="L947" s="29">
        <f t="shared" si="56"/>
        <v>0.92234871464080226</v>
      </c>
      <c r="M947" s="29">
        <f t="shared" si="57"/>
        <v>0.51399999999999957</v>
      </c>
      <c r="N947" s="30">
        <f t="shared" si="58"/>
        <v>1.385904649522508</v>
      </c>
      <c r="O947" s="31">
        <f t="shared" si="59"/>
        <v>1.4280039796850637</v>
      </c>
    </row>
    <row r="948" spans="1:15" x14ac:dyDescent="0.25">
      <c r="A948" t="s">
        <v>6685</v>
      </c>
      <c r="B948" t="s">
        <v>1895</v>
      </c>
      <c r="C948" s="3" t="s">
        <v>1896</v>
      </c>
      <c r="D948" s="24">
        <v>4.0993000000000002E-2</v>
      </c>
      <c r="E948" s="25">
        <v>9.5169999999999995</v>
      </c>
      <c r="F948" s="25">
        <v>9.2210000000000001</v>
      </c>
      <c r="G948" s="26">
        <v>0.29559999999999997</v>
      </c>
      <c r="H948" s="27">
        <v>0.114</v>
      </c>
      <c r="I948" s="26">
        <v>2.5939999999999999</v>
      </c>
      <c r="J948" s="28">
        <v>6</v>
      </c>
      <c r="K948" s="27">
        <v>0.119578</v>
      </c>
      <c r="L948" s="29">
        <f t="shared" si="56"/>
        <v>0.92234871464080226</v>
      </c>
      <c r="M948" s="29">
        <f t="shared" si="57"/>
        <v>0.29599999999999982</v>
      </c>
      <c r="N948" s="30">
        <f t="shared" si="58"/>
        <v>1.3872902974490522</v>
      </c>
      <c r="O948" s="31">
        <f t="shared" si="59"/>
        <v>1.2277356839150602</v>
      </c>
    </row>
    <row r="949" spans="1:15" x14ac:dyDescent="0.25">
      <c r="A949" t="s">
        <v>6686</v>
      </c>
      <c r="B949" t="s">
        <v>1901</v>
      </c>
      <c r="C949" s="3" t="s">
        <v>1902</v>
      </c>
      <c r="D949" s="24">
        <v>4.1119999999999997E-2</v>
      </c>
      <c r="E949" s="25">
        <v>11.71</v>
      </c>
      <c r="F949" s="25">
        <v>11.83</v>
      </c>
      <c r="G949" s="26">
        <v>-0.1206</v>
      </c>
      <c r="H949" s="27">
        <v>4.6519999999999999E-2</v>
      </c>
      <c r="I949" s="26">
        <v>2.5920000000000001</v>
      </c>
      <c r="J949" s="28">
        <v>6</v>
      </c>
      <c r="K949" s="27">
        <v>0.119578</v>
      </c>
      <c r="L949" s="29">
        <f t="shared" si="56"/>
        <v>0.92234871464080226</v>
      </c>
      <c r="M949" s="29">
        <f t="shared" si="57"/>
        <v>-0.11999999999999951</v>
      </c>
      <c r="N949" s="30">
        <f t="shared" si="58"/>
        <v>1.3859468940127806</v>
      </c>
      <c r="O949" s="31">
        <f t="shared" si="59"/>
        <v>0.9201876506248754</v>
      </c>
    </row>
    <row r="950" spans="1:15" x14ac:dyDescent="0.25">
      <c r="A950" t="s">
        <v>6687</v>
      </c>
      <c r="B950" t="s">
        <v>1899</v>
      </c>
      <c r="C950" s="3" t="s">
        <v>1900</v>
      </c>
      <c r="D950" s="24">
        <v>4.1113999999999998E-2</v>
      </c>
      <c r="E950" s="25">
        <v>8.3049999999999997</v>
      </c>
      <c r="F950" s="25">
        <v>7.9829999999999997</v>
      </c>
      <c r="G950" s="26">
        <v>0.3221</v>
      </c>
      <c r="H950" s="27">
        <v>0.12429999999999999</v>
      </c>
      <c r="I950" s="26">
        <v>2.5920000000000001</v>
      </c>
      <c r="J950" s="28">
        <v>6</v>
      </c>
      <c r="K950" s="27">
        <v>0.119578</v>
      </c>
      <c r="L950" s="29">
        <f t="shared" si="56"/>
        <v>0.92234871464080226</v>
      </c>
      <c r="M950" s="29">
        <f t="shared" si="57"/>
        <v>0.32200000000000056</v>
      </c>
      <c r="N950" s="30">
        <f t="shared" si="58"/>
        <v>1.3860102684539131</v>
      </c>
      <c r="O950" s="31">
        <f t="shared" si="59"/>
        <v>1.2500623025852096</v>
      </c>
    </row>
    <row r="951" spans="1:15" x14ac:dyDescent="0.25">
      <c r="A951" t="s">
        <v>6688</v>
      </c>
      <c r="B951" t="s">
        <v>1897</v>
      </c>
      <c r="C951" s="3" t="s">
        <v>1898</v>
      </c>
      <c r="D951" s="24">
        <v>4.1095E-2</v>
      </c>
      <c r="E951" s="25">
        <v>9.4309999999999992</v>
      </c>
      <c r="F951" s="25">
        <v>9.8079999999999998</v>
      </c>
      <c r="G951" s="26">
        <v>-0.37669999999999998</v>
      </c>
      <c r="H951" s="27">
        <v>0.14530000000000001</v>
      </c>
      <c r="I951" s="26">
        <v>2.5920000000000001</v>
      </c>
      <c r="J951" s="28">
        <v>6</v>
      </c>
      <c r="K951" s="27">
        <v>0.119578</v>
      </c>
      <c r="L951" s="29">
        <f t="shared" si="56"/>
        <v>0.92234871464080226</v>
      </c>
      <c r="M951" s="29">
        <f t="shared" si="57"/>
        <v>-0.37700000000000061</v>
      </c>
      <c r="N951" s="30">
        <f t="shared" si="58"/>
        <v>1.3862110152165079</v>
      </c>
      <c r="O951" s="31">
        <f t="shared" si="59"/>
        <v>0.77003717423607121</v>
      </c>
    </row>
    <row r="952" spans="1:15" x14ac:dyDescent="0.25">
      <c r="A952" t="s">
        <v>6689</v>
      </c>
      <c r="B952" t="s">
        <v>1905</v>
      </c>
      <c r="C952" s="3" t="s">
        <v>1906</v>
      </c>
      <c r="D952" s="24">
        <v>4.1626000000000003E-2</v>
      </c>
      <c r="E952" s="25">
        <v>5.7510000000000003</v>
      </c>
      <c r="F952" s="25">
        <v>8.7910000000000004</v>
      </c>
      <c r="G952" s="26">
        <v>-3.04</v>
      </c>
      <c r="H952" s="27">
        <v>1.177</v>
      </c>
      <c r="I952" s="26">
        <v>2.5830000000000002</v>
      </c>
      <c r="J952" s="28">
        <v>6</v>
      </c>
      <c r="K952" s="27">
        <v>0.12081799999999999</v>
      </c>
      <c r="L952" s="29">
        <f t="shared" si="56"/>
        <v>0.91786835778179654</v>
      </c>
      <c r="M952" s="29">
        <f t="shared" si="57"/>
        <v>-3.04</v>
      </c>
      <c r="N952" s="30">
        <f t="shared" si="58"/>
        <v>1.3806353201098822</v>
      </c>
      <c r="O952" s="31">
        <f t="shared" si="59"/>
        <v>0.12158186842653568</v>
      </c>
    </row>
    <row r="953" spans="1:15" x14ac:dyDescent="0.25">
      <c r="A953" t="s">
        <v>6690</v>
      </c>
      <c r="B953" t="s">
        <v>1907</v>
      </c>
      <c r="C953" s="3" t="s">
        <v>1908</v>
      </c>
      <c r="D953" s="24">
        <v>4.1638000000000001E-2</v>
      </c>
      <c r="E953" s="25">
        <v>7.7590000000000003</v>
      </c>
      <c r="F953" s="25">
        <v>8.4819999999999993</v>
      </c>
      <c r="G953" s="26">
        <v>-0.7238</v>
      </c>
      <c r="H953" s="27">
        <v>0.28029999999999999</v>
      </c>
      <c r="I953" s="26">
        <v>2.5819999999999999</v>
      </c>
      <c r="J953" s="28">
        <v>6</v>
      </c>
      <c r="K953" s="27">
        <v>0.12081799999999999</v>
      </c>
      <c r="L953" s="29">
        <f t="shared" si="56"/>
        <v>0.91786835778179654</v>
      </c>
      <c r="M953" s="29">
        <f t="shared" si="57"/>
        <v>-0.72299999999999831</v>
      </c>
      <c r="N953" s="30">
        <f t="shared" si="58"/>
        <v>1.3805101391476675</v>
      </c>
      <c r="O953" s="31">
        <f t="shared" si="59"/>
        <v>0.60583633021512229</v>
      </c>
    </row>
    <row r="954" spans="1:15" x14ac:dyDescent="0.25">
      <c r="A954" t="s">
        <v>6691</v>
      </c>
      <c r="B954" t="s">
        <v>1909</v>
      </c>
      <c r="C954" s="3" t="s">
        <v>1910</v>
      </c>
      <c r="D954" s="24">
        <v>4.1821999999999998E-2</v>
      </c>
      <c r="E954" s="25">
        <v>10.51</v>
      </c>
      <c r="F954" s="25">
        <v>10.77</v>
      </c>
      <c r="G954" s="26">
        <v>-0.26550000000000001</v>
      </c>
      <c r="H954" s="27">
        <v>0.10290000000000001</v>
      </c>
      <c r="I954" s="26">
        <v>2.5790000000000002</v>
      </c>
      <c r="J954" s="28">
        <v>6</v>
      </c>
      <c r="K954" s="27">
        <v>0.121225</v>
      </c>
      <c r="L954" s="29">
        <f t="shared" si="56"/>
        <v>0.91640780721243797</v>
      </c>
      <c r="M954" s="29">
        <f t="shared" si="57"/>
        <v>-0.25999999999999984</v>
      </c>
      <c r="N954" s="30">
        <f t="shared" si="58"/>
        <v>1.3785952023123507</v>
      </c>
      <c r="O954" s="31">
        <f t="shared" si="59"/>
        <v>0.83508791942836946</v>
      </c>
    </row>
    <row r="955" spans="1:15" x14ac:dyDescent="0.25">
      <c r="A955" t="s">
        <v>6692</v>
      </c>
      <c r="B955" t="s">
        <v>1911</v>
      </c>
      <c r="C955" s="3" t="s">
        <v>1912</v>
      </c>
      <c r="D955" s="24">
        <v>4.2036999999999998E-2</v>
      </c>
      <c r="E955" s="25">
        <v>11.06</v>
      </c>
      <c r="F955" s="25">
        <v>10.67</v>
      </c>
      <c r="G955" s="26">
        <v>0.38890000000000002</v>
      </c>
      <c r="H955" s="27">
        <v>0.151</v>
      </c>
      <c r="I955" s="26">
        <v>2.5750000000000002</v>
      </c>
      <c r="J955" s="28">
        <v>6</v>
      </c>
      <c r="K955" s="27">
        <v>0.1217</v>
      </c>
      <c r="L955" s="29">
        <f t="shared" si="56"/>
        <v>0.91470942176993486</v>
      </c>
      <c r="M955" s="29">
        <f t="shared" si="57"/>
        <v>0.38999999999999962</v>
      </c>
      <c r="N955" s="30">
        <f t="shared" si="58"/>
        <v>1.3763682852683243</v>
      </c>
      <c r="O955" s="31">
        <f t="shared" si="59"/>
        <v>1.3103934038583629</v>
      </c>
    </row>
    <row r="956" spans="1:15" x14ac:dyDescent="0.25">
      <c r="A956" t="s">
        <v>6693</v>
      </c>
      <c r="B956" t="s">
        <v>1913</v>
      </c>
      <c r="C956" s="3" t="s">
        <v>1914</v>
      </c>
      <c r="D956" s="24">
        <v>4.2074E-2</v>
      </c>
      <c r="E956" s="25">
        <v>9.3559999999999999</v>
      </c>
      <c r="F956" s="25">
        <v>8.6430000000000007</v>
      </c>
      <c r="G956" s="26">
        <v>0.71299999999999997</v>
      </c>
      <c r="H956" s="27">
        <v>0.27689999999999998</v>
      </c>
      <c r="I956" s="26">
        <v>2.5750000000000002</v>
      </c>
      <c r="J956" s="28">
        <v>6</v>
      </c>
      <c r="K956" s="27">
        <v>0.1217</v>
      </c>
      <c r="L956" s="29">
        <f t="shared" si="56"/>
        <v>0.91470942176993486</v>
      </c>
      <c r="M956" s="29">
        <f t="shared" si="57"/>
        <v>0.71299999999999897</v>
      </c>
      <c r="N956" s="30">
        <f t="shared" si="58"/>
        <v>1.3759861973876213</v>
      </c>
      <c r="O956" s="31">
        <f t="shared" si="59"/>
        <v>1.639209215275033</v>
      </c>
    </row>
    <row r="957" spans="1:15" x14ac:dyDescent="0.25">
      <c r="A957" t="s">
        <v>6694</v>
      </c>
      <c r="B957" t="s">
        <v>1917</v>
      </c>
      <c r="C957" s="3" t="s">
        <v>1918</v>
      </c>
      <c r="D957" s="24">
        <v>4.2192E-2</v>
      </c>
      <c r="E957" s="25">
        <v>8.1</v>
      </c>
      <c r="F957" s="25">
        <v>8.7959999999999994</v>
      </c>
      <c r="G957" s="26">
        <v>-0.69589999999999996</v>
      </c>
      <c r="H957" s="27">
        <v>0.27050000000000002</v>
      </c>
      <c r="I957" s="26">
        <v>2.573</v>
      </c>
      <c r="J957" s="28">
        <v>6</v>
      </c>
      <c r="K957" s="27">
        <v>0.121784</v>
      </c>
      <c r="L957" s="29">
        <f t="shared" si="56"/>
        <v>0.91440976562885634</v>
      </c>
      <c r="M957" s="29">
        <f t="shared" si="57"/>
        <v>-0.69599999999999984</v>
      </c>
      <c r="N957" s="30">
        <f t="shared" si="58"/>
        <v>1.3747698875506407</v>
      </c>
      <c r="O957" s="31">
        <f t="shared" si="59"/>
        <v>0.61728130344676924</v>
      </c>
    </row>
    <row r="958" spans="1:15" x14ac:dyDescent="0.25">
      <c r="A958" t="s">
        <v>6695</v>
      </c>
      <c r="B958" t="s">
        <v>1915</v>
      </c>
      <c r="C958" s="3" t="s">
        <v>1916</v>
      </c>
      <c r="D958" s="24">
        <v>4.2189999999999998E-2</v>
      </c>
      <c r="E958" s="25">
        <v>7.8490000000000002</v>
      </c>
      <c r="F958" s="25">
        <v>7.2709999999999999</v>
      </c>
      <c r="G958" s="26">
        <v>0.57840000000000003</v>
      </c>
      <c r="H958" s="27">
        <v>0.2248</v>
      </c>
      <c r="I958" s="26">
        <v>2.573</v>
      </c>
      <c r="J958" s="28">
        <v>6</v>
      </c>
      <c r="K958" s="27">
        <v>0.121784</v>
      </c>
      <c r="L958" s="29">
        <f t="shared" si="56"/>
        <v>0.91440976562885634</v>
      </c>
      <c r="M958" s="29">
        <f t="shared" si="57"/>
        <v>0.57799999999999963</v>
      </c>
      <c r="N958" s="30">
        <f t="shared" si="58"/>
        <v>1.374790474618119</v>
      </c>
      <c r="O958" s="31">
        <f t="shared" si="59"/>
        <v>1.4927783832969526</v>
      </c>
    </row>
    <row r="959" spans="1:15" x14ac:dyDescent="0.25">
      <c r="A959" t="s">
        <v>6696</v>
      </c>
      <c r="B959" t="s">
        <v>1919</v>
      </c>
      <c r="C959" s="3" t="s">
        <v>1920</v>
      </c>
      <c r="D959" s="24">
        <v>4.2324000000000001E-2</v>
      </c>
      <c r="E959" s="25">
        <v>16.03</v>
      </c>
      <c r="F959" s="25">
        <v>16.53</v>
      </c>
      <c r="G959" s="26">
        <v>-0.50309999999999999</v>
      </c>
      <c r="H959" s="27">
        <v>0.19570000000000001</v>
      </c>
      <c r="I959" s="26">
        <v>2.57</v>
      </c>
      <c r="J959" s="28">
        <v>6</v>
      </c>
      <c r="K959" s="27">
        <v>0.12203899999999999</v>
      </c>
      <c r="L959" s="29">
        <f t="shared" si="56"/>
        <v>0.9135013596682835</v>
      </c>
      <c r="M959" s="29">
        <f t="shared" si="57"/>
        <v>-0.50000000000000155</v>
      </c>
      <c r="N959" s="30">
        <f t="shared" si="58"/>
        <v>1.3734132942848853</v>
      </c>
      <c r="O959" s="31">
        <f t="shared" si="59"/>
        <v>0.7071067811865468</v>
      </c>
    </row>
    <row r="960" spans="1:15" x14ac:dyDescent="0.25">
      <c r="A960" t="s">
        <v>6697</v>
      </c>
      <c r="B960" t="s">
        <v>1925</v>
      </c>
      <c r="C960" s="3" t="s">
        <v>1926</v>
      </c>
      <c r="D960" s="24">
        <v>4.2624000000000002E-2</v>
      </c>
      <c r="E960" s="25">
        <v>10.66</v>
      </c>
      <c r="F960" s="25">
        <v>10.28</v>
      </c>
      <c r="G960" s="26">
        <v>0.37119999999999997</v>
      </c>
      <c r="H960" s="27">
        <v>0.1447</v>
      </c>
      <c r="I960" s="26">
        <v>2.5649999999999999</v>
      </c>
      <c r="J960" s="28">
        <v>6</v>
      </c>
      <c r="K960" s="27">
        <v>0.122519</v>
      </c>
      <c r="L960" s="29">
        <f t="shared" si="56"/>
        <v>0.91179655656228376</v>
      </c>
      <c r="M960" s="29">
        <f t="shared" si="57"/>
        <v>0.38000000000000023</v>
      </c>
      <c r="N960" s="30">
        <f t="shared" si="58"/>
        <v>1.3703457968458117</v>
      </c>
      <c r="O960" s="31">
        <f t="shared" si="59"/>
        <v>1.3013418554419338</v>
      </c>
    </row>
    <row r="961" spans="1:15" x14ac:dyDescent="0.25">
      <c r="A961" t="s">
        <v>6698</v>
      </c>
      <c r="B961" t="s">
        <v>1921</v>
      </c>
      <c r="C961" s="3" t="s">
        <v>1922</v>
      </c>
      <c r="D961" s="24">
        <v>4.2569000000000003E-2</v>
      </c>
      <c r="E961" s="25">
        <v>11.2</v>
      </c>
      <c r="F961" s="25">
        <v>10.94</v>
      </c>
      <c r="G961" s="26">
        <v>0.26429999999999998</v>
      </c>
      <c r="H961" s="27">
        <v>0.10299999999999999</v>
      </c>
      <c r="I961" s="26">
        <v>2.5659999999999998</v>
      </c>
      <c r="J961" s="28">
        <v>6</v>
      </c>
      <c r="K961" s="27">
        <v>0.122519</v>
      </c>
      <c r="L961" s="29">
        <f t="shared" si="56"/>
        <v>0.91179655656228376</v>
      </c>
      <c r="M961" s="29">
        <f t="shared" si="57"/>
        <v>0.25999999999999968</v>
      </c>
      <c r="N961" s="30">
        <f t="shared" si="58"/>
        <v>1.3709065518332681</v>
      </c>
      <c r="O961" s="31">
        <f t="shared" si="59"/>
        <v>1.1974787046189284</v>
      </c>
    </row>
    <row r="962" spans="1:15" x14ac:dyDescent="0.25">
      <c r="A962" t="s">
        <v>6699</v>
      </c>
      <c r="B962" t="s">
        <v>1923</v>
      </c>
      <c r="C962" s="3" t="s">
        <v>1924</v>
      </c>
      <c r="D962" s="24">
        <v>4.2615E-2</v>
      </c>
      <c r="E962" s="25">
        <v>10.75</v>
      </c>
      <c r="F962" s="25">
        <v>10.44</v>
      </c>
      <c r="G962" s="26">
        <v>0.3095</v>
      </c>
      <c r="H962" s="27">
        <v>0.1207</v>
      </c>
      <c r="I962" s="26">
        <v>2.5649999999999999</v>
      </c>
      <c r="J962" s="28">
        <v>6</v>
      </c>
      <c r="K962" s="27">
        <v>0.122519</v>
      </c>
      <c r="L962" s="29">
        <f t="shared" ref="L962:L1025" si="60">-LOG(K962,10)</f>
        <v>0.91179655656228376</v>
      </c>
      <c r="M962" s="29">
        <f t="shared" ref="M962:M1025" si="61">LOG(O962,2)</f>
        <v>0.31000000000000039</v>
      </c>
      <c r="N962" s="30">
        <f t="shared" ref="N962:N1025" si="62">-LOG(D962,10)</f>
        <v>1.3704375072213828</v>
      </c>
      <c r="O962" s="31">
        <f t="shared" ref="O962:O1025" si="63">((2^E962)/(2^F962))</f>
        <v>1.2397076999389869</v>
      </c>
    </row>
    <row r="963" spans="1:15" x14ac:dyDescent="0.25">
      <c r="A963" t="s">
        <v>6700</v>
      </c>
      <c r="B963" t="s">
        <v>1927</v>
      </c>
      <c r="C963" s="3" t="s">
        <v>1928</v>
      </c>
      <c r="D963" s="24">
        <v>4.2821999999999999E-2</v>
      </c>
      <c r="E963" s="25">
        <v>9.8480000000000008</v>
      </c>
      <c r="F963" s="25">
        <v>10.119999999999999</v>
      </c>
      <c r="G963" s="26">
        <v>-0.27689999999999998</v>
      </c>
      <c r="H963" s="27">
        <v>0.1081</v>
      </c>
      <c r="I963" s="26">
        <v>2.5619999999999998</v>
      </c>
      <c r="J963" s="28">
        <v>6</v>
      </c>
      <c r="K963" s="27">
        <v>0.122962</v>
      </c>
      <c r="L963" s="29">
        <f t="shared" si="60"/>
        <v>0.91022908156963289</v>
      </c>
      <c r="M963" s="29">
        <f t="shared" si="61"/>
        <v>-0.27199999999999852</v>
      </c>
      <c r="N963" s="30">
        <f t="shared" si="62"/>
        <v>1.3683330528594275</v>
      </c>
      <c r="O963" s="31">
        <f t="shared" si="63"/>
        <v>0.82817066133454653</v>
      </c>
    </row>
    <row r="964" spans="1:15" x14ac:dyDescent="0.25">
      <c r="A964" t="s">
        <v>6701</v>
      </c>
      <c r="B964" t="s">
        <v>1929</v>
      </c>
      <c r="C964" s="3" t="s">
        <v>1930</v>
      </c>
      <c r="D964" s="24">
        <v>4.3057999999999999E-2</v>
      </c>
      <c r="E964" s="25">
        <v>12.21</v>
      </c>
      <c r="F964" s="25">
        <v>12.78</v>
      </c>
      <c r="G964" s="26">
        <v>-0.57579999999999998</v>
      </c>
      <c r="H964" s="27">
        <v>0.22509999999999999</v>
      </c>
      <c r="I964" s="26">
        <v>2.5569999999999999</v>
      </c>
      <c r="J964" s="28">
        <v>6</v>
      </c>
      <c r="K964" s="27">
        <v>0.12350999999999999</v>
      </c>
      <c r="L964" s="29">
        <f t="shared" si="60"/>
        <v>0.90829787828285147</v>
      </c>
      <c r="M964" s="29">
        <f t="shared" si="61"/>
        <v>-0.5699999999999974</v>
      </c>
      <c r="N964" s="30">
        <f t="shared" si="62"/>
        <v>1.3659461465779292</v>
      </c>
      <c r="O964" s="31">
        <f t="shared" si="63"/>
        <v>0.67361678843284634</v>
      </c>
    </row>
    <row r="965" spans="1:15" x14ac:dyDescent="0.25">
      <c r="A965" t="s">
        <v>6702</v>
      </c>
      <c r="B965" t="s">
        <v>1933</v>
      </c>
      <c r="C965" s="3" t="s">
        <v>1934</v>
      </c>
      <c r="D965" s="24">
        <v>4.3867999999999997E-2</v>
      </c>
      <c r="E965" s="25">
        <v>8.3539999999999992</v>
      </c>
      <c r="F965" s="25">
        <v>8.7899999999999991</v>
      </c>
      <c r="G965" s="26">
        <v>-0.436</v>
      </c>
      <c r="H965" s="27">
        <v>0.1714</v>
      </c>
      <c r="I965" s="26">
        <v>2.544</v>
      </c>
      <c r="J965" s="28">
        <v>6</v>
      </c>
      <c r="K965" s="27">
        <v>0.12557499999999999</v>
      </c>
      <c r="L965" s="29">
        <f t="shared" si="60"/>
        <v>0.90109681316841306</v>
      </c>
      <c r="M965" s="29">
        <f t="shared" si="61"/>
        <v>-0.43599999999999983</v>
      </c>
      <c r="N965" s="30">
        <f t="shared" si="62"/>
        <v>1.3578521652021569</v>
      </c>
      <c r="O965" s="31">
        <f t="shared" si="63"/>
        <v>0.73918121563692107</v>
      </c>
    </row>
    <row r="966" spans="1:15" x14ac:dyDescent="0.25">
      <c r="A966" t="s">
        <v>6703</v>
      </c>
      <c r="B966" t="s">
        <v>1931</v>
      </c>
      <c r="C966" s="3" t="s">
        <v>1932</v>
      </c>
      <c r="D966" s="24">
        <v>4.3861999999999998E-2</v>
      </c>
      <c r="E966" s="25">
        <v>8.6969999999999992</v>
      </c>
      <c r="F966" s="25">
        <v>8.5009999999999994</v>
      </c>
      <c r="G966" s="26">
        <v>0.19620000000000001</v>
      </c>
      <c r="H966" s="27">
        <v>7.7130000000000004E-2</v>
      </c>
      <c r="I966" s="26">
        <v>2.544</v>
      </c>
      <c r="J966" s="28">
        <v>6</v>
      </c>
      <c r="K966" s="27">
        <v>0.12557499999999999</v>
      </c>
      <c r="L966" s="29">
        <f t="shared" si="60"/>
        <v>0.90109681316841306</v>
      </c>
      <c r="M966" s="29">
        <f t="shared" si="61"/>
        <v>0.19599999999999995</v>
      </c>
      <c r="N966" s="30">
        <f t="shared" si="62"/>
        <v>1.3579115694400568</v>
      </c>
      <c r="O966" s="31">
        <f t="shared" si="63"/>
        <v>1.1455178979797569</v>
      </c>
    </row>
    <row r="967" spans="1:15" x14ac:dyDescent="0.25">
      <c r="A967" t="s">
        <v>6704</v>
      </c>
      <c r="B967" t="s">
        <v>1935</v>
      </c>
      <c r="C967" s="3" t="s">
        <v>1936</v>
      </c>
      <c r="D967" s="24">
        <v>4.4009E-2</v>
      </c>
      <c r="E967" s="25">
        <v>9.5</v>
      </c>
      <c r="F967" s="25">
        <v>9.8390000000000004</v>
      </c>
      <c r="G967" s="26">
        <v>-0.33860000000000001</v>
      </c>
      <c r="H967" s="27">
        <v>0.13320000000000001</v>
      </c>
      <c r="I967" s="26">
        <v>2.5409999999999999</v>
      </c>
      <c r="J967" s="28">
        <v>6</v>
      </c>
      <c r="K967" s="27">
        <v>0.12584799999999999</v>
      </c>
      <c r="L967" s="29">
        <f t="shared" si="60"/>
        <v>0.90015368195006951</v>
      </c>
      <c r="M967" s="29">
        <f t="shared" si="61"/>
        <v>-0.33899999999999991</v>
      </c>
      <c r="N967" s="30">
        <f t="shared" si="62"/>
        <v>1.3564584996355555</v>
      </c>
      <c r="O967" s="31">
        <f t="shared" si="63"/>
        <v>0.79058911660394404</v>
      </c>
    </row>
    <row r="968" spans="1:15" x14ac:dyDescent="0.25">
      <c r="A968" t="s">
        <v>6705</v>
      </c>
      <c r="B968" t="s">
        <v>1937</v>
      </c>
      <c r="C968" s="3" t="s">
        <v>1938</v>
      </c>
      <c r="D968" s="24">
        <v>4.4218E-2</v>
      </c>
      <c r="E968" s="25">
        <v>8.6609999999999996</v>
      </c>
      <c r="F968" s="25">
        <v>8.3849999999999998</v>
      </c>
      <c r="G968" s="26">
        <v>0.27600000000000002</v>
      </c>
      <c r="H968" s="27">
        <v>0.10879999999999999</v>
      </c>
      <c r="I968" s="26">
        <v>2.5379999999999998</v>
      </c>
      <c r="J968" s="28">
        <v>6</v>
      </c>
      <c r="K968" s="27">
        <v>0.126301</v>
      </c>
      <c r="L968" s="29">
        <f t="shared" si="60"/>
        <v>0.89859321086380928</v>
      </c>
      <c r="M968" s="29">
        <f t="shared" si="61"/>
        <v>0.27599999999999891</v>
      </c>
      <c r="N968" s="30">
        <f t="shared" si="62"/>
        <v>1.3544009046475545</v>
      </c>
      <c r="O968" s="31">
        <f t="shared" si="63"/>
        <v>1.210833083950553</v>
      </c>
    </row>
    <row r="969" spans="1:15" x14ac:dyDescent="0.25">
      <c r="A969" t="s">
        <v>6706</v>
      </c>
      <c r="B969" t="s">
        <v>1939</v>
      </c>
      <c r="C969" s="3" t="s">
        <v>1940</v>
      </c>
      <c r="D969" s="24">
        <v>4.4259E-2</v>
      </c>
      <c r="E969" s="25">
        <v>9.6340000000000003</v>
      </c>
      <c r="F969" s="25">
        <v>9.3930000000000007</v>
      </c>
      <c r="G969" s="26">
        <v>0.24129999999999999</v>
      </c>
      <c r="H969" s="27">
        <v>9.5119999999999996E-2</v>
      </c>
      <c r="I969" s="26">
        <v>2.5369999999999999</v>
      </c>
      <c r="J969" s="28">
        <v>6</v>
      </c>
      <c r="K969" s="27">
        <v>0.126301</v>
      </c>
      <c r="L969" s="29">
        <f t="shared" si="60"/>
        <v>0.89859321086380928</v>
      </c>
      <c r="M969" s="29">
        <f t="shared" si="61"/>
        <v>0.24099999999999963</v>
      </c>
      <c r="N969" s="30">
        <f t="shared" si="62"/>
        <v>1.3539984028666945</v>
      </c>
      <c r="O969" s="31">
        <f t="shared" si="63"/>
        <v>1.1818115469343651</v>
      </c>
    </row>
    <row r="970" spans="1:15" x14ac:dyDescent="0.25">
      <c r="A970" t="s">
        <v>6707</v>
      </c>
      <c r="B970" t="s">
        <v>1941</v>
      </c>
      <c r="C970" s="3" t="s">
        <v>1942</v>
      </c>
      <c r="D970" s="24">
        <v>4.4891E-2</v>
      </c>
      <c r="E970" s="25">
        <v>8.7409999999999997</v>
      </c>
      <c r="F970" s="25">
        <v>9.3209999999999997</v>
      </c>
      <c r="G970" s="26">
        <v>-0.5796</v>
      </c>
      <c r="H970" s="27">
        <v>0.22939999999999999</v>
      </c>
      <c r="I970" s="26">
        <v>2.5270000000000001</v>
      </c>
      <c r="J970" s="28">
        <v>6</v>
      </c>
      <c r="K970" s="27">
        <v>0.127972</v>
      </c>
      <c r="L970" s="29">
        <f t="shared" si="60"/>
        <v>0.89288504266239832</v>
      </c>
      <c r="M970" s="29">
        <f t="shared" si="61"/>
        <v>-0.58000000000000074</v>
      </c>
      <c r="N970" s="30">
        <f t="shared" si="62"/>
        <v>1.3478407200685039</v>
      </c>
      <c r="O970" s="31">
        <f t="shared" si="63"/>
        <v>0.66896377739305568</v>
      </c>
    </row>
    <row r="971" spans="1:15" x14ac:dyDescent="0.25">
      <c r="A971" t="s">
        <v>6708</v>
      </c>
      <c r="B971" t="s">
        <v>1947</v>
      </c>
      <c r="C971" s="3" t="s">
        <v>1948</v>
      </c>
      <c r="D971" s="24">
        <v>4.5055999999999999E-2</v>
      </c>
      <c r="E971" s="25">
        <v>9.4870000000000001</v>
      </c>
      <c r="F971" s="25">
        <v>9.1479999999999997</v>
      </c>
      <c r="G971" s="26">
        <v>0.33860000000000001</v>
      </c>
      <c r="H971" s="27">
        <v>0.13420000000000001</v>
      </c>
      <c r="I971" s="26">
        <v>2.524</v>
      </c>
      <c r="J971" s="28">
        <v>6</v>
      </c>
      <c r="K971" s="27">
        <v>0.12804599999999999</v>
      </c>
      <c r="L971" s="29">
        <f t="shared" si="60"/>
        <v>0.8926339838106313</v>
      </c>
      <c r="M971" s="29">
        <f t="shared" si="61"/>
        <v>0.33899999999999997</v>
      </c>
      <c r="N971" s="30">
        <f t="shared" si="62"/>
        <v>1.3462473668740005</v>
      </c>
      <c r="O971" s="31">
        <f t="shared" si="63"/>
        <v>1.264879542353937</v>
      </c>
    </row>
    <row r="972" spans="1:15" x14ac:dyDescent="0.25">
      <c r="A972" t="s">
        <v>6709</v>
      </c>
      <c r="B972" t="s">
        <v>1943</v>
      </c>
      <c r="C972" s="3" t="s">
        <v>1944</v>
      </c>
      <c r="D972" s="24">
        <v>4.4979999999999999E-2</v>
      </c>
      <c r="E972" s="25">
        <v>10.98</v>
      </c>
      <c r="F972" s="25">
        <v>10.63</v>
      </c>
      <c r="G972" s="26">
        <v>0.34989999999999999</v>
      </c>
      <c r="H972" s="27">
        <v>0.1386</v>
      </c>
      <c r="I972" s="26">
        <v>2.5249999999999999</v>
      </c>
      <c r="J972" s="28">
        <v>6</v>
      </c>
      <c r="K972" s="27">
        <v>0.12804599999999999</v>
      </c>
      <c r="L972" s="29">
        <f t="shared" si="60"/>
        <v>0.8926339838106313</v>
      </c>
      <c r="M972" s="29">
        <f t="shared" si="61"/>
        <v>0.35000000000000087</v>
      </c>
      <c r="N972" s="30">
        <f t="shared" si="62"/>
        <v>1.3469805489003865</v>
      </c>
      <c r="O972" s="31">
        <f t="shared" si="63"/>
        <v>1.2745606273192629</v>
      </c>
    </row>
    <row r="973" spans="1:15" x14ac:dyDescent="0.25">
      <c r="A973" t="s">
        <v>6710</v>
      </c>
      <c r="B973" t="s">
        <v>1945</v>
      </c>
      <c r="C973" s="3" t="s">
        <v>1946</v>
      </c>
      <c r="D973" s="24">
        <v>4.5046999999999997E-2</v>
      </c>
      <c r="E973" s="25">
        <v>12.57</v>
      </c>
      <c r="F973" s="25">
        <v>12.85</v>
      </c>
      <c r="G973" s="26">
        <v>-0.27750000000000002</v>
      </c>
      <c r="H973" s="27">
        <v>0.11</v>
      </c>
      <c r="I973" s="26">
        <v>2.524</v>
      </c>
      <c r="J973" s="28">
        <v>6</v>
      </c>
      <c r="K973" s="27">
        <v>0.12804599999999999</v>
      </c>
      <c r="L973" s="29">
        <f t="shared" si="60"/>
        <v>0.8926339838106313</v>
      </c>
      <c r="M973" s="29">
        <f t="shared" si="61"/>
        <v>-0.28000000000000064</v>
      </c>
      <c r="N973" s="30">
        <f t="shared" si="62"/>
        <v>1.346334126479122</v>
      </c>
      <c r="O973" s="31">
        <f t="shared" si="63"/>
        <v>0.82359101726757278</v>
      </c>
    </row>
    <row r="974" spans="1:15" x14ac:dyDescent="0.25">
      <c r="A974" t="s">
        <v>6711</v>
      </c>
      <c r="B974" t="s">
        <v>1949</v>
      </c>
      <c r="C974" s="3" t="s">
        <v>1950</v>
      </c>
      <c r="D974" s="24">
        <v>4.5141000000000001E-2</v>
      </c>
      <c r="E974" s="25">
        <v>7.0419999999999998</v>
      </c>
      <c r="F974" s="25">
        <v>6.7629999999999999</v>
      </c>
      <c r="G974" s="26">
        <v>0.2797</v>
      </c>
      <c r="H974" s="27">
        <v>0.1109</v>
      </c>
      <c r="I974" s="26">
        <v>2.5219999999999998</v>
      </c>
      <c r="J974" s="28">
        <v>6</v>
      </c>
      <c r="K974" s="27">
        <v>0.12815399999999999</v>
      </c>
      <c r="L974" s="29">
        <f t="shared" si="60"/>
        <v>0.89226783387445796</v>
      </c>
      <c r="M974" s="29">
        <f t="shared" si="61"/>
        <v>0.27900000000000008</v>
      </c>
      <c r="N974" s="30">
        <f t="shared" si="62"/>
        <v>1.3454288243085126</v>
      </c>
      <c r="O974" s="31">
        <f t="shared" si="63"/>
        <v>1.2133535602486929</v>
      </c>
    </row>
    <row r="975" spans="1:15" x14ac:dyDescent="0.25">
      <c r="A975" t="s">
        <v>6712</v>
      </c>
      <c r="B975" t="s">
        <v>1951</v>
      </c>
      <c r="C975" s="3" t="s">
        <v>1952</v>
      </c>
      <c r="D975" s="24">
        <v>4.5215999999999999E-2</v>
      </c>
      <c r="E975" s="25">
        <v>9.7119999999999997</v>
      </c>
      <c r="F975" s="25">
        <v>9.1609999999999996</v>
      </c>
      <c r="G975" s="26">
        <v>0.55100000000000005</v>
      </c>
      <c r="H975" s="27">
        <v>0.21859999999999999</v>
      </c>
      <c r="I975" s="26">
        <v>2.5209999999999999</v>
      </c>
      <c r="J975" s="28">
        <v>6</v>
      </c>
      <c r="K975" s="27">
        <v>0.12823799999999999</v>
      </c>
      <c r="L975" s="29">
        <f t="shared" si="60"/>
        <v>0.89198326385834881</v>
      </c>
      <c r="M975" s="29">
        <f t="shared" si="61"/>
        <v>0.55100000000000127</v>
      </c>
      <c r="N975" s="30">
        <f t="shared" si="62"/>
        <v>1.3447078598315354</v>
      </c>
      <c r="O975" s="31">
        <f t="shared" si="63"/>
        <v>1.465100874611339</v>
      </c>
    </row>
    <row r="976" spans="1:15" x14ac:dyDescent="0.25">
      <c r="A976" t="s">
        <v>6713</v>
      </c>
      <c r="B976" t="s">
        <v>1953</v>
      </c>
      <c r="C976" s="3" t="s">
        <v>1954</v>
      </c>
      <c r="D976" s="24">
        <v>4.5276999999999998E-2</v>
      </c>
      <c r="E976" s="25">
        <v>13.18</v>
      </c>
      <c r="F976" s="25">
        <v>13.58</v>
      </c>
      <c r="G976" s="26">
        <v>-0.39560000000000001</v>
      </c>
      <c r="H976" s="27">
        <v>0.157</v>
      </c>
      <c r="I976" s="26">
        <v>2.52</v>
      </c>
      <c r="J976" s="28">
        <v>6</v>
      </c>
      <c r="K976" s="27">
        <v>0.128278</v>
      </c>
      <c r="L976" s="29">
        <f t="shared" si="60"/>
        <v>0.89184781983601147</v>
      </c>
      <c r="M976" s="29">
        <f t="shared" si="61"/>
        <v>-0.39999999999999991</v>
      </c>
      <c r="N976" s="30">
        <f t="shared" si="62"/>
        <v>1.3441223567007148</v>
      </c>
      <c r="O976" s="31">
        <f t="shared" si="63"/>
        <v>0.75785828325519911</v>
      </c>
    </row>
    <row r="977" spans="1:15" x14ac:dyDescent="0.25">
      <c r="A977" t="s">
        <v>6714</v>
      </c>
      <c r="B977" t="s">
        <v>1957</v>
      </c>
      <c r="C977" s="3" t="s">
        <v>1958</v>
      </c>
      <c r="D977" s="24">
        <v>4.5648000000000001E-2</v>
      </c>
      <c r="E977" s="25">
        <v>7.1379999999999999</v>
      </c>
      <c r="F977" s="25">
        <v>8.6</v>
      </c>
      <c r="G977" s="26">
        <v>-1.4610000000000001</v>
      </c>
      <c r="H977" s="27">
        <v>0.58130000000000004</v>
      </c>
      <c r="I977" s="26">
        <v>2.5139999999999998</v>
      </c>
      <c r="J977" s="28">
        <v>6</v>
      </c>
      <c r="K977" s="27">
        <v>0.12906300000000001</v>
      </c>
      <c r="L977" s="29">
        <f t="shared" si="60"/>
        <v>0.88919824416998161</v>
      </c>
      <c r="M977" s="29">
        <f t="shared" si="61"/>
        <v>-1.4620000000000009</v>
      </c>
      <c r="N977" s="30">
        <f t="shared" si="62"/>
        <v>1.3405782456869988</v>
      </c>
      <c r="O977" s="31">
        <f t="shared" si="63"/>
        <v>0.36298956997597343</v>
      </c>
    </row>
    <row r="978" spans="1:15" x14ac:dyDescent="0.25">
      <c r="A978" t="s">
        <v>6715</v>
      </c>
      <c r="B978" t="s">
        <v>1955</v>
      </c>
      <c r="C978" s="3" t="s">
        <v>1956</v>
      </c>
      <c r="D978" s="24">
        <v>4.5612E-2</v>
      </c>
      <c r="E978" s="25">
        <v>8.1530000000000005</v>
      </c>
      <c r="F978" s="25">
        <v>8.5869999999999997</v>
      </c>
      <c r="G978" s="26">
        <v>-0.43409999999999999</v>
      </c>
      <c r="H978" s="27">
        <v>0.1726</v>
      </c>
      <c r="I978" s="26">
        <v>2.5150000000000001</v>
      </c>
      <c r="J978" s="28">
        <v>6</v>
      </c>
      <c r="K978" s="27">
        <v>0.12906300000000001</v>
      </c>
      <c r="L978" s="29">
        <f t="shared" si="60"/>
        <v>0.88919824416998161</v>
      </c>
      <c r="M978" s="29">
        <f t="shared" si="61"/>
        <v>-0.43399999999999905</v>
      </c>
      <c r="N978" s="30">
        <f t="shared" si="62"/>
        <v>1.3409208843492713</v>
      </c>
      <c r="O978" s="31">
        <f t="shared" si="63"/>
        <v>0.74020664900002497</v>
      </c>
    </row>
    <row r="979" spans="1:15" x14ac:dyDescent="0.25">
      <c r="A979" t="s">
        <v>6716</v>
      </c>
      <c r="B979" t="s">
        <v>1959</v>
      </c>
      <c r="C979" s="3" t="s">
        <v>1960</v>
      </c>
      <c r="D979" s="24">
        <v>4.5893000000000003E-2</v>
      </c>
      <c r="E979" s="25">
        <v>8.3689999999999998</v>
      </c>
      <c r="F979" s="25">
        <v>8.7210000000000001</v>
      </c>
      <c r="G979" s="26">
        <v>-0.35270000000000001</v>
      </c>
      <c r="H979" s="27">
        <v>0.14050000000000001</v>
      </c>
      <c r="I979" s="26">
        <v>2.5099999999999998</v>
      </c>
      <c r="J979" s="28">
        <v>6</v>
      </c>
      <c r="K979" s="27">
        <v>0.12962499999999999</v>
      </c>
      <c r="L979" s="29">
        <f t="shared" si="60"/>
        <v>0.88731123060290262</v>
      </c>
      <c r="M979" s="29">
        <f t="shared" si="61"/>
        <v>-0.35200000000000031</v>
      </c>
      <c r="N979" s="30">
        <f t="shared" si="62"/>
        <v>1.338253551787572</v>
      </c>
      <c r="O979" s="31">
        <f t="shared" si="63"/>
        <v>0.78349718694934056</v>
      </c>
    </row>
    <row r="980" spans="1:15" x14ac:dyDescent="0.25">
      <c r="A980" t="s">
        <v>6717</v>
      </c>
      <c r="B980" t="s">
        <v>1965</v>
      </c>
      <c r="C980" s="3" t="s">
        <v>1966</v>
      </c>
      <c r="D980" s="24">
        <v>4.6363000000000001E-2</v>
      </c>
      <c r="E980" s="25">
        <v>8.0380000000000003</v>
      </c>
      <c r="F980" s="25">
        <v>7.8959999999999999</v>
      </c>
      <c r="G980" s="26">
        <v>0.14199999999999999</v>
      </c>
      <c r="H980" s="27">
        <v>5.6730000000000003E-2</v>
      </c>
      <c r="I980" s="26">
        <v>2.5030000000000001</v>
      </c>
      <c r="J980" s="28">
        <v>6</v>
      </c>
      <c r="K980" s="27">
        <v>0.130553</v>
      </c>
      <c r="L980" s="29">
        <f t="shared" si="60"/>
        <v>0.88421314399824857</v>
      </c>
      <c r="M980" s="29">
        <f t="shared" si="61"/>
        <v>0.14200000000000129</v>
      </c>
      <c r="N980" s="30">
        <f t="shared" si="62"/>
        <v>1.3338284700058507</v>
      </c>
      <c r="O980" s="31">
        <f t="shared" si="63"/>
        <v>1.1034337400419603</v>
      </c>
    </row>
    <row r="981" spans="1:15" x14ac:dyDescent="0.25">
      <c r="A981" t="s">
        <v>6718</v>
      </c>
      <c r="B981" t="s">
        <v>1961</v>
      </c>
      <c r="C981" s="3" t="s">
        <v>1962</v>
      </c>
      <c r="D981" s="24">
        <v>4.6288000000000003E-2</v>
      </c>
      <c r="E981" s="25">
        <v>8.5210000000000008</v>
      </c>
      <c r="F981" s="25">
        <v>7.9729999999999999</v>
      </c>
      <c r="G981" s="26">
        <v>0.54769999999999996</v>
      </c>
      <c r="H981" s="27">
        <v>0.21879999999999999</v>
      </c>
      <c r="I981" s="26">
        <v>2.504</v>
      </c>
      <c r="J981" s="28">
        <v>6</v>
      </c>
      <c r="K981" s="27">
        <v>0.130553</v>
      </c>
      <c r="L981" s="29">
        <f t="shared" si="60"/>
        <v>0.88421314399824857</v>
      </c>
      <c r="M981" s="29">
        <f t="shared" si="61"/>
        <v>0.54800000000000137</v>
      </c>
      <c r="N981" s="30">
        <f t="shared" si="62"/>
        <v>1.334531583696092</v>
      </c>
      <c r="O981" s="31">
        <f t="shared" si="63"/>
        <v>1.4620574484000346</v>
      </c>
    </row>
    <row r="982" spans="1:15" x14ac:dyDescent="0.25">
      <c r="A982" t="s">
        <v>6719</v>
      </c>
      <c r="B982" t="s">
        <v>1963</v>
      </c>
      <c r="C982" s="3" t="s">
        <v>1964</v>
      </c>
      <c r="D982" s="24">
        <v>4.6323999999999997E-2</v>
      </c>
      <c r="E982" s="25">
        <v>8.3239999999999998</v>
      </c>
      <c r="F982" s="25">
        <v>8.6940000000000008</v>
      </c>
      <c r="G982" s="26">
        <v>-0.36990000000000001</v>
      </c>
      <c r="H982" s="27">
        <v>0.1477</v>
      </c>
      <c r="I982" s="26">
        <v>2.5030000000000001</v>
      </c>
      <c r="J982" s="28">
        <v>6</v>
      </c>
      <c r="K982" s="27">
        <v>0.130553</v>
      </c>
      <c r="L982" s="29">
        <f t="shared" si="60"/>
        <v>0.88421314399824857</v>
      </c>
      <c r="M982" s="29">
        <f t="shared" si="61"/>
        <v>-0.37000000000000172</v>
      </c>
      <c r="N982" s="30">
        <f t="shared" si="62"/>
        <v>1.3341939470585942</v>
      </c>
      <c r="O982" s="31">
        <f t="shared" si="63"/>
        <v>0.77378249677119404</v>
      </c>
    </row>
    <row r="983" spans="1:15" x14ac:dyDescent="0.25">
      <c r="A983" t="s">
        <v>6720</v>
      </c>
      <c r="B983" t="s">
        <v>1973</v>
      </c>
      <c r="C983" s="3" t="s">
        <v>1974</v>
      </c>
      <c r="D983" s="24">
        <v>4.6613000000000002E-2</v>
      </c>
      <c r="E983" s="25">
        <v>9.5670000000000002</v>
      </c>
      <c r="F983" s="25">
        <v>9.2859999999999996</v>
      </c>
      <c r="G983" s="26">
        <v>0.28139999999999998</v>
      </c>
      <c r="H983" s="27">
        <v>0.11260000000000001</v>
      </c>
      <c r="I983" s="26">
        <v>2.4990000000000001</v>
      </c>
      <c r="J983" s="28">
        <v>6</v>
      </c>
      <c r="K983" s="27">
        <v>0.130722</v>
      </c>
      <c r="L983" s="29">
        <f t="shared" si="60"/>
        <v>0.88365131621007431</v>
      </c>
      <c r="M983" s="29">
        <f t="shared" si="61"/>
        <v>0.28100000000000092</v>
      </c>
      <c r="N983" s="30">
        <f t="shared" si="62"/>
        <v>1.3314929450931985</v>
      </c>
      <c r="O983" s="31">
        <f t="shared" si="63"/>
        <v>1.2150367919050167</v>
      </c>
    </row>
    <row r="984" spans="1:15" x14ac:dyDescent="0.25">
      <c r="A984" t="s">
        <v>6721</v>
      </c>
      <c r="B984" t="s">
        <v>1969</v>
      </c>
      <c r="C984" s="3" t="s">
        <v>1970</v>
      </c>
      <c r="D984" s="24">
        <v>4.6549E-2</v>
      </c>
      <c r="E984" s="25">
        <v>10.46</v>
      </c>
      <c r="F984" s="25">
        <v>10.68</v>
      </c>
      <c r="G984" s="26">
        <v>-0.2177</v>
      </c>
      <c r="H984" s="27">
        <v>8.7069999999999995E-2</v>
      </c>
      <c r="I984" s="26">
        <v>2.5</v>
      </c>
      <c r="J984" s="28">
        <v>6</v>
      </c>
      <c r="K984" s="27">
        <v>0.130722</v>
      </c>
      <c r="L984" s="29">
        <f t="shared" si="60"/>
        <v>0.88365131621007431</v>
      </c>
      <c r="M984" s="29">
        <f t="shared" si="61"/>
        <v>-0.2199999999999982</v>
      </c>
      <c r="N984" s="30">
        <f t="shared" si="62"/>
        <v>1.3320896444172634</v>
      </c>
      <c r="O984" s="31">
        <f t="shared" si="63"/>
        <v>0.85856543643775485</v>
      </c>
    </row>
    <row r="985" spans="1:15" x14ac:dyDescent="0.25">
      <c r="A985" t="s">
        <v>6722</v>
      </c>
      <c r="B985" t="s">
        <v>1971</v>
      </c>
      <c r="C985" s="3" t="s">
        <v>1972</v>
      </c>
      <c r="D985" s="24">
        <v>4.6568999999999999E-2</v>
      </c>
      <c r="E985" s="25">
        <v>11.74</v>
      </c>
      <c r="F985" s="25">
        <v>11.4</v>
      </c>
      <c r="G985" s="26">
        <v>0.33739999999999998</v>
      </c>
      <c r="H985" s="27">
        <v>0.13500000000000001</v>
      </c>
      <c r="I985" s="26">
        <v>2.4990000000000001</v>
      </c>
      <c r="J985" s="28">
        <v>6</v>
      </c>
      <c r="K985" s="27">
        <v>0.130722</v>
      </c>
      <c r="L985" s="29">
        <f t="shared" si="60"/>
        <v>0.88365131621007431</v>
      </c>
      <c r="M985" s="29">
        <f t="shared" si="61"/>
        <v>0.33999999999999897</v>
      </c>
      <c r="N985" s="30">
        <f t="shared" si="62"/>
        <v>1.331903087795093</v>
      </c>
      <c r="O985" s="31">
        <f t="shared" si="63"/>
        <v>1.2657565939702791</v>
      </c>
    </row>
    <row r="986" spans="1:15" x14ac:dyDescent="0.25">
      <c r="A986" t="s">
        <v>6723</v>
      </c>
      <c r="B986" t="s">
        <v>1967</v>
      </c>
      <c r="C986" s="3" t="s">
        <v>1968</v>
      </c>
      <c r="D986" s="24">
        <v>4.6537000000000002E-2</v>
      </c>
      <c r="E986" s="25">
        <v>12.4</v>
      </c>
      <c r="F986" s="25">
        <v>12.58</v>
      </c>
      <c r="G986" s="26">
        <v>-0.17119999999999999</v>
      </c>
      <c r="H986" s="27">
        <v>6.8489999999999995E-2</v>
      </c>
      <c r="I986" s="26">
        <v>2.5</v>
      </c>
      <c r="J986" s="28">
        <v>6</v>
      </c>
      <c r="K986" s="27">
        <v>0.130722</v>
      </c>
      <c r="L986" s="29">
        <f t="shared" si="60"/>
        <v>0.88365131621007431</v>
      </c>
      <c r="M986" s="29">
        <f t="shared" si="61"/>
        <v>-0.18000000000000185</v>
      </c>
      <c r="N986" s="30">
        <f t="shared" si="62"/>
        <v>1.3322016168687965</v>
      </c>
      <c r="O986" s="31">
        <f t="shared" si="63"/>
        <v>0.88270299629065374</v>
      </c>
    </row>
    <row r="987" spans="1:15" x14ac:dyDescent="0.25">
      <c r="A987" t="s">
        <v>6724</v>
      </c>
      <c r="B987" t="s">
        <v>1975</v>
      </c>
      <c r="C987" s="3" t="s">
        <v>1976</v>
      </c>
      <c r="D987" s="24">
        <v>4.6693999999999999E-2</v>
      </c>
      <c r="E987" s="25">
        <v>9.6349999999999998</v>
      </c>
      <c r="F987" s="25">
        <v>9.8770000000000007</v>
      </c>
      <c r="G987" s="26">
        <v>-0.24210000000000001</v>
      </c>
      <c r="H987" s="27">
        <v>9.6949999999999995E-2</v>
      </c>
      <c r="I987" s="26">
        <v>2.4969999999999999</v>
      </c>
      <c r="J987" s="28">
        <v>6</v>
      </c>
      <c r="K987" s="27">
        <v>0.13081799999999999</v>
      </c>
      <c r="L987" s="29">
        <f t="shared" si="60"/>
        <v>0.88333249482799059</v>
      </c>
      <c r="M987" s="29">
        <f t="shared" si="61"/>
        <v>-0.24200000000000127</v>
      </c>
      <c r="N987" s="30">
        <f t="shared" si="62"/>
        <v>1.3307389210248894</v>
      </c>
      <c r="O987" s="31">
        <f t="shared" si="63"/>
        <v>0.84557228737751577</v>
      </c>
    </row>
    <row r="988" spans="1:15" x14ac:dyDescent="0.25">
      <c r="A988" t="s">
        <v>6725</v>
      </c>
      <c r="B988" t="s">
        <v>1977</v>
      </c>
      <c r="C988" s="3" t="s">
        <v>1978</v>
      </c>
      <c r="D988" s="24">
        <v>4.6764E-2</v>
      </c>
      <c r="E988" s="25">
        <v>8.77</v>
      </c>
      <c r="F988" s="25">
        <v>8.4380000000000006</v>
      </c>
      <c r="G988" s="26">
        <v>0.33229999999999998</v>
      </c>
      <c r="H988" s="27">
        <v>0.1331</v>
      </c>
      <c r="I988" s="26">
        <v>2.496</v>
      </c>
      <c r="J988" s="28">
        <v>6</v>
      </c>
      <c r="K988" s="27">
        <v>0.13088</v>
      </c>
      <c r="L988" s="29">
        <f t="shared" si="60"/>
        <v>0.88312671367275219</v>
      </c>
      <c r="M988" s="29">
        <f t="shared" si="61"/>
        <v>0.33199999999999807</v>
      </c>
      <c r="N988" s="30">
        <f t="shared" si="62"/>
        <v>1.3300883481596848</v>
      </c>
      <c r="O988" s="31">
        <f t="shared" si="63"/>
        <v>1.2587571735048559</v>
      </c>
    </row>
    <row r="989" spans="1:15" x14ac:dyDescent="0.25">
      <c r="A989" t="s">
        <v>6726</v>
      </c>
      <c r="B989" t="s">
        <v>1979</v>
      </c>
      <c r="C989" s="3" t="s">
        <v>1980</v>
      </c>
      <c r="D989" s="24">
        <v>4.6976999999999998E-2</v>
      </c>
      <c r="E989" s="25">
        <v>8.0109999999999992</v>
      </c>
      <c r="F989" s="25">
        <v>8.4710000000000001</v>
      </c>
      <c r="G989" s="26">
        <v>-0.46039999999999998</v>
      </c>
      <c r="H989" s="27">
        <v>0.1847</v>
      </c>
      <c r="I989" s="26">
        <v>2.4929999999999999</v>
      </c>
      <c r="J989" s="28">
        <v>6</v>
      </c>
      <c r="K989" s="27">
        <v>0.131078</v>
      </c>
      <c r="L989" s="29">
        <f t="shared" si="60"/>
        <v>0.88247019374366131</v>
      </c>
      <c r="M989" s="29">
        <f t="shared" si="61"/>
        <v>-0.46000000000000124</v>
      </c>
      <c r="N989" s="30">
        <f t="shared" si="62"/>
        <v>1.3281147211694508</v>
      </c>
      <c r="O989" s="31">
        <f t="shared" si="63"/>
        <v>0.72698625866015465</v>
      </c>
    </row>
    <row r="990" spans="1:15" x14ac:dyDescent="0.25">
      <c r="A990" t="s">
        <v>6727</v>
      </c>
      <c r="B990" t="s">
        <v>1983</v>
      </c>
      <c r="C990" s="3" t="s">
        <v>1984</v>
      </c>
      <c r="D990" s="24">
        <v>4.6976999999999998E-2</v>
      </c>
      <c r="E990" s="25">
        <v>8.0109999999999992</v>
      </c>
      <c r="F990" s="25">
        <v>8.4710000000000001</v>
      </c>
      <c r="G990" s="26">
        <v>-0.46039999999999998</v>
      </c>
      <c r="H990" s="27">
        <v>0.1847</v>
      </c>
      <c r="I990" s="26">
        <v>2.4929999999999999</v>
      </c>
      <c r="J990" s="28">
        <v>6</v>
      </c>
      <c r="K990" s="27">
        <v>0.131078</v>
      </c>
      <c r="L990" s="29">
        <f t="shared" si="60"/>
        <v>0.88247019374366131</v>
      </c>
      <c r="M990" s="29">
        <f t="shared" si="61"/>
        <v>-0.46000000000000124</v>
      </c>
      <c r="N990" s="30">
        <f t="shared" si="62"/>
        <v>1.3281147211694508</v>
      </c>
      <c r="O990" s="31">
        <f t="shared" si="63"/>
        <v>0.72698625866015465</v>
      </c>
    </row>
    <row r="991" spans="1:15" x14ac:dyDescent="0.25">
      <c r="A991" t="s">
        <v>6728</v>
      </c>
      <c r="B991" t="s">
        <v>1981</v>
      </c>
      <c r="C991" s="3" t="s">
        <v>1982</v>
      </c>
      <c r="D991" s="24">
        <v>4.6976999999999998E-2</v>
      </c>
      <c r="E991" s="25">
        <v>8.0109999999999992</v>
      </c>
      <c r="F991" s="25">
        <v>8.4710000000000001</v>
      </c>
      <c r="G991" s="26">
        <v>-0.46039999999999998</v>
      </c>
      <c r="H991" s="27">
        <v>0.1847</v>
      </c>
      <c r="I991" s="26">
        <v>2.4929999999999999</v>
      </c>
      <c r="J991" s="28">
        <v>6</v>
      </c>
      <c r="K991" s="27">
        <v>0.131078</v>
      </c>
      <c r="L991" s="29">
        <f t="shared" si="60"/>
        <v>0.88247019374366131</v>
      </c>
      <c r="M991" s="29">
        <f t="shared" si="61"/>
        <v>-0.46000000000000124</v>
      </c>
      <c r="N991" s="30">
        <f t="shared" si="62"/>
        <v>1.3281147211694508</v>
      </c>
      <c r="O991" s="31">
        <f t="shared" si="63"/>
        <v>0.72698625866015465</v>
      </c>
    </row>
    <row r="992" spans="1:15" x14ac:dyDescent="0.25">
      <c r="A992" t="s">
        <v>6729</v>
      </c>
      <c r="B992" t="s">
        <v>1985</v>
      </c>
      <c r="C992" s="3" t="s">
        <v>1986</v>
      </c>
      <c r="D992" s="24">
        <v>4.7058000000000003E-2</v>
      </c>
      <c r="E992" s="25">
        <v>9.0340000000000007</v>
      </c>
      <c r="F992" s="25">
        <v>9.14</v>
      </c>
      <c r="G992" s="26">
        <v>-0.1061</v>
      </c>
      <c r="H992" s="27">
        <v>4.2599999999999999E-2</v>
      </c>
      <c r="I992" s="26">
        <v>2.492</v>
      </c>
      <c r="J992" s="28">
        <v>6</v>
      </c>
      <c r="K992" s="27">
        <v>0.13117000000000001</v>
      </c>
      <c r="L992" s="29">
        <f t="shared" si="60"/>
        <v>0.88216548145625251</v>
      </c>
      <c r="M992" s="29">
        <f t="shared" si="61"/>
        <v>-0.106</v>
      </c>
      <c r="N992" s="30">
        <f t="shared" si="62"/>
        <v>1.3273665346062655</v>
      </c>
      <c r="O992" s="31">
        <f t="shared" si="63"/>
        <v>0.92916067425091331</v>
      </c>
    </row>
    <row r="993" spans="1:15" x14ac:dyDescent="0.25">
      <c r="A993" t="s">
        <v>6730</v>
      </c>
      <c r="B993" t="s">
        <v>1987</v>
      </c>
      <c r="C993" s="3" t="s">
        <v>1988</v>
      </c>
      <c r="D993" s="24">
        <v>4.7135000000000003E-2</v>
      </c>
      <c r="E993" s="25">
        <v>9.6609999999999996</v>
      </c>
      <c r="F993" s="25">
        <v>10.29</v>
      </c>
      <c r="G993" s="26">
        <v>-0.63109999999999999</v>
      </c>
      <c r="H993" s="27">
        <v>0.25340000000000001</v>
      </c>
      <c r="I993" s="26">
        <v>2.4900000000000002</v>
      </c>
      <c r="J993" s="28">
        <v>6</v>
      </c>
      <c r="K993" s="27">
        <v>0.13125300000000001</v>
      </c>
      <c r="L993" s="29">
        <f t="shared" si="60"/>
        <v>0.88189076130443711</v>
      </c>
      <c r="M993" s="29">
        <f t="shared" si="61"/>
        <v>-0.62899999999999945</v>
      </c>
      <c r="N993" s="30">
        <f t="shared" si="62"/>
        <v>1.3266564885825578</v>
      </c>
      <c r="O993" s="31">
        <f t="shared" si="63"/>
        <v>0.64662446594374368</v>
      </c>
    </row>
    <row r="994" spans="1:15" x14ac:dyDescent="0.25">
      <c r="A994" t="s">
        <v>6731</v>
      </c>
      <c r="B994" t="s">
        <v>1991</v>
      </c>
      <c r="C994" s="3" t="s">
        <v>1992</v>
      </c>
      <c r="D994" s="24">
        <v>4.7280000000000003E-2</v>
      </c>
      <c r="E994" s="25">
        <v>11.28</v>
      </c>
      <c r="F994" s="25">
        <v>10.92</v>
      </c>
      <c r="G994" s="26">
        <v>0.3584</v>
      </c>
      <c r="H994" s="27">
        <v>0.14399999999999999</v>
      </c>
      <c r="I994" s="26">
        <v>2.488</v>
      </c>
      <c r="J994" s="28">
        <v>6</v>
      </c>
      <c r="K994" s="27">
        <v>0.13139300000000001</v>
      </c>
      <c r="L994" s="29">
        <f t="shared" si="60"/>
        <v>0.88142777132381755</v>
      </c>
      <c r="M994" s="29">
        <f t="shared" si="61"/>
        <v>0.35999999999999982</v>
      </c>
      <c r="N994" s="30">
        <f t="shared" si="62"/>
        <v>1.325322532126801</v>
      </c>
      <c r="O994" s="31">
        <f t="shared" si="63"/>
        <v>1.283425897562904</v>
      </c>
    </row>
    <row r="995" spans="1:15" x14ac:dyDescent="0.25">
      <c r="A995" t="s">
        <v>6732</v>
      </c>
      <c r="B995" t="s">
        <v>1989</v>
      </c>
      <c r="C995" s="3" t="s">
        <v>1990</v>
      </c>
      <c r="D995" s="24">
        <v>4.7251000000000001E-2</v>
      </c>
      <c r="E995" s="25">
        <v>8.9269999999999996</v>
      </c>
      <c r="F995" s="25">
        <v>8.3040000000000003</v>
      </c>
      <c r="G995" s="26">
        <v>0.62280000000000002</v>
      </c>
      <c r="H995" s="27">
        <v>0.25030000000000002</v>
      </c>
      <c r="I995" s="26">
        <v>2.4889999999999999</v>
      </c>
      <c r="J995" s="28">
        <v>6</v>
      </c>
      <c r="K995" s="27">
        <v>0.13139300000000001</v>
      </c>
      <c r="L995" s="29">
        <f t="shared" si="60"/>
        <v>0.88142777132381755</v>
      </c>
      <c r="M995" s="29">
        <f t="shared" si="61"/>
        <v>0.62299999999999967</v>
      </c>
      <c r="N995" s="30">
        <f t="shared" si="62"/>
        <v>1.3255889958343741</v>
      </c>
      <c r="O995" s="31">
        <f t="shared" si="63"/>
        <v>1.5400743484721426</v>
      </c>
    </row>
    <row r="996" spans="1:15" x14ac:dyDescent="0.25">
      <c r="A996" t="s">
        <v>6733</v>
      </c>
      <c r="B996" t="s">
        <v>1993</v>
      </c>
      <c r="C996" s="3" t="s">
        <v>1994</v>
      </c>
      <c r="D996" s="24">
        <v>4.7342000000000002E-2</v>
      </c>
      <c r="E996" s="25">
        <v>9.8140000000000001</v>
      </c>
      <c r="F996" s="25">
        <v>9.5380000000000003</v>
      </c>
      <c r="G996" s="26">
        <v>0.27629999999999999</v>
      </c>
      <c r="H996" s="27">
        <v>0.1111</v>
      </c>
      <c r="I996" s="26">
        <v>2.4870000000000001</v>
      </c>
      <c r="J996" s="28">
        <v>6</v>
      </c>
      <c r="K996" s="27">
        <v>0.13143299999999999</v>
      </c>
      <c r="L996" s="29">
        <f t="shared" si="60"/>
        <v>0.88129557907944112</v>
      </c>
      <c r="M996" s="29">
        <f t="shared" si="61"/>
        <v>0.27600000000000025</v>
      </c>
      <c r="N996" s="30">
        <f t="shared" si="62"/>
        <v>1.324753398907645</v>
      </c>
      <c r="O996" s="31">
        <f t="shared" si="63"/>
        <v>1.2108330839505541</v>
      </c>
    </row>
    <row r="997" spans="1:15" x14ac:dyDescent="0.25">
      <c r="A997" t="s">
        <v>6734</v>
      </c>
      <c r="B997" t="s">
        <v>1995</v>
      </c>
      <c r="C997" s="3" t="s">
        <v>1996</v>
      </c>
      <c r="D997" s="24">
        <v>4.7691999999999998E-2</v>
      </c>
      <c r="E997" s="25">
        <v>9.2230000000000008</v>
      </c>
      <c r="F997" s="25">
        <v>8.8949999999999996</v>
      </c>
      <c r="G997" s="26">
        <v>0.32769999999999999</v>
      </c>
      <c r="H997" s="27">
        <v>0.13200000000000001</v>
      </c>
      <c r="I997" s="26">
        <v>2.4820000000000002</v>
      </c>
      <c r="J997" s="28">
        <v>6</v>
      </c>
      <c r="K997" s="27">
        <v>0.13227</v>
      </c>
      <c r="L997" s="29">
        <f t="shared" si="60"/>
        <v>0.87853864645401492</v>
      </c>
      <c r="M997" s="29">
        <f t="shared" si="61"/>
        <v>0.32800000000000162</v>
      </c>
      <c r="N997" s="30">
        <f t="shared" si="62"/>
        <v>1.3215544647175046</v>
      </c>
      <c r="O997" s="31">
        <f t="shared" si="63"/>
        <v>1.2552719912826447</v>
      </c>
    </row>
    <row r="998" spans="1:15" x14ac:dyDescent="0.25">
      <c r="A998" t="s">
        <v>6735</v>
      </c>
      <c r="B998" t="s">
        <v>1997</v>
      </c>
      <c r="C998" s="3" t="s">
        <v>1998</v>
      </c>
      <c r="D998" s="24">
        <v>4.7743000000000001E-2</v>
      </c>
      <c r="E998" s="25">
        <v>11.19</v>
      </c>
      <c r="F998" s="25">
        <v>11</v>
      </c>
      <c r="G998" s="26">
        <v>0.18820000000000001</v>
      </c>
      <c r="H998" s="27">
        <v>7.5840000000000005E-2</v>
      </c>
      <c r="I998" s="26">
        <v>2.4809999999999999</v>
      </c>
      <c r="J998" s="28">
        <v>6</v>
      </c>
      <c r="K998" s="27">
        <v>0.13228000000000001</v>
      </c>
      <c r="L998" s="29">
        <f t="shared" si="60"/>
        <v>0.8785058137583347</v>
      </c>
      <c r="M998" s="29">
        <f t="shared" si="61"/>
        <v>0.18999999999999972</v>
      </c>
      <c r="N998" s="30">
        <f t="shared" si="62"/>
        <v>1.321090294954095</v>
      </c>
      <c r="O998" s="31">
        <f t="shared" si="63"/>
        <v>1.1407637158684234</v>
      </c>
    </row>
    <row r="999" spans="1:15" x14ac:dyDescent="0.25">
      <c r="A999" t="s">
        <v>6736</v>
      </c>
      <c r="B999" t="s">
        <v>1999</v>
      </c>
      <c r="C999" s="3" t="s">
        <v>2000</v>
      </c>
      <c r="D999" s="24">
        <v>4.7972000000000001E-2</v>
      </c>
      <c r="E999" s="25">
        <v>11.11</v>
      </c>
      <c r="F999" s="25">
        <v>10.82</v>
      </c>
      <c r="G999" s="26">
        <v>0.29160000000000003</v>
      </c>
      <c r="H999" s="27">
        <v>0.1177</v>
      </c>
      <c r="I999" s="26">
        <v>2.4769999999999999</v>
      </c>
      <c r="J999" s="28">
        <v>6</v>
      </c>
      <c r="K999" s="27">
        <v>0.13278100000000001</v>
      </c>
      <c r="L999" s="29">
        <f t="shared" si="60"/>
        <v>0.87686406491905367</v>
      </c>
      <c r="M999" s="29">
        <f t="shared" si="61"/>
        <v>0.28999999999999965</v>
      </c>
      <c r="N999" s="30">
        <f t="shared" si="62"/>
        <v>1.319012174991318</v>
      </c>
      <c r="O999" s="31">
        <f t="shared" si="63"/>
        <v>1.2226402776920682</v>
      </c>
    </row>
    <row r="1000" spans="1:15" x14ac:dyDescent="0.25">
      <c r="A1000" t="s">
        <v>6737</v>
      </c>
      <c r="B1000" t="s">
        <v>2001</v>
      </c>
      <c r="C1000" s="3" t="s">
        <v>2002</v>
      </c>
      <c r="D1000" s="24">
        <v>4.8162999999999997E-2</v>
      </c>
      <c r="E1000" s="25">
        <v>8.6760000000000002</v>
      </c>
      <c r="F1000" s="25">
        <v>9.3209999999999997</v>
      </c>
      <c r="G1000" s="26">
        <v>-0.64500000000000002</v>
      </c>
      <c r="H1000" s="27">
        <v>0.26069999999999999</v>
      </c>
      <c r="I1000" s="26">
        <v>2.4750000000000001</v>
      </c>
      <c r="J1000" s="28">
        <v>6</v>
      </c>
      <c r="K1000" s="27">
        <v>0.13317599999999999</v>
      </c>
      <c r="L1000" s="29">
        <f t="shared" si="60"/>
        <v>0.87557403347422802</v>
      </c>
      <c r="M1000" s="29">
        <f t="shared" si="61"/>
        <v>-0.64500000000000002</v>
      </c>
      <c r="N1000" s="30">
        <f t="shared" si="62"/>
        <v>1.3172864693651083</v>
      </c>
      <c r="O1000" s="31">
        <f t="shared" si="63"/>
        <v>0.63949279063871434</v>
      </c>
    </row>
    <row r="1001" spans="1:15" x14ac:dyDescent="0.25">
      <c r="A1001" t="s">
        <v>6738</v>
      </c>
      <c r="B1001" t="s">
        <v>2003</v>
      </c>
      <c r="C1001" s="3" t="s">
        <v>2004</v>
      </c>
      <c r="D1001" s="24">
        <v>4.8325E-2</v>
      </c>
      <c r="E1001" s="25">
        <v>8.3930000000000007</v>
      </c>
      <c r="F1001" s="25">
        <v>8.0839999999999996</v>
      </c>
      <c r="G1001" s="26">
        <v>0.30859999999999999</v>
      </c>
      <c r="H1001" s="27">
        <v>0.12479999999999999</v>
      </c>
      <c r="I1001" s="26">
        <v>2.472</v>
      </c>
      <c r="J1001" s="28">
        <v>6</v>
      </c>
      <c r="K1001" s="27">
        <v>0.13349</v>
      </c>
      <c r="L1001" s="29">
        <f t="shared" si="60"/>
        <v>0.8745512669397375</v>
      </c>
      <c r="M1001" s="29">
        <f t="shared" si="61"/>
        <v>0.30900000000000155</v>
      </c>
      <c r="N1001" s="30">
        <f t="shared" si="62"/>
        <v>1.3158281372994094</v>
      </c>
      <c r="O1001" s="31">
        <f t="shared" si="63"/>
        <v>1.2388486977839102</v>
      </c>
    </row>
    <row r="1002" spans="1:15" x14ac:dyDescent="0.25">
      <c r="A1002" t="s">
        <v>6739</v>
      </c>
      <c r="B1002" t="s">
        <v>2005</v>
      </c>
      <c r="C1002" s="3" t="s">
        <v>2006</v>
      </c>
      <c r="D1002" s="24">
        <v>4.8381E-2</v>
      </c>
      <c r="E1002" s="25">
        <v>9.5210000000000008</v>
      </c>
      <c r="F1002" s="25">
        <v>9.7089999999999996</v>
      </c>
      <c r="G1002" s="26">
        <v>-0.18859999999999999</v>
      </c>
      <c r="H1002" s="27">
        <v>7.6310000000000003E-2</v>
      </c>
      <c r="I1002" s="26">
        <v>2.4710000000000001</v>
      </c>
      <c r="J1002" s="28">
        <v>6</v>
      </c>
      <c r="K1002" s="27">
        <v>0.13351099999999999</v>
      </c>
      <c r="L1002" s="29">
        <f t="shared" si="60"/>
        <v>0.87448295120954334</v>
      </c>
      <c r="M1002" s="29">
        <f t="shared" si="61"/>
        <v>-0.18799999999999892</v>
      </c>
      <c r="N1002" s="30">
        <f t="shared" si="62"/>
        <v>1.3153251593310302</v>
      </c>
      <c r="O1002" s="31">
        <f t="shared" si="63"/>
        <v>0.87782179760951995</v>
      </c>
    </row>
    <row r="1003" spans="1:15" x14ac:dyDescent="0.25">
      <c r="A1003" t="s">
        <v>6740</v>
      </c>
      <c r="B1003" t="s">
        <v>2007</v>
      </c>
      <c r="C1003" s="3" t="s">
        <v>2008</v>
      </c>
      <c r="D1003" s="24">
        <v>4.8769E-2</v>
      </c>
      <c r="E1003" s="25">
        <v>8.7850000000000001</v>
      </c>
      <c r="F1003" s="25">
        <v>8.2449999999999992</v>
      </c>
      <c r="G1003" s="26">
        <v>0.5403</v>
      </c>
      <c r="H1003" s="27">
        <v>0.21909999999999999</v>
      </c>
      <c r="I1003" s="26">
        <v>2.4649999999999999</v>
      </c>
      <c r="J1003" s="28">
        <v>6</v>
      </c>
      <c r="K1003" s="27">
        <v>0.13444800000000001</v>
      </c>
      <c r="L1003" s="29">
        <f t="shared" si="60"/>
        <v>0.87144565380084438</v>
      </c>
      <c r="M1003" s="29">
        <f t="shared" si="61"/>
        <v>0.54000000000000037</v>
      </c>
      <c r="N1003" s="30">
        <f t="shared" si="62"/>
        <v>1.3118561494511738</v>
      </c>
      <c r="O1003" s="31">
        <f t="shared" si="63"/>
        <v>1.4539725173203109</v>
      </c>
    </row>
    <row r="1004" spans="1:15" x14ac:dyDescent="0.25">
      <c r="A1004" t="s">
        <v>6741</v>
      </c>
      <c r="B1004" t="s">
        <v>2009</v>
      </c>
      <c r="C1004" s="3" t="s">
        <v>2010</v>
      </c>
      <c r="D1004" s="24">
        <v>4.8829999999999998E-2</v>
      </c>
      <c r="E1004" s="25">
        <v>14.86</v>
      </c>
      <c r="F1004" s="25">
        <v>15.11</v>
      </c>
      <c r="G1004" s="26">
        <v>-0.248</v>
      </c>
      <c r="H1004" s="27">
        <v>0.10059999999999999</v>
      </c>
      <c r="I1004" s="26">
        <v>2.464</v>
      </c>
      <c r="J1004" s="28">
        <v>6</v>
      </c>
      <c r="K1004" s="27">
        <v>0.13448299999999999</v>
      </c>
      <c r="L1004" s="29">
        <f t="shared" si="60"/>
        <v>0.8713326113702401</v>
      </c>
      <c r="M1004" s="29">
        <f t="shared" si="61"/>
        <v>-0.25000000000000067</v>
      </c>
      <c r="N1004" s="30">
        <f t="shared" si="62"/>
        <v>1.3113132757158765</v>
      </c>
      <c r="O1004" s="31">
        <f t="shared" si="63"/>
        <v>0.84089641525371417</v>
      </c>
    </row>
    <row r="1005" spans="1:15" x14ac:dyDescent="0.25">
      <c r="A1005" t="s">
        <v>6742</v>
      </c>
      <c r="B1005" t="s">
        <v>2011</v>
      </c>
      <c r="C1005" s="3" t="s">
        <v>2012</v>
      </c>
      <c r="D1005" s="24">
        <v>4.9002999999999998E-2</v>
      </c>
      <c r="E1005" s="25">
        <v>8.7219999999999995</v>
      </c>
      <c r="F1005" s="25">
        <v>8.9359999999999999</v>
      </c>
      <c r="G1005" s="26">
        <v>-0.21360000000000001</v>
      </c>
      <c r="H1005" s="27">
        <v>8.677E-2</v>
      </c>
      <c r="I1005" s="26">
        <v>2.4620000000000002</v>
      </c>
      <c r="J1005" s="28">
        <v>6</v>
      </c>
      <c r="K1005" s="27">
        <v>0.134824</v>
      </c>
      <c r="L1005" s="29">
        <f t="shared" si="60"/>
        <v>0.87023279222350103</v>
      </c>
      <c r="M1005" s="29">
        <f t="shared" si="61"/>
        <v>-0.21400000000000094</v>
      </c>
      <c r="N1005" s="30">
        <f t="shared" si="62"/>
        <v>1.3097773313273404</v>
      </c>
      <c r="O1005" s="31">
        <f t="shared" si="63"/>
        <v>0.86214354501759538</v>
      </c>
    </row>
    <row r="1006" spans="1:15" x14ac:dyDescent="0.25">
      <c r="A1006" t="s">
        <v>6743</v>
      </c>
      <c r="B1006" t="s">
        <v>2013</v>
      </c>
      <c r="C1006" s="3" t="s">
        <v>2014</v>
      </c>
      <c r="D1006" s="24">
        <v>4.9172E-2</v>
      </c>
      <c r="E1006" s="25">
        <v>8.8840000000000003</v>
      </c>
      <c r="F1006" s="25">
        <v>9.4090000000000007</v>
      </c>
      <c r="G1006" s="26">
        <v>-0.52480000000000004</v>
      </c>
      <c r="H1006" s="27">
        <v>0.21340000000000001</v>
      </c>
      <c r="I1006" s="26">
        <v>2.4590000000000001</v>
      </c>
      <c r="J1006" s="28">
        <v>6</v>
      </c>
      <c r="K1006" s="27">
        <v>0.135154</v>
      </c>
      <c r="L1006" s="29">
        <f t="shared" si="60"/>
        <v>0.86917109645270885</v>
      </c>
      <c r="M1006" s="29">
        <f t="shared" si="61"/>
        <v>-0.52500000000000024</v>
      </c>
      <c r="N1006" s="30">
        <f t="shared" si="62"/>
        <v>1.3082821270505083</v>
      </c>
      <c r="O1006" s="31">
        <f t="shared" si="63"/>
        <v>0.69495910992116838</v>
      </c>
    </row>
    <row r="1007" spans="1:15" x14ac:dyDescent="0.25">
      <c r="A1007" t="s">
        <v>6744</v>
      </c>
      <c r="B1007" t="s">
        <v>2015</v>
      </c>
      <c r="C1007" s="3" t="s">
        <v>2016</v>
      </c>
      <c r="D1007" s="24">
        <v>4.9313000000000003E-2</v>
      </c>
      <c r="E1007" s="25">
        <v>9.02</v>
      </c>
      <c r="F1007" s="25">
        <v>8.8149999999999995</v>
      </c>
      <c r="G1007" s="26">
        <v>0.2054</v>
      </c>
      <c r="H1007" s="27">
        <v>8.3610000000000004E-2</v>
      </c>
      <c r="I1007" s="26">
        <v>2.4569999999999999</v>
      </c>
      <c r="J1007" s="28">
        <v>6</v>
      </c>
      <c r="K1007" s="27">
        <v>0.135408</v>
      </c>
      <c r="L1007" s="29">
        <f t="shared" si="60"/>
        <v>0.86835567646904643</v>
      </c>
      <c r="M1007" s="29">
        <f t="shared" si="61"/>
        <v>0.20499999999999963</v>
      </c>
      <c r="N1007" s="30">
        <f t="shared" si="62"/>
        <v>1.3070385759759831</v>
      </c>
      <c r="O1007" s="31">
        <f t="shared" si="63"/>
        <v>1.1526863467988639</v>
      </c>
    </row>
    <row r="1008" spans="1:15" x14ac:dyDescent="0.25">
      <c r="A1008" t="s">
        <v>6745</v>
      </c>
      <c r="B1008" t="s">
        <v>2017</v>
      </c>
      <c r="C1008" s="3" t="s">
        <v>2018</v>
      </c>
      <c r="D1008" s="24">
        <v>4.9574E-2</v>
      </c>
      <c r="E1008" s="25">
        <v>8.6029999999999998</v>
      </c>
      <c r="F1008" s="25">
        <v>8.0739999999999998</v>
      </c>
      <c r="G1008" s="26">
        <v>0.52959999999999996</v>
      </c>
      <c r="H1008" s="27">
        <v>0.21590000000000001</v>
      </c>
      <c r="I1008" s="26">
        <v>2.4529999999999998</v>
      </c>
      <c r="J1008" s="28">
        <v>6</v>
      </c>
      <c r="K1008" s="27">
        <v>0.135989</v>
      </c>
      <c r="L1008" s="29">
        <f t="shared" si="60"/>
        <v>0.86649621980999225</v>
      </c>
      <c r="M1008" s="29">
        <f t="shared" si="61"/>
        <v>0.52900000000000102</v>
      </c>
      <c r="N1008" s="30">
        <f t="shared" si="62"/>
        <v>1.3047460375636508</v>
      </c>
      <c r="O1008" s="31">
        <f t="shared" si="63"/>
        <v>1.4429286868616293</v>
      </c>
    </row>
    <row r="1009" spans="1:15" x14ac:dyDescent="0.25">
      <c r="A1009" t="s">
        <v>6746</v>
      </c>
      <c r="B1009" t="s">
        <v>2019</v>
      </c>
      <c r="C1009" s="3" t="s">
        <v>2020</v>
      </c>
      <c r="D1009" s="24">
        <v>4.9750999999999997E-2</v>
      </c>
      <c r="E1009" s="25">
        <v>8.69</v>
      </c>
      <c r="F1009" s="25">
        <v>9.0109999999999992</v>
      </c>
      <c r="G1009" s="26">
        <v>-0.32069999999999999</v>
      </c>
      <c r="H1009" s="27">
        <v>0.13089999999999999</v>
      </c>
      <c r="I1009" s="26">
        <v>2.4510000000000001</v>
      </c>
      <c r="J1009" s="28">
        <v>6</v>
      </c>
      <c r="K1009" s="27">
        <v>0.13633899999999999</v>
      </c>
      <c r="L1009" s="29">
        <f t="shared" si="60"/>
        <v>0.86537989572757723</v>
      </c>
      <c r="M1009" s="29">
        <f t="shared" si="61"/>
        <v>-0.32099999999999979</v>
      </c>
      <c r="N1009" s="30">
        <f t="shared" si="62"/>
        <v>1.3031981854686638</v>
      </c>
      <c r="O1009" s="31">
        <f t="shared" si="63"/>
        <v>0.80051481065630303</v>
      </c>
    </row>
    <row r="1010" spans="1:15" x14ac:dyDescent="0.25">
      <c r="A1010" t="s">
        <v>6747</v>
      </c>
      <c r="B1010" t="s">
        <v>2021</v>
      </c>
      <c r="C1010" s="3" t="s">
        <v>2022</v>
      </c>
      <c r="D1010" s="24">
        <v>4.9873000000000001E-2</v>
      </c>
      <c r="E1010" s="25">
        <v>8.19</v>
      </c>
      <c r="F1010" s="25">
        <v>7.8639999999999999</v>
      </c>
      <c r="G1010" s="26">
        <v>0.32590000000000002</v>
      </c>
      <c r="H1010" s="27">
        <v>0.1331</v>
      </c>
      <c r="I1010" s="26">
        <v>2.4489999999999998</v>
      </c>
      <c r="J1010" s="28">
        <v>6</v>
      </c>
      <c r="K1010" s="27">
        <v>0.13653699999999999</v>
      </c>
      <c r="L1010" s="29">
        <f t="shared" si="60"/>
        <v>0.86474964372660834</v>
      </c>
      <c r="M1010" s="29">
        <f t="shared" si="61"/>
        <v>0.32599999999999951</v>
      </c>
      <c r="N1010" s="30">
        <f t="shared" si="62"/>
        <v>1.3021345069719539</v>
      </c>
      <c r="O1010" s="31">
        <f t="shared" si="63"/>
        <v>1.25353302044069</v>
      </c>
    </row>
    <row r="1011" spans="1:15" x14ac:dyDescent="0.25">
      <c r="A1011" t="s">
        <v>6748</v>
      </c>
      <c r="B1011" t="s">
        <v>2023</v>
      </c>
      <c r="C1011" s="3" t="s">
        <v>2024</v>
      </c>
      <c r="D1011" s="24">
        <v>4.9974999999999999E-2</v>
      </c>
      <c r="E1011" s="25">
        <v>10.029999999999999</v>
      </c>
      <c r="F1011" s="25">
        <v>9.7530000000000001</v>
      </c>
      <c r="G1011" s="26">
        <v>0.27639999999999998</v>
      </c>
      <c r="H1011" s="27">
        <v>0.1129</v>
      </c>
      <c r="I1011" s="26">
        <v>2.4470000000000001</v>
      </c>
      <c r="J1011" s="28">
        <v>6</v>
      </c>
      <c r="K1011" s="27">
        <v>0.136682</v>
      </c>
      <c r="L1011" s="29">
        <f t="shared" si="60"/>
        <v>0.86428867501075679</v>
      </c>
      <c r="M1011" s="29">
        <f t="shared" si="61"/>
        <v>0.27699999999999914</v>
      </c>
      <c r="N1011" s="30">
        <f t="shared" si="62"/>
        <v>1.3012471972098454</v>
      </c>
      <c r="O1011" s="31">
        <f t="shared" si="63"/>
        <v>1.2116726604302424</v>
      </c>
    </row>
    <row r="1012" spans="1:15" x14ac:dyDescent="0.25">
      <c r="A1012" t="s">
        <v>6749</v>
      </c>
      <c r="B1012" t="s">
        <v>2025</v>
      </c>
      <c r="C1012" s="3" t="s">
        <v>2026</v>
      </c>
      <c r="D1012" s="24">
        <v>5.0112999999999998E-2</v>
      </c>
      <c r="E1012" s="25">
        <v>9.3010000000000002</v>
      </c>
      <c r="F1012" s="25">
        <v>9.6370000000000005</v>
      </c>
      <c r="G1012" s="26">
        <v>-0.33610000000000001</v>
      </c>
      <c r="H1012" s="27">
        <v>0.13739999999999999</v>
      </c>
      <c r="I1012" s="26">
        <v>2.4449999999999998</v>
      </c>
      <c r="J1012" s="28">
        <v>6</v>
      </c>
      <c r="K1012" s="27">
        <v>0.13692199999999999</v>
      </c>
      <c r="L1012" s="29">
        <f t="shared" si="60"/>
        <v>0.86352676581067156</v>
      </c>
      <c r="M1012" s="29">
        <f t="shared" si="61"/>
        <v>-0.33599999999999997</v>
      </c>
      <c r="N1012" s="30">
        <f t="shared" si="62"/>
        <v>1.3000495975679089</v>
      </c>
      <c r="O1012" s="31">
        <f t="shared" si="63"/>
        <v>0.79223481092496917</v>
      </c>
    </row>
    <row r="1013" spans="1:15" x14ac:dyDescent="0.25">
      <c r="A1013" t="s">
        <v>6750</v>
      </c>
      <c r="B1013" t="s">
        <v>2027</v>
      </c>
      <c r="C1013" s="3" t="s">
        <v>2028</v>
      </c>
      <c r="D1013" s="24">
        <v>5.0299000000000003E-2</v>
      </c>
      <c r="E1013" s="25">
        <v>10.039999999999999</v>
      </c>
      <c r="F1013" s="25">
        <v>9.5969999999999995</v>
      </c>
      <c r="G1013" s="26">
        <v>0.44030000000000002</v>
      </c>
      <c r="H1013" s="27">
        <v>0.18029999999999999</v>
      </c>
      <c r="I1013" s="26">
        <v>2.4430000000000001</v>
      </c>
      <c r="J1013" s="28">
        <v>6</v>
      </c>
      <c r="K1013" s="27">
        <v>0.137295</v>
      </c>
      <c r="L1013" s="29">
        <f t="shared" si="60"/>
        <v>0.86234527858224919</v>
      </c>
      <c r="M1013" s="29">
        <f t="shared" si="61"/>
        <v>0.44300000000000062</v>
      </c>
      <c r="N1013" s="30">
        <f t="shared" si="62"/>
        <v>1.2984406491150269</v>
      </c>
      <c r="O1013" s="31">
        <f t="shared" si="63"/>
        <v>1.3594282419067394</v>
      </c>
    </row>
    <row r="1014" spans="1:15" x14ac:dyDescent="0.25">
      <c r="A1014" t="s">
        <v>6751</v>
      </c>
      <c r="B1014" t="s">
        <v>2033</v>
      </c>
      <c r="C1014" s="3" t="s">
        <v>2034</v>
      </c>
      <c r="D1014" s="24">
        <v>5.0646999999999998E-2</v>
      </c>
      <c r="E1014" s="25">
        <v>8.8620000000000001</v>
      </c>
      <c r="F1014" s="25">
        <v>8.6539999999999999</v>
      </c>
      <c r="G1014" s="26">
        <v>0.20799999999999999</v>
      </c>
      <c r="H1014" s="27">
        <v>8.5349999999999995E-2</v>
      </c>
      <c r="I1014" s="26">
        <v>2.4369999999999998</v>
      </c>
      <c r="J1014" s="28">
        <v>6</v>
      </c>
      <c r="K1014" s="27">
        <v>0.13783599999999999</v>
      </c>
      <c r="L1014" s="29">
        <f t="shared" si="60"/>
        <v>0.86063733860075498</v>
      </c>
      <c r="M1014" s="29">
        <f t="shared" si="61"/>
        <v>0.20800000000000093</v>
      </c>
      <c r="N1014" s="30">
        <f t="shared" si="62"/>
        <v>1.2954462743319759</v>
      </c>
      <c r="O1014" s="31">
        <f t="shared" si="63"/>
        <v>1.1550857845535849</v>
      </c>
    </row>
    <row r="1015" spans="1:15" x14ac:dyDescent="0.25">
      <c r="A1015" t="s">
        <v>6752</v>
      </c>
      <c r="B1015" t="s">
        <v>2031</v>
      </c>
      <c r="C1015" s="3" t="s">
        <v>2032</v>
      </c>
      <c r="D1015" s="24">
        <v>5.0646999999999998E-2</v>
      </c>
      <c r="E1015" s="25">
        <v>8.8620000000000001</v>
      </c>
      <c r="F1015" s="25">
        <v>8.6539999999999999</v>
      </c>
      <c r="G1015" s="26">
        <v>0.20799999999999999</v>
      </c>
      <c r="H1015" s="27">
        <v>8.5349999999999995E-2</v>
      </c>
      <c r="I1015" s="26">
        <v>2.4369999999999998</v>
      </c>
      <c r="J1015" s="28">
        <v>6</v>
      </c>
      <c r="K1015" s="27">
        <v>0.13783599999999999</v>
      </c>
      <c r="L1015" s="29">
        <f t="shared" si="60"/>
        <v>0.86063733860075498</v>
      </c>
      <c r="M1015" s="29">
        <f t="shared" si="61"/>
        <v>0.20800000000000093</v>
      </c>
      <c r="N1015" s="30">
        <f t="shared" si="62"/>
        <v>1.2954462743319759</v>
      </c>
      <c r="O1015" s="31">
        <f t="shared" si="63"/>
        <v>1.1550857845535849</v>
      </c>
    </row>
    <row r="1016" spans="1:15" x14ac:dyDescent="0.25">
      <c r="A1016" t="s">
        <v>6753</v>
      </c>
      <c r="B1016" t="s">
        <v>2029</v>
      </c>
      <c r="C1016" s="3" t="s">
        <v>2030</v>
      </c>
      <c r="D1016" s="24">
        <v>5.0553000000000001E-2</v>
      </c>
      <c r="E1016" s="25">
        <v>9.2509999999999994</v>
      </c>
      <c r="F1016" s="25">
        <v>8.7970000000000006</v>
      </c>
      <c r="G1016" s="26">
        <v>0.45340000000000003</v>
      </c>
      <c r="H1016" s="27">
        <v>0.18590000000000001</v>
      </c>
      <c r="I1016" s="26">
        <v>2.4390000000000001</v>
      </c>
      <c r="J1016" s="28">
        <v>6</v>
      </c>
      <c r="K1016" s="27">
        <v>0.13783599999999999</v>
      </c>
      <c r="L1016" s="29">
        <f t="shared" si="60"/>
        <v>0.86063733860075498</v>
      </c>
      <c r="M1016" s="29">
        <f t="shared" si="61"/>
        <v>0.45399999999999968</v>
      </c>
      <c r="N1016" s="30">
        <f t="shared" si="62"/>
        <v>1.2962530666845327</v>
      </c>
      <c r="O1016" s="31">
        <f t="shared" si="63"/>
        <v>1.3698329799655655</v>
      </c>
    </row>
    <row r="1017" spans="1:15" x14ac:dyDescent="0.25">
      <c r="A1017" t="s">
        <v>6754</v>
      </c>
      <c r="B1017" t="s">
        <v>2035</v>
      </c>
      <c r="C1017" s="3" t="s">
        <v>2036</v>
      </c>
      <c r="D1017" s="24">
        <v>5.0735000000000002E-2</v>
      </c>
      <c r="E1017" s="25">
        <v>6.4969999999999999</v>
      </c>
      <c r="F1017" s="25">
        <v>7.2759999999999998</v>
      </c>
      <c r="G1017" s="26">
        <v>-0.77939999999999998</v>
      </c>
      <c r="H1017" s="27">
        <v>0.31990000000000002</v>
      </c>
      <c r="I1017" s="26">
        <v>2.4359999999999999</v>
      </c>
      <c r="J1017" s="28">
        <v>6</v>
      </c>
      <c r="K1017" s="27">
        <v>0.13794100000000001</v>
      </c>
      <c r="L1017" s="29">
        <f t="shared" si="60"/>
        <v>0.86030662992814366</v>
      </c>
      <c r="M1017" s="29">
        <f t="shared" si="61"/>
        <v>-0.77900000000000003</v>
      </c>
      <c r="N1017" s="30">
        <f t="shared" si="62"/>
        <v>1.29469233528943</v>
      </c>
      <c r="O1017" s="31">
        <f t="shared" si="63"/>
        <v>0.58277059906727979</v>
      </c>
    </row>
    <row r="1018" spans="1:15" x14ac:dyDescent="0.25">
      <c r="A1018" t="s">
        <v>6755</v>
      </c>
      <c r="B1018" t="s">
        <v>2037</v>
      </c>
      <c r="C1018" s="3" t="s">
        <v>2038</v>
      </c>
      <c r="D1018" s="24">
        <v>5.0854999999999997E-2</v>
      </c>
      <c r="E1018" s="25">
        <v>10.89</v>
      </c>
      <c r="F1018" s="25">
        <v>11.03</v>
      </c>
      <c r="G1018" s="26">
        <v>-0.13200000000000001</v>
      </c>
      <c r="H1018" s="27">
        <v>5.4239999999999997E-2</v>
      </c>
      <c r="I1018" s="26">
        <v>2.4340000000000002</v>
      </c>
      <c r="J1018" s="28">
        <v>6</v>
      </c>
      <c r="K1018" s="27">
        <v>0.13813</v>
      </c>
      <c r="L1018" s="29">
        <f t="shared" si="60"/>
        <v>0.8597119881881331</v>
      </c>
      <c r="M1018" s="29">
        <f t="shared" si="61"/>
        <v>-0.13999999999999893</v>
      </c>
      <c r="N1018" s="30">
        <f t="shared" si="62"/>
        <v>1.2936663413517027</v>
      </c>
      <c r="O1018" s="31">
        <f t="shared" si="63"/>
        <v>0.90751915531716154</v>
      </c>
    </row>
    <row r="1019" spans="1:15" x14ac:dyDescent="0.25">
      <c r="A1019" t="s">
        <v>6756</v>
      </c>
      <c r="B1019" t="s">
        <v>2041</v>
      </c>
      <c r="C1019" s="3" t="s">
        <v>2042</v>
      </c>
      <c r="D1019" s="24">
        <v>5.1008999999999999E-2</v>
      </c>
      <c r="E1019" s="25">
        <v>8.0109999999999992</v>
      </c>
      <c r="F1019" s="25">
        <v>7.2439999999999998</v>
      </c>
      <c r="G1019" s="26">
        <v>0.7671</v>
      </c>
      <c r="H1019" s="27">
        <v>0.31540000000000001</v>
      </c>
      <c r="I1019" s="26">
        <v>2.4319999999999999</v>
      </c>
      <c r="J1019" s="28">
        <v>6</v>
      </c>
      <c r="K1019" s="27">
        <v>0.13827400000000001</v>
      </c>
      <c r="L1019" s="29">
        <f t="shared" si="60"/>
        <v>0.85925947367277122</v>
      </c>
      <c r="M1019" s="29">
        <f t="shared" si="61"/>
        <v>0.76700000000000024</v>
      </c>
      <c r="N1019" s="30">
        <f t="shared" si="62"/>
        <v>1.2923531904609502</v>
      </c>
      <c r="O1019" s="31">
        <f t="shared" si="63"/>
        <v>1.7017274590130815</v>
      </c>
    </row>
    <row r="1020" spans="1:15" x14ac:dyDescent="0.25">
      <c r="A1020" t="s">
        <v>6757</v>
      </c>
      <c r="B1020" t="s">
        <v>2043</v>
      </c>
      <c r="C1020" s="3" t="s">
        <v>2044</v>
      </c>
      <c r="D1020" s="24">
        <v>5.1074000000000001E-2</v>
      </c>
      <c r="E1020" s="25">
        <v>9.7240000000000002</v>
      </c>
      <c r="F1020" s="25">
        <v>10.02</v>
      </c>
      <c r="G1020" s="26">
        <v>-0.29549999999999998</v>
      </c>
      <c r="H1020" s="27">
        <v>0.1216</v>
      </c>
      <c r="I1020" s="26">
        <v>2.431</v>
      </c>
      <c r="J1020" s="28">
        <v>6</v>
      </c>
      <c r="K1020" s="27">
        <v>0.13827400000000001</v>
      </c>
      <c r="L1020" s="29">
        <f t="shared" si="60"/>
        <v>0.85925947367277122</v>
      </c>
      <c r="M1020" s="29">
        <f t="shared" si="61"/>
        <v>-0.29599999999999987</v>
      </c>
      <c r="N1020" s="30">
        <f t="shared" si="62"/>
        <v>1.2918001278523135</v>
      </c>
      <c r="O1020" s="31">
        <f t="shared" si="63"/>
        <v>0.81450756307021543</v>
      </c>
    </row>
    <row r="1021" spans="1:15" x14ac:dyDescent="0.25">
      <c r="A1021" t="s">
        <v>6758</v>
      </c>
      <c r="B1021" t="s">
        <v>2045</v>
      </c>
      <c r="C1021" s="3" t="s">
        <v>2046</v>
      </c>
      <c r="D1021" s="24">
        <v>5.1108000000000001E-2</v>
      </c>
      <c r="E1021" s="25">
        <v>8.0120000000000005</v>
      </c>
      <c r="F1021" s="25">
        <v>7.5549999999999997</v>
      </c>
      <c r="G1021" s="26">
        <v>0.45779999999999998</v>
      </c>
      <c r="H1021" s="27">
        <v>0.1883</v>
      </c>
      <c r="I1021" s="26">
        <v>2.431</v>
      </c>
      <c r="J1021" s="28">
        <v>6</v>
      </c>
      <c r="K1021" s="27">
        <v>0.13827400000000001</v>
      </c>
      <c r="L1021" s="29">
        <f t="shared" si="60"/>
        <v>0.85925947367277122</v>
      </c>
      <c r="M1021" s="29">
        <f t="shared" si="61"/>
        <v>0.45699999999999985</v>
      </c>
      <c r="N1021" s="30">
        <f t="shared" si="62"/>
        <v>1.2915111138786262</v>
      </c>
      <c r="O1021" s="31">
        <f t="shared" si="63"/>
        <v>1.3726844312549105</v>
      </c>
    </row>
    <row r="1022" spans="1:15" x14ac:dyDescent="0.25">
      <c r="A1022" t="s">
        <v>6759</v>
      </c>
      <c r="B1022" t="s">
        <v>2039</v>
      </c>
      <c r="C1022" s="3" t="s">
        <v>2040</v>
      </c>
      <c r="D1022" s="24">
        <v>5.0972000000000003E-2</v>
      </c>
      <c r="E1022" s="25">
        <v>8.6430000000000007</v>
      </c>
      <c r="F1022" s="25">
        <v>8.3719999999999999</v>
      </c>
      <c r="G1022" s="26">
        <v>0.2707</v>
      </c>
      <c r="H1022" s="27">
        <v>0.1113</v>
      </c>
      <c r="I1022" s="26">
        <v>2.4329999999999998</v>
      </c>
      <c r="J1022" s="28">
        <v>6</v>
      </c>
      <c r="K1022" s="27">
        <v>0.13827400000000001</v>
      </c>
      <c r="L1022" s="29">
        <f t="shared" si="60"/>
        <v>0.85925947367277122</v>
      </c>
      <c r="M1022" s="29">
        <f t="shared" si="61"/>
        <v>0.27100000000000085</v>
      </c>
      <c r="N1022" s="30">
        <f t="shared" si="62"/>
        <v>1.2926683255652438</v>
      </c>
      <c r="O1022" s="31">
        <f t="shared" si="63"/>
        <v>1.2066439197207635</v>
      </c>
    </row>
    <row r="1023" spans="1:15" x14ac:dyDescent="0.25">
      <c r="A1023" t="s">
        <v>6760</v>
      </c>
      <c r="B1023" t="s">
        <v>2049</v>
      </c>
      <c r="C1023" s="3" t="s">
        <v>2050</v>
      </c>
      <c r="D1023" s="24">
        <v>5.1448000000000001E-2</v>
      </c>
      <c r="E1023" s="25">
        <v>9.8930000000000007</v>
      </c>
      <c r="F1023" s="25">
        <v>9.5399999999999991</v>
      </c>
      <c r="G1023" s="26">
        <v>0.3523</v>
      </c>
      <c r="H1023" s="27">
        <v>0.1452</v>
      </c>
      <c r="I1023" s="26">
        <v>2.4260000000000002</v>
      </c>
      <c r="J1023" s="28">
        <v>6</v>
      </c>
      <c r="K1023" s="27">
        <v>0.13892299999999999</v>
      </c>
      <c r="L1023" s="29">
        <f t="shared" si="60"/>
        <v>0.85722584680255132</v>
      </c>
      <c r="M1023" s="29">
        <f t="shared" si="61"/>
        <v>0.35300000000000198</v>
      </c>
      <c r="N1023" s="30">
        <f t="shared" si="62"/>
        <v>1.2886315034252884</v>
      </c>
      <c r="O1023" s="31">
        <f t="shared" si="63"/>
        <v>1.2772137591953916</v>
      </c>
    </row>
    <row r="1024" spans="1:15" x14ac:dyDescent="0.25">
      <c r="A1024" t="s">
        <v>6761</v>
      </c>
      <c r="B1024" t="s">
        <v>2047</v>
      </c>
      <c r="C1024" s="3" t="s">
        <v>2048</v>
      </c>
      <c r="D1024" s="24">
        <v>5.1425999999999999E-2</v>
      </c>
      <c r="E1024" s="25">
        <v>9.4529999999999994</v>
      </c>
      <c r="F1024" s="25">
        <v>9.7040000000000006</v>
      </c>
      <c r="G1024" s="26">
        <v>-0.25090000000000001</v>
      </c>
      <c r="H1024" s="27">
        <v>0.10340000000000001</v>
      </c>
      <c r="I1024" s="26">
        <v>2.4260000000000002</v>
      </c>
      <c r="J1024" s="28">
        <v>6</v>
      </c>
      <c r="K1024" s="27">
        <v>0.13892299999999999</v>
      </c>
      <c r="L1024" s="29">
        <f t="shared" si="60"/>
        <v>0.85722584680255132</v>
      </c>
      <c r="M1024" s="29">
        <f t="shared" si="61"/>
        <v>-0.251000000000001</v>
      </c>
      <c r="N1024" s="30">
        <f t="shared" si="62"/>
        <v>1.2888172545139507</v>
      </c>
      <c r="O1024" s="31">
        <f t="shared" si="63"/>
        <v>0.84031375223328131</v>
      </c>
    </row>
    <row r="1025" spans="1:15" x14ac:dyDescent="0.25">
      <c r="A1025" t="s">
        <v>6762</v>
      </c>
      <c r="B1025" t="s">
        <v>2059</v>
      </c>
      <c r="C1025" s="3" t="s">
        <v>2060</v>
      </c>
      <c r="D1025" s="24">
        <v>5.1740000000000001E-2</v>
      </c>
      <c r="E1025" s="25">
        <v>10.93</v>
      </c>
      <c r="F1025" s="25">
        <v>11.15</v>
      </c>
      <c r="G1025" s="26">
        <v>-0.2235</v>
      </c>
      <c r="H1025" s="27">
        <v>9.2270000000000005E-2</v>
      </c>
      <c r="I1025" s="26">
        <v>2.4220000000000002</v>
      </c>
      <c r="J1025" s="28">
        <v>6</v>
      </c>
      <c r="K1025" s="27">
        <v>0.13903099999999999</v>
      </c>
      <c r="L1025" s="29">
        <f t="shared" si="60"/>
        <v>0.85688835350217818</v>
      </c>
      <c r="M1025" s="29">
        <f t="shared" si="61"/>
        <v>-0.21999999999999947</v>
      </c>
      <c r="N1025" s="30">
        <f t="shared" si="62"/>
        <v>1.2861735756194752</v>
      </c>
      <c r="O1025" s="31">
        <f t="shared" si="63"/>
        <v>0.85856543643775407</v>
      </c>
    </row>
    <row r="1026" spans="1:15" x14ac:dyDescent="0.25">
      <c r="A1026" t="s">
        <v>6763</v>
      </c>
      <c r="B1026" t="s">
        <v>2053</v>
      </c>
      <c r="C1026" s="3" t="s">
        <v>2054</v>
      </c>
      <c r="D1026" s="24">
        <v>5.1625999999999998E-2</v>
      </c>
      <c r="E1026" s="25">
        <v>7.3449999999999998</v>
      </c>
      <c r="F1026" s="25">
        <v>6.47</v>
      </c>
      <c r="G1026" s="26">
        <v>0.87570000000000003</v>
      </c>
      <c r="H1026" s="27">
        <v>0.3614</v>
      </c>
      <c r="I1026" s="26">
        <v>2.423</v>
      </c>
      <c r="J1026" s="28">
        <v>6</v>
      </c>
      <c r="K1026" s="27">
        <v>0.13903099999999999</v>
      </c>
      <c r="L1026" s="29">
        <f t="shared" ref="L1026:L1089" si="64">-LOG(K1026,10)</f>
        <v>0.85688835350217818</v>
      </c>
      <c r="M1026" s="29">
        <f t="shared" ref="M1026:M1089" si="65">LOG(O1026,2)</f>
        <v>0.87499999999999978</v>
      </c>
      <c r="N1026" s="30">
        <f t="shared" ref="N1026:N1089" si="66">-LOG(D1026,10)</f>
        <v>1.2871315229331073</v>
      </c>
      <c r="O1026" s="31">
        <f t="shared" ref="O1026:O1089" si="67">((2^E1026)/(2^F1026))</f>
        <v>1.8340080864093422</v>
      </c>
    </row>
    <row r="1027" spans="1:15" x14ac:dyDescent="0.25">
      <c r="A1027" t="s">
        <v>6764</v>
      </c>
      <c r="B1027" t="s">
        <v>2051</v>
      </c>
      <c r="C1027" s="3" t="s">
        <v>2052</v>
      </c>
      <c r="D1027" s="24">
        <v>5.1598999999999999E-2</v>
      </c>
      <c r="E1027" s="25">
        <v>8.31</v>
      </c>
      <c r="F1027" s="25">
        <v>8.8840000000000003</v>
      </c>
      <c r="G1027" s="26">
        <v>-0.57379999999999998</v>
      </c>
      <c r="H1027" s="27">
        <v>0.23669999999999999</v>
      </c>
      <c r="I1027" s="26">
        <v>2.4239999999999999</v>
      </c>
      <c r="J1027" s="28">
        <v>6</v>
      </c>
      <c r="K1027" s="27">
        <v>0.13903099999999999</v>
      </c>
      <c r="L1027" s="29">
        <f t="shared" si="64"/>
        <v>0.85688835350217818</v>
      </c>
      <c r="M1027" s="29">
        <f t="shared" si="65"/>
        <v>-0.57399999999999951</v>
      </c>
      <c r="N1027" s="30">
        <f t="shared" si="66"/>
        <v>1.2873587150140722</v>
      </c>
      <c r="O1027" s="31">
        <f t="shared" si="67"/>
        <v>0.67175171286064861</v>
      </c>
    </row>
    <row r="1028" spans="1:15" x14ac:dyDescent="0.25">
      <c r="A1028" t="s">
        <v>6765</v>
      </c>
      <c r="B1028" t="s">
        <v>2057</v>
      </c>
      <c r="C1028" s="3" t="s">
        <v>2058</v>
      </c>
      <c r="D1028" s="24">
        <v>5.1735999999999997E-2</v>
      </c>
      <c r="E1028" s="25">
        <v>11.6</v>
      </c>
      <c r="F1028" s="25">
        <v>11.36</v>
      </c>
      <c r="G1028" s="26">
        <v>0.24049999999999999</v>
      </c>
      <c r="H1028" s="27">
        <v>9.9309999999999996E-2</v>
      </c>
      <c r="I1028" s="26">
        <v>2.4220000000000002</v>
      </c>
      <c r="J1028" s="28">
        <v>6</v>
      </c>
      <c r="K1028" s="27">
        <v>0.13903099999999999</v>
      </c>
      <c r="L1028" s="29">
        <f t="shared" si="64"/>
        <v>0.85688835350217818</v>
      </c>
      <c r="M1028" s="29">
        <f t="shared" si="65"/>
        <v>0.24000000000000019</v>
      </c>
      <c r="N1028" s="30">
        <f t="shared" si="66"/>
        <v>1.2862071520609395</v>
      </c>
      <c r="O1028" s="31">
        <f t="shared" si="67"/>
        <v>1.1809926614295305</v>
      </c>
    </row>
    <row r="1029" spans="1:15" x14ac:dyDescent="0.25">
      <c r="A1029" t="s">
        <v>6766</v>
      </c>
      <c r="B1029" t="s">
        <v>2055</v>
      </c>
      <c r="C1029" s="3" t="s">
        <v>2056</v>
      </c>
      <c r="D1029" s="24">
        <v>5.1697E-2</v>
      </c>
      <c r="E1029" s="25">
        <v>10.62</v>
      </c>
      <c r="F1029" s="25">
        <v>10.43</v>
      </c>
      <c r="G1029" s="26">
        <v>0.18509999999999999</v>
      </c>
      <c r="H1029" s="27">
        <v>7.6420000000000002E-2</v>
      </c>
      <c r="I1029" s="26">
        <v>2.4220000000000002</v>
      </c>
      <c r="J1029" s="28">
        <v>6</v>
      </c>
      <c r="K1029" s="27">
        <v>0.13903099999999999</v>
      </c>
      <c r="L1029" s="29">
        <f t="shared" si="64"/>
        <v>0.85688835350217818</v>
      </c>
      <c r="M1029" s="29">
        <f t="shared" si="65"/>
        <v>0.18999999999999834</v>
      </c>
      <c r="N1029" s="30">
        <f t="shared" si="66"/>
        <v>1.2865346584775939</v>
      </c>
      <c r="O1029" s="31">
        <f t="shared" si="67"/>
        <v>1.1407637158684223</v>
      </c>
    </row>
    <row r="1030" spans="1:15" x14ac:dyDescent="0.25">
      <c r="A1030" t="s">
        <v>6767</v>
      </c>
      <c r="B1030" t="s">
        <v>2061</v>
      </c>
      <c r="C1030" s="3" t="s">
        <v>2062</v>
      </c>
      <c r="D1030" s="24">
        <v>5.1950000000000003E-2</v>
      </c>
      <c r="E1030" s="25">
        <v>9.1</v>
      </c>
      <c r="F1030" s="25">
        <v>8.8979999999999997</v>
      </c>
      <c r="G1030" s="26">
        <v>0.20130000000000001</v>
      </c>
      <c r="H1030" s="27">
        <v>8.3239999999999995E-2</v>
      </c>
      <c r="I1030" s="26">
        <v>2.419</v>
      </c>
      <c r="J1030" s="28">
        <v>6</v>
      </c>
      <c r="K1030" s="27">
        <v>0.13946</v>
      </c>
      <c r="L1030" s="29">
        <f t="shared" si="64"/>
        <v>0.85555033913110035</v>
      </c>
      <c r="M1030" s="29">
        <f t="shared" si="65"/>
        <v>0.20200000000000112</v>
      </c>
      <c r="N1030" s="30">
        <f t="shared" si="66"/>
        <v>1.2844144481068036</v>
      </c>
      <c r="O1030" s="31">
        <f t="shared" si="67"/>
        <v>1.1502918933506061</v>
      </c>
    </row>
    <row r="1031" spans="1:15" x14ac:dyDescent="0.25">
      <c r="A1031" t="s">
        <v>6768</v>
      </c>
      <c r="B1031" t="s">
        <v>2063</v>
      </c>
      <c r="C1031" s="3" t="s">
        <v>2064</v>
      </c>
      <c r="D1031" s="24">
        <v>5.2051E-2</v>
      </c>
      <c r="E1031" s="25">
        <v>12.34</v>
      </c>
      <c r="F1031" s="25">
        <v>12.06</v>
      </c>
      <c r="G1031" s="26">
        <v>0.27550000000000002</v>
      </c>
      <c r="H1031" s="27">
        <v>0.114</v>
      </c>
      <c r="I1031" s="26">
        <v>2.4169999999999998</v>
      </c>
      <c r="J1031" s="28">
        <v>6</v>
      </c>
      <c r="K1031" s="27">
        <v>0.139596</v>
      </c>
      <c r="L1031" s="29">
        <f t="shared" si="64"/>
        <v>0.85512702585910416</v>
      </c>
      <c r="M1031" s="29">
        <f t="shared" si="65"/>
        <v>0.27999999999999803</v>
      </c>
      <c r="N1031" s="30">
        <f t="shared" si="66"/>
        <v>1.2835709224395149</v>
      </c>
      <c r="O1031" s="31">
        <f t="shared" si="67"/>
        <v>1.2141948843950452</v>
      </c>
    </row>
    <row r="1032" spans="1:15" x14ac:dyDescent="0.25">
      <c r="A1032" t="s">
        <v>6769</v>
      </c>
      <c r="B1032" t="s">
        <v>2065</v>
      </c>
      <c r="C1032" s="3" t="s">
        <v>2066</v>
      </c>
      <c r="D1032" s="24">
        <v>5.2186999999999997E-2</v>
      </c>
      <c r="E1032" s="25">
        <v>11.37</v>
      </c>
      <c r="F1032" s="25">
        <v>10.99</v>
      </c>
      <c r="G1032" s="26">
        <v>0.37919999999999998</v>
      </c>
      <c r="H1032" s="27">
        <v>0.157</v>
      </c>
      <c r="I1032" s="26">
        <v>2.415</v>
      </c>
      <c r="J1032" s="28">
        <v>6</v>
      </c>
      <c r="K1032" s="27">
        <v>0.139825</v>
      </c>
      <c r="L1032" s="29">
        <f t="shared" si="64"/>
        <v>0.85441517199971406</v>
      </c>
      <c r="M1032" s="29">
        <f t="shared" si="65"/>
        <v>0.37999999999999928</v>
      </c>
      <c r="N1032" s="30">
        <f t="shared" si="66"/>
        <v>1.282437668097471</v>
      </c>
      <c r="O1032" s="31">
        <f t="shared" si="67"/>
        <v>1.3013418554419329</v>
      </c>
    </row>
    <row r="1033" spans="1:15" x14ac:dyDescent="0.25">
      <c r="A1033" t="s">
        <v>6770</v>
      </c>
      <c r="B1033" t="s">
        <v>2067</v>
      </c>
      <c r="C1033" s="3" t="s">
        <v>2068</v>
      </c>
      <c r="D1033" s="24">
        <v>5.2484000000000003E-2</v>
      </c>
      <c r="E1033" s="25">
        <v>8.4789999999999992</v>
      </c>
      <c r="F1033" s="25">
        <v>8.1129999999999995</v>
      </c>
      <c r="G1033" s="26">
        <v>0.36609999999999998</v>
      </c>
      <c r="H1033" s="27">
        <v>0.15179999999999999</v>
      </c>
      <c r="I1033" s="26">
        <v>2.411</v>
      </c>
      <c r="J1033" s="28">
        <v>6</v>
      </c>
      <c r="K1033" s="27">
        <v>0.140482</v>
      </c>
      <c r="L1033" s="29">
        <f t="shared" si="64"/>
        <v>0.85237931847398585</v>
      </c>
      <c r="M1033" s="29">
        <f t="shared" si="65"/>
        <v>0.3659999999999996</v>
      </c>
      <c r="N1033" s="30">
        <f t="shared" si="66"/>
        <v>1.2799730731802703</v>
      </c>
      <c r="O1033" s="31">
        <f t="shared" si="67"/>
        <v>1.2887746304850152</v>
      </c>
    </row>
    <row r="1034" spans="1:15" x14ac:dyDescent="0.25">
      <c r="A1034" t="s">
        <v>6771</v>
      </c>
      <c r="B1034" t="s">
        <v>2069</v>
      </c>
      <c r="C1034" s="3" t="s">
        <v>2070</v>
      </c>
      <c r="D1034" s="24">
        <v>5.2601000000000002E-2</v>
      </c>
      <c r="E1034" s="25">
        <v>10.130000000000001</v>
      </c>
      <c r="F1034" s="25">
        <v>10.27</v>
      </c>
      <c r="G1034" s="26">
        <v>-0.13750000000000001</v>
      </c>
      <c r="H1034" s="27">
        <v>5.7070000000000003E-2</v>
      </c>
      <c r="I1034" s="26">
        <v>2.41</v>
      </c>
      <c r="J1034" s="28">
        <v>6</v>
      </c>
      <c r="K1034" s="27">
        <v>0.14066000000000001</v>
      </c>
      <c r="L1034" s="29">
        <f t="shared" si="64"/>
        <v>0.85182938692261245</v>
      </c>
      <c r="M1034" s="29">
        <f t="shared" si="65"/>
        <v>-0.1399999999999991</v>
      </c>
      <c r="N1034" s="30">
        <f t="shared" si="66"/>
        <v>1.2790059993756584</v>
      </c>
      <c r="O1034" s="31">
        <f t="shared" si="67"/>
        <v>0.90751915531716143</v>
      </c>
    </row>
    <row r="1035" spans="1:15" x14ac:dyDescent="0.25">
      <c r="A1035" t="s">
        <v>6772</v>
      </c>
      <c r="B1035" t="s">
        <v>2071</v>
      </c>
      <c r="C1035" s="3" t="s">
        <v>2072</v>
      </c>
      <c r="D1035" s="24">
        <v>5.3060000000000003E-2</v>
      </c>
      <c r="E1035" s="25">
        <v>8.8260000000000005</v>
      </c>
      <c r="F1035" s="25">
        <v>8.2349999999999994</v>
      </c>
      <c r="G1035" s="26">
        <v>0.59130000000000005</v>
      </c>
      <c r="H1035" s="27">
        <v>0.246</v>
      </c>
      <c r="I1035" s="26">
        <v>2.403</v>
      </c>
      <c r="J1035" s="28">
        <v>6</v>
      </c>
      <c r="K1035" s="27">
        <v>0.14175099999999999</v>
      </c>
      <c r="L1035" s="29">
        <f t="shared" si="64"/>
        <v>0.84847386863999397</v>
      </c>
      <c r="M1035" s="29">
        <f t="shared" si="65"/>
        <v>0.5910000000000013</v>
      </c>
      <c r="N1035" s="30">
        <f t="shared" si="66"/>
        <v>1.2752327543536894</v>
      </c>
      <c r="O1035" s="31">
        <f t="shared" si="67"/>
        <v>1.5062904666338137</v>
      </c>
    </row>
    <row r="1036" spans="1:15" x14ac:dyDescent="0.25">
      <c r="A1036" t="s">
        <v>6773</v>
      </c>
      <c r="B1036" t="s">
        <v>2073</v>
      </c>
      <c r="C1036" s="3" t="s">
        <v>2074</v>
      </c>
      <c r="D1036" s="24">
        <v>5.3149000000000002E-2</v>
      </c>
      <c r="E1036" s="25">
        <v>8.4930000000000003</v>
      </c>
      <c r="F1036" s="25">
        <v>8.0139999999999993</v>
      </c>
      <c r="G1036" s="26">
        <v>0.4788</v>
      </c>
      <c r="H1036" s="27">
        <v>0.1993</v>
      </c>
      <c r="I1036" s="26">
        <v>2.4020000000000001</v>
      </c>
      <c r="J1036" s="28">
        <v>6</v>
      </c>
      <c r="K1036" s="27">
        <v>0.14185</v>
      </c>
      <c r="L1036" s="29">
        <f t="shared" si="64"/>
        <v>0.84817065986812878</v>
      </c>
      <c r="M1036" s="29">
        <f t="shared" si="65"/>
        <v>0.47900000000000154</v>
      </c>
      <c r="N1036" s="30">
        <f t="shared" si="66"/>
        <v>1.274504902327279</v>
      </c>
      <c r="O1036" s="31">
        <f t="shared" si="67"/>
        <v>1.3937772386874707</v>
      </c>
    </row>
    <row r="1037" spans="1:15" x14ac:dyDescent="0.25">
      <c r="A1037" t="s">
        <v>6774</v>
      </c>
      <c r="B1037" t="s">
        <v>2075</v>
      </c>
      <c r="C1037" s="3" t="s">
        <v>2076</v>
      </c>
      <c r="D1037" s="24">
        <v>5.3782000000000003E-2</v>
      </c>
      <c r="E1037" s="25">
        <v>6.5549999999999997</v>
      </c>
      <c r="F1037" s="25">
        <v>6.0709999999999997</v>
      </c>
      <c r="G1037" s="26">
        <v>0.48380000000000001</v>
      </c>
      <c r="H1037" s="27">
        <v>0.2021</v>
      </c>
      <c r="I1037" s="26">
        <v>2.3929999999999998</v>
      </c>
      <c r="J1037" s="28">
        <v>6</v>
      </c>
      <c r="K1037" s="27">
        <v>0.143402</v>
      </c>
      <c r="L1037" s="29">
        <f t="shared" si="64"/>
        <v>0.84344479160471264</v>
      </c>
      <c r="M1037" s="29">
        <f t="shared" si="65"/>
        <v>0.48399999999999965</v>
      </c>
      <c r="N1037" s="30">
        <f t="shared" si="66"/>
        <v>1.2693630516327352</v>
      </c>
      <c r="O1037" s="31">
        <f t="shared" si="67"/>
        <v>1.3986160827384611</v>
      </c>
    </row>
    <row r="1038" spans="1:15" x14ac:dyDescent="0.25">
      <c r="A1038" t="s">
        <v>6775</v>
      </c>
      <c r="B1038" t="s">
        <v>2077</v>
      </c>
      <c r="C1038" s="3" t="s">
        <v>2078</v>
      </c>
      <c r="D1038" s="24">
        <v>5.3872999999999997E-2</v>
      </c>
      <c r="E1038" s="25">
        <v>7.827</v>
      </c>
      <c r="F1038" s="25">
        <v>7.2709999999999999</v>
      </c>
      <c r="G1038" s="26">
        <v>0.55579999999999996</v>
      </c>
      <c r="H1038" s="27">
        <v>0.2324</v>
      </c>
      <c r="I1038" s="26">
        <v>2.3919999999999999</v>
      </c>
      <c r="J1038" s="28">
        <v>6</v>
      </c>
      <c r="K1038" s="27">
        <v>0.143507</v>
      </c>
      <c r="L1038" s="29">
        <f t="shared" si="64"/>
        <v>0.84312691435000353</v>
      </c>
      <c r="M1038" s="29">
        <f t="shared" si="65"/>
        <v>0.55599999999999927</v>
      </c>
      <c r="N1038" s="30">
        <f t="shared" si="66"/>
        <v>1.2686288394314256</v>
      </c>
      <c r="O1038" s="31">
        <f t="shared" si="67"/>
        <v>1.4701873363890401</v>
      </c>
    </row>
    <row r="1039" spans="1:15" x14ac:dyDescent="0.25">
      <c r="A1039" t="s">
        <v>6776</v>
      </c>
      <c r="B1039" t="s">
        <v>2079</v>
      </c>
      <c r="C1039" s="3" t="s">
        <v>2080</v>
      </c>
      <c r="D1039" s="24">
        <v>5.4113000000000001E-2</v>
      </c>
      <c r="E1039" s="25">
        <v>9.673</v>
      </c>
      <c r="F1039" s="25">
        <v>9.1660000000000004</v>
      </c>
      <c r="G1039" s="26">
        <v>0.50729999999999997</v>
      </c>
      <c r="H1039" s="27">
        <v>0.21240000000000001</v>
      </c>
      <c r="I1039" s="26">
        <v>2.3889999999999998</v>
      </c>
      <c r="J1039" s="28">
        <v>6</v>
      </c>
      <c r="K1039" s="27">
        <v>0.144007</v>
      </c>
      <c r="L1039" s="29">
        <f t="shared" si="64"/>
        <v>0.84161639688054646</v>
      </c>
      <c r="M1039" s="29">
        <f t="shared" si="65"/>
        <v>0.50700000000000045</v>
      </c>
      <c r="N1039" s="30">
        <f t="shared" si="66"/>
        <v>1.2666983883123006</v>
      </c>
      <c r="O1039" s="31">
        <f t="shared" si="67"/>
        <v>1.4210920431813601</v>
      </c>
    </row>
    <row r="1040" spans="1:15" x14ac:dyDescent="0.25">
      <c r="A1040" t="s">
        <v>6777</v>
      </c>
      <c r="B1040" t="s">
        <v>2081</v>
      </c>
      <c r="C1040" s="3" t="s">
        <v>2082</v>
      </c>
      <c r="D1040" s="24">
        <v>5.4342000000000001E-2</v>
      </c>
      <c r="E1040" s="25">
        <v>11.08</v>
      </c>
      <c r="F1040" s="25">
        <v>10.83</v>
      </c>
      <c r="G1040" s="26">
        <v>0.24859999999999999</v>
      </c>
      <c r="H1040" s="27">
        <v>0.1042</v>
      </c>
      <c r="I1040" s="26">
        <v>2.3860000000000001</v>
      </c>
      <c r="J1040" s="28">
        <v>6</v>
      </c>
      <c r="K1040" s="27">
        <v>0.144478</v>
      </c>
      <c r="L1040" s="29">
        <f t="shared" si="64"/>
        <v>0.84019827890055609</v>
      </c>
      <c r="M1040" s="29">
        <f t="shared" si="65"/>
        <v>0.24999999999999944</v>
      </c>
      <c r="N1040" s="30">
        <f t="shared" si="66"/>
        <v>1.2648643818735961</v>
      </c>
      <c r="O1040" s="31">
        <f t="shared" si="67"/>
        <v>1.1892071150027206</v>
      </c>
    </row>
    <row r="1041" spans="1:15" x14ac:dyDescent="0.25">
      <c r="A1041" t="s">
        <v>6778</v>
      </c>
      <c r="B1041" t="s">
        <v>2085</v>
      </c>
      <c r="C1041" s="3" t="s">
        <v>2086</v>
      </c>
      <c r="D1041" s="24">
        <v>5.4538000000000003E-2</v>
      </c>
      <c r="E1041" s="25">
        <v>10.48</v>
      </c>
      <c r="F1041" s="25">
        <v>10.18</v>
      </c>
      <c r="G1041" s="26">
        <v>0.29799999999999999</v>
      </c>
      <c r="H1041" s="27">
        <v>0.125</v>
      </c>
      <c r="I1041" s="26">
        <v>2.383</v>
      </c>
      <c r="J1041" s="28">
        <v>6</v>
      </c>
      <c r="K1041" s="27">
        <v>0.14460200000000001</v>
      </c>
      <c r="L1041" s="29">
        <f t="shared" si="64"/>
        <v>0.8398257002437215</v>
      </c>
      <c r="M1041" s="29">
        <f t="shared" si="65"/>
        <v>0.30000000000000132</v>
      </c>
      <c r="N1041" s="30">
        <f t="shared" si="66"/>
        <v>1.2633007924099722</v>
      </c>
      <c r="O1041" s="31">
        <f t="shared" si="67"/>
        <v>1.2311444133449174</v>
      </c>
    </row>
    <row r="1042" spans="1:15" x14ac:dyDescent="0.25">
      <c r="A1042" t="s">
        <v>6779</v>
      </c>
      <c r="B1042" t="s">
        <v>2083</v>
      </c>
      <c r="C1042" s="3" t="s">
        <v>2084</v>
      </c>
      <c r="D1042" s="24">
        <v>5.4466000000000001E-2</v>
      </c>
      <c r="E1042" s="25">
        <v>9.7370000000000001</v>
      </c>
      <c r="F1042" s="25">
        <v>9.4049999999999994</v>
      </c>
      <c r="G1042" s="26">
        <v>0.3322</v>
      </c>
      <c r="H1042" s="27">
        <v>0.1394</v>
      </c>
      <c r="I1042" s="26">
        <v>2.3839999999999999</v>
      </c>
      <c r="J1042" s="28">
        <v>6</v>
      </c>
      <c r="K1042" s="27">
        <v>0.14460200000000001</v>
      </c>
      <c r="L1042" s="29">
        <f t="shared" si="64"/>
        <v>0.8398257002437215</v>
      </c>
      <c r="M1042" s="29">
        <f t="shared" si="65"/>
        <v>0.33200000000000063</v>
      </c>
      <c r="N1042" s="30">
        <f t="shared" si="66"/>
        <v>1.2638745182777305</v>
      </c>
      <c r="O1042" s="31">
        <f t="shared" si="67"/>
        <v>1.2587571735048582</v>
      </c>
    </row>
    <row r="1043" spans="1:15" x14ac:dyDescent="0.25">
      <c r="A1043" t="s">
        <v>6780</v>
      </c>
      <c r="B1043" t="s">
        <v>2087</v>
      </c>
      <c r="C1043" s="3" t="s">
        <v>2088</v>
      </c>
      <c r="D1043" s="24">
        <v>5.4545999999999997E-2</v>
      </c>
      <c r="E1043" s="25">
        <v>11.03</v>
      </c>
      <c r="F1043" s="25">
        <v>10.9</v>
      </c>
      <c r="G1043" s="26">
        <v>0.12189999999999999</v>
      </c>
      <c r="H1043" s="27">
        <v>5.117E-2</v>
      </c>
      <c r="I1043" s="26">
        <v>2.383</v>
      </c>
      <c r="J1043" s="28">
        <v>6</v>
      </c>
      <c r="K1043" s="27">
        <v>0.14460200000000001</v>
      </c>
      <c r="L1043" s="29">
        <f t="shared" si="64"/>
        <v>0.8398257002437215</v>
      </c>
      <c r="M1043" s="29">
        <f t="shared" si="65"/>
        <v>0.12999999999999842</v>
      </c>
      <c r="N1043" s="30">
        <f t="shared" si="66"/>
        <v>1.263237091851477</v>
      </c>
      <c r="O1043" s="31">
        <f t="shared" si="67"/>
        <v>1.0942937012607383</v>
      </c>
    </row>
    <row r="1044" spans="1:15" x14ac:dyDescent="0.25">
      <c r="A1044" t="s">
        <v>6781</v>
      </c>
      <c r="B1044" t="s">
        <v>2095</v>
      </c>
      <c r="C1044" s="3" t="s">
        <v>2096</v>
      </c>
      <c r="D1044" s="24">
        <v>5.4822000000000003E-2</v>
      </c>
      <c r="E1044" s="25">
        <v>9.4960000000000004</v>
      </c>
      <c r="F1044" s="25">
        <v>9.0939999999999994</v>
      </c>
      <c r="G1044" s="26">
        <v>0.40160000000000001</v>
      </c>
      <c r="H1044" s="27">
        <v>0.16880000000000001</v>
      </c>
      <c r="I1044" s="26">
        <v>2.379</v>
      </c>
      <c r="J1044" s="28">
        <v>6</v>
      </c>
      <c r="K1044" s="27">
        <v>0.14471400000000001</v>
      </c>
      <c r="L1044" s="29">
        <f t="shared" si="64"/>
        <v>0.83948945209703774</v>
      </c>
      <c r="M1044" s="29">
        <f t="shared" si="65"/>
        <v>0.40200000000000086</v>
      </c>
      <c r="N1044" s="30">
        <f t="shared" si="66"/>
        <v>1.2610451247045864</v>
      </c>
      <c r="O1044" s="31">
        <f t="shared" si="67"/>
        <v>1.3213384056582658</v>
      </c>
    </row>
    <row r="1045" spans="1:15" x14ac:dyDescent="0.25">
      <c r="A1045" t="s">
        <v>6782</v>
      </c>
      <c r="B1045" t="s">
        <v>2091</v>
      </c>
      <c r="C1045" s="3" t="s">
        <v>2092</v>
      </c>
      <c r="D1045" s="24">
        <v>5.4741999999999999E-2</v>
      </c>
      <c r="E1045" s="25">
        <v>9.3019999999999996</v>
      </c>
      <c r="F1045" s="25">
        <v>8.8079999999999998</v>
      </c>
      <c r="G1045" s="26">
        <v>0.49370000000000003</v>
      </c>
      <c r="H1045" s="27">
        <v>0.2074</v>
      </c>
      <c r="I1045" s="26">
        <v>2.38</v>
      </c>
      <c r="J1045" s="28">
        <v>6</v>
      </c>
      <c r="K1045" s="27">
        <v>0.14471400000000001</v>
      </c>
      <c r="L1045" s="29">
        <f t="shared" si="64"/>
        <v>0.83948945209703774</v>
      </c>
      <c r="M1045" s="29">
        <f t="shared" si="65"/>
        <v>0.49400000000000016</v>
      </c>
      <c r="N1045" s="30">
        <f t="shared" si="66"/>
        <v>1.2616793396789703</v>
      </c>
      <c r="O1045" s="31">
        <f t="shared" si="67"/>
        <v>1.4083442269120809</v>
      </c>
    </row>
    <row r="1046" spans="1:15" x14ac:dyDescent="0.25">
      <c r="A1046" t="s">
        <v>6783</v>
      </c>
      <c r="B1046" t="s">
        <v>2097</v>
      </c>
      <c r="C1046" s="3" t="s">
        <v>2098</v>
      </c>
      <c r="D1046" s="24">
        <v>5.4850000000000003E-2</v>
      </c>
      <c r="E1046" s="25">
        <v>10.57</v>
      </c>
      <c r="F1046" s="25">
        <v>10.31</v>
      </c>
      <c r="G1046" s="26">
        <v>0.25819999999999999</v>
      </c>
      <c r="H1046" s="27">
        <v>0.1086</v>
      </c>
      <c r="I1046" s="26">
        <v>2.379</v>
      </c>
      <c r="J1046" s="28">
        <v>6</v>
      </c>
      <c r="K1046" s="27">
        <v>0.14471400000000001</v>
      </c>
      <c r="L1046" s="29">
        <f t="shared" si="64"/>
        <v>0.83948945209703774</v>
      </c>
      <c r="M1046" s="29">
        <f t="shared" si="65"/>
        <v>0.2599999999999999</v>
      </c>
      <c r="N1046" s="30">
        <f t="shared" si="66"/>
        <v>1.26082336808927</v>
      </c>
      <c r="O1046" s="31">
        <f t="shared" si="67"/>
        <v>1.1974787046189286</v>
      </c>
    </row>
    <row r="1047" spans="1:15" x14ac:dyDescent="0.25">
      <c r="A1047" t="s">
        <v>6784</v>
      </c>
      <c r="B1047" t="s">
        <v>2089</v>
      </c>
      <c r="C1047" s="3" t="s">
        <v>2090</v>
      </c>
      <c r="D1047" s="24">
        <v>5.4697999999999997E-2</v>
      </c>
      <c r="E1047" s="25">
        <v>8.7650000000000006</v>
      </c>
      <c r="F1047" s="25">
        <v>9.17</v>
      </c>
      <c r="G1047" s="26">
        <v>-0.40529999999999999</v>
      </c>
      <c r="H1047" s="27">
        <v>0.17019999999999999</v>
      </c>
      <c r="I1047" s="26">
        <v>2.3809999999999998</v>
      </c>
      <c r="J1047" s="28">
        <v>6</v>
      </c>
      <c r="K1047" s="27">
        <v>0.14471400000000001</v>
      </c>
      <c r="L1047" s="29">
        <f t="shared" si="64"/>
        <v>0.83948945209703774</v>
      </c>
      <c r="M1047" s="29">
        <f t="shared" si="65"/>
        <v>-0.40499999999999969</v>
      </c>
      <c r="N1047" s="30">
        <f t="shared" si="66"/>
        <v>1.2620285530969775</v>
      </c>
      <c r="O1047" s="31">
        <f t="shared" si="67"/>
        <v>0.75523629278141291</v>
      </c>
    </row>
    <row r="1048" spans="1:15" x14ac:dyDescent="0.25">
      <c r="A1048" t="s">
        <v>6785</v>
      </c>
      <c r="B1048" t="s">
        <v>2093</v>
      </c>
      <c r="C1048" s="3" t="s">
        <v>2094</v>
      </c>
      <c r="D1048" s="24">
        <v>5.4781999999999997E-2</v>
      </c>
      <c r="E1048" s="25">
        <v>10.11</v>
      </c>
      <c r="F1048" s="25">
        <v>10.49</v>
      </c>
      <c r="G1048" s="26">
        <v>-0.38219999999999998</v>
      </c>
      <c r="H1048" s="27">
        <v>0.16059999999999999</v>
      </c>
      <c r="I1048" s="26">
        <v>2.38</v>
      </c>
      <c r="J1048" s="28">
        <v>6</v>
      </c>
      <c r="K1048" s="27">
        <v>0.14471400000000001</v>
      </c>
      <c r="L1048" s="29">
        <f t="shared" si="64"/>
        <v>0.83948945209703774</v>
      </c>
      <c r="M1048" s="29">
        <f t="shared" si="65"/>
        <v>-0.38000000000000039</v>
      </c>
      <c r="N1048" s="30">
        <f t="shared" si="66"/>
        <v>1.2613621164210818</v>
      </c>
      <c r="O1048" s="31">
        <f t="shared" si="67"/>
        <v>0.76843759064400596</v>
      </c>
    </row>
    <row r="1049" spans="1:15" x14ac:dyDescent="0.25">
      <c r="A1049" t="s">
        <v>6786</v>
      </c>
      <c r="B1049" t="s">
        <v>2099</v>
      </c>
      <c r="C1049" s="3" t="s">
        <v>2100</v>
      </c>
      <c r="D1049" s="24">
        <v>5.4924000000000001E-2</v>
      </c>
      <c r="E1049" s="25">
        <v>8.2110000000000003</v>
      </c>
      <c r="F1049" s="25">
        <v>7.9669999999999996</v>
      </c>
      <c r="G1049" s="26">
        <v>0.2437</v>
      </c>
      <c r="H1049" s="27">
        <v>0.10249999999999999</v>
      </c>
      <c r="I1049" s="26">
        <v>2.3780000000000001</v>
      </c>
      <c r="J1049" s="28">
        <v>6</v>
      </c>
      <c r="K1049" s="27">
        <v>0.14477100000000001</v>
      </c>
      <c r="L1049" s="29">
        <f t="shared" si="64"/>
        <v>0.8393184257171673</v>
      </c>
      <c r="M1049" s="29">
        <f t="shared" si="65"/>
        <v>0.24400000000000066</v>
      </c>
      <c r="N1049" s="30">
        <f t="shared" si="66"/>
        <v>1.2602378415250755</v>
      </c>
      <c r="O1049" s="31">
        <f t="shared" si="67"/>
        <v>1.1842716118536332</v>
      </c>
    </row>
    <row r="1050" spans="1:15" x14ac:dyDescent="0.25">
      <c r="A1050" t="s">
        <v>6787</v>
      </c>
      <c r="B1050" t="s">
        <v>2101</v>
      </c>
      <c r="C1050" s="3" t="s">
        <v>2102</v>
      </c>
      <c r="D1050" s="24">
        <v>5.5495999999999997E-2</v>
      </c>
      <c r="E1050" s="25">
        <v>9.0540000000000003</v>
      </c>
      <c r="F1050" s="25">
        <v>9.2560000000000002</v>
      </c>
      <c r="G1050" s="26">
        <v>-0.2021</v>
      </c>
      <c r="H1050" s="27">
        <v>8.5269999999999999E-2</v>
      </c>
      <c r="I1050" s="26">
        <v>2.37</v>
      </c>
      <c r="J1050" s="28">
        <v>6</v>
      </c>
      <c r="K1050" s="27">
        <v>0.14613699999999999</v>
      </c>
      <c r="L1050" s="29">
        <f t="shared" si="64"/>
        <v>0.83523981239260026</v>
      </c>
      <c r="M1050" s="29">
        <f t="shared" si="65"/>
        <v>-0.20200000000000085</v>
      </c>
      <c r="N1050" s="30">
        <f t="shared" si="66"/>
        <v>1.2557383185085242</v>
      </c>
      <c r="O1050" s="31">
        <f t="shared" si="67"/>
        <v>0.86934456009002115</v>
      </c>
    </row>
    <row r="1051" spans="1:15" x14ac:dyDescent="0.25">
      <c r="A1051" t="s">
        <v>6788</v>
      </c>
      <c r="B1051" t="s">
        <v>2103</v>
      </c>
      <c r="C1051" s="3" t="s">
        <v>2104</v>
      </c>
      <c r="D1051" s="24">
        <v>5.5639000000000001E-2</v>
      </c>
      <c r="E1051" s="25">
        <v>9.2680000000000007</v>
      </c>
      <c r="F1051" s="25">
        <v>8.9329999999999998</v>
      </c>
      <c r="G1051" s="26">
        <v>0.33479999999999999</v>
      </c>
      <c r="H1051" s="27">
        <v>0.14130000000000001</v>
      </c>
      <c r="I1051" s="26">
        <v>2.3679999999999999</v>
      </c>
      <c r="J1051" s="28">
        <v>6</v>
      </c>
      <c r="K1051" s="27">
        <v>0.146374</v>
      </c>
      <c r="L1051" s="29">
        <f t="shared" si="64"/>
        <v>0.83453605892873772</v>
      </c>
      <c r="M1051" s="29">
        <f t="shared" si="65"/>
        <v>0.33500000000000069</v>
      </c>
      <c r="N1051" s="30">
        <f t="shared" si="66"/>
        <v>1.2546206841865453</v>
      </c>
      <c r="O1051" s="31">
        <f t="shared" si="67"/>
        <v>1.2613774088312502</v>
      </c>
    </row>
    <row r="1052" spans="1:15" x14ac:dyDescent="0.25">
      <c r="A1052" t="s">
        <v>6789</v>
      </c>
      <c r="B1052" t="s">
        <v>2105</v>
      </c>
      <c r="C1052" s="3" t="s">
        <v>2106</v>
      </c>
      <c r="D1052" s="24">
        <v>5.5744000000000002E-2</v>
      </c>
      <c r="E1052" s="25">
        <v>11.21</v>
      </c>
      <c r="F1052" s="25">
        <v>11.41</v>
      </c>
      <c r="G1052" s="26">
        <v>-0.19739999999999999</v>
      </c>
      <c r="H1052" s="27">
        <v>8.3390000000000006E-2</v>
      </c>
      <c r="I1052" s="26">
        <v>2.367</v>
      </c>
      <c r="J1052" s="28">
        <v>6</v>
      </c>
      <c r="K1052" s="27">
        <v>0.146512</v>
      </c>
      <c r="L1052" s="29">
        <f t="shared" si="64"/>
        <v>0.83412680315729248</v>
      </c>
      <c r="M1052" s="29">
        <f t="shared" si="65"/>
        <v>-0.1999999999999989</v>
      </c>
      <c r="N1052" s="30">
        <f t="shared" si="66"/>
        <v>1.2538018710084493</v>
      </c>
      <c r="O1052" s="31">
        <f t="shared" si="67"/>
        <v>0.87055056329612479</v>
      </c>
    </row>
    <row r="1053" spans="1:15" x14ac:dyDescent="0.25">
      <c r="A1053" t="s">
        <v>6790</v>
      </c>
      <c r="B1053" t="s">
        <v>2107</v>
      </c>
      <c r="C1053" s="3" t="s">
        <v>2108</v>
      </c>
      <c r="D1053" s="24">
        <v>5.5810999999999999E-2</v>
      </c>
      <c r="E1053" s="25">
        <v>8.9489999999999998</v>
      </c>
      <c r="F1053" s="25">
        <v>8.3710000000000004</v>
      </c>
      <c r="G1053" s="26">
        <v>0.57809999999999995</v>
      </c>
      <c r="H1053" s="27">
        <v>0.24429999999999999</v>
      </c>
      <c r="I1053" s="26">
        <v>2.3660000000000001</v>
      </c>
      <c r="J1053" s="28">
        <v>6</v>
      </c>
      <c r="K1053" s="27">
        <v>0.14654900000000001</v>
      </c>
      <c r="L1053" s="29">
        <f t="shared" si="64"/>
        <v>0.83401714069169119</v>
      </c>
      <c r="M1053" s="29">
        <f t="shared" si="65"/>
        <v>0.57799999999999985</v>
      </c>
      <c r="N1053" s="30">
        <f t="shared" si="66"/>
        <v>1.2532801958923858</v>
      </c>
      <c r="O1053" s="31">
        <f t="shared" si="67"/>
        <v>1.4927783832969528</v>
      </c>
    </row>
    <row r="1054" spans="1:15" x14ac:dyDescent="0.25">
      <c r="A1054" t="s">
        <v>6791</v>
      </c>
      <c r="B1054" t="s">
        <v>2109</v>
      </c>
      <c r="C1054" s="3" t="s">
        <v>2110</v>
      </c>
      <c r="D1054" s="24">
        <v>5.5952000000000002E-2</v>
      </c>
      <c r="E1054" s="25">
        <v>9.0359999999999996</v>
      </c>
      <c r="F1054" s="25">
        <v>8.7780000000000005</v>
      </c>
      <c r="G1054" s="26">
        <v>0.25829999999999997</v>
      </c>
      <c r="H1054" s="27">
        <v>0.10920000000000001</v>
      </c>
      <c r="I1054" s="26">
        <v>2.3639999999999999</v>
      </c>
      <c r="J1054" s="28">
        <v>6</v>
      </c>
      <c r="K1054" s="27">
        <v>0.14677899999999999</v>
      </c>
      <c r="L1054" s="29">
        <f t="shared" si="64"/>
        <v>0.83333607545885446</v>
      </c>
      <c r="M1054" s="29">
        <f t="shared" si="65"/>
        <v>0.25799999999999879</v>
      </c>
      <c r="N1054" s="30">
        <f t="shared" si="66"/>
        <v>1.2521843850348304</v>
      </c>
      <c r="O1054" s="31">
        <f t="shared" si="67"/>
        <v>1.195819796776123</v>
      </c>
    </row>
    <row r="1055" spans="1:15" x14ac:dyDescent="0.25">
      <c r="A1055" t="s">
        <v>6792</v>
      </c>
      <c r="B1055" t="s">
        <v>2111</v>
      </c>
      <c r="C1055" s="3" t="s">
        <v>2112</v>
      </c>
      <c r="D1055" s="24">
        <v>5.6126000000000002E-2</v>
      </c>
      <c r="E1055" s="25">
        <v>10.039999999999999</v>
      </c>
      <c r="F1055" s="25">
        <v>9.7870000000000008</v>
      </c>
      <c r="G1055" s="26">
        <v>0.25440000000000002</v>
      </c>
      <c r="H1055" s="27">
        <v>0.1077</v>
      </c>
      <c r="I1055" s="26">
        <v>2.3620000000000001</v>
      </c>
      <c r="J1055" s="28">
        <v>6</v>
      </c>
      <c r="K1055" s="27">
        <v>0.14709700000000001</v>
      </c>
      <c r="L1055" s="29">
        <f t="shared" si="64"/>
        <v>0.83239618449022357</v>
      </c>
      <c r="M1055" s="29">
        <f t="shared" si="65"/>
        <v>0.25299999999999817</v>
      </c>
      <c r="N1055" s="30">
        <f t="shared" si="66"/>
        <v>1.2508359080712401</v>
      </c>
      <c r="O1055" s="31">
        <f t="shared" si="67"/>
        <v>1.1916825745740447</v>
      </c>
    </row>
    <row r="1056" spans="1:15" x14ac:dyDescent="0.25">
      <c r="A1056" t="s">
        <v>6793</v>
      </c>
      <c r="B1056" t="s">
        <v>2117</v>
      </c>
      <c r="C1056" s="3" t="s">
        <v>2118</v>
      </c>
      <c r="D1056" s="24">
        <v>5.6322999999999998E-2</v>
      </c>
      <c r="E1056" s="25">
        <v>9.2210000000000001</v>
      </c>
      <c r="F1056" s="25">
        <v>8.98</v>
      </c>
      <c r="G1056" s="26">
        <v>0.2404</v>
      </c>
      <c r="H1056" s="27">
        <v>0.1019</v>
      </c>
      <c r="I1056" s="26">
        <v>2.359</v>
      </c>
      <c r="J1056" s="28">
        <v>6</v>
      </c>
      <c r="K1056" s="27">
        <v>0.14716699999999999</v>
      </c>
      <c r="L1056" s="29">
        <f t="shared" si="64"/>
        <v>0.83218956312772829</v>
      </c>
      <c r="M1056" s="29">
        <f t="shared" si="65"/>
        <v>0.24099999999999941</v>
      </c>
      <c r="N1056" s="30">
        <f t="shared" si="66"/>
        <v>1.2493142208981429</v>
      </c>
      <c r="O1056" s="31">
        <f t="shared" si="67"/>
        <v>1.1818115469343649</v>
      </c>
    </row>
    <row r="1057" spans="1:15" x14ac:dyDescent="0.25">
      <c r="A1057" t="s">
        <v>6794</v>
      </c>
      <c r="B1057" t="s">
        <v>2119</v>
      </c>
      <c r="C1057" s="3" t="s">
        <v>2120</v>
      </c>
      <c r="D1057" s="24">
        <v>5.6365999999999999E-2</v>
      </c>
      <c r="E1057" s="25">
        <v>8.9190000000000005</v>
      </c>
      <c r="F1057" s="25">
        <v>8.5190000000000001</v>
      </c>
      <c r="G1057" s="26">
        <v>0.39950000000000002</v>
      </c>
      <c r="H1057" s="27">
        <v>0.16930000000000001</v>
      </c>
      <c r="I1057" s="26">
        <v>2.359</v>
      </c>
      <c r="J1057" s="28">
        <v>6</v>
      </c>
      <c r="K1057" s="27">
        <v>0.14716699999999999</v>
      </c>
      <c r="L1057" s="29">
        <f t="shared" si="64"/>
        <v>0.83218956312772829</v>
      </c>
      <c r="M1057" s="29">
        <f t="shared" si="65"/>
        <v>0.40000000000000024</v>
      </c>
      <c r="N1057" s="30">
        <f t="shared" si="66"/>
        <v>1.2489827836925911</v>
      </c>
      <c r="O1057" s="31">
        <f t="shared" si="67"/>
        <v>1.3195079107728944</v>
      </c>
    </row>
    <row r="1058" spans="1:15" x14ac:dyDescent="0.25">
      <c r="A1058" t="s">
        <v>6795</v>
      </c>
      <c r="B1058" t="s">
        <v>2115</v>
      </c>
      <c r="C1058" s="3" t="s">
        <v>2116</v>
      </c>
      <c r="D1058" s="24">
        <v>5.6315999999999998E-2</v>
      </c>
      <c r="E1058" s="25">
        <v>13.28</v>
      </c>
      <c r="F1058" s="25">
        <v>12.52</v>
      </c>
      <c r="G1058" s="26">
        <v>0.7611</v>
      </c>
      <c r="H1058" s="27">
        <v>0.3226</v>
      </c>
      <c r="I1058" s="26">
        <v>2.36</v>
      </c>
      <c r="J1058" s="28">
        <v>6</v>
      </c>
      <c r="K1058" s="27">
        <v>0.14716699999999999</v>
      </c>
      <c r="L1058" s="29">
        <f t="shared" si="64"/>
        <v>0.83218956312772829</v>
      </c>
      <c r="M1058" s="29">
        <f t="shared" si="65"/>
        <v>0.76000000000000112</v>
      </c>
      <c r="N1058" s="30">
        <f t="shared" si="66"/>
        <v>1.2493681997398802</v>
      </c>
      <c r="O1058" s="31">
        <f t="shared" si="67"/>
        <v>1.6934906247250556</v>
      </c>
    </row>
    <row r="1059" spans="1:15" x14ac:dyDescent="0.25">
      <c r="A1059" t="s">
        <v>6796</v>
      </c>
      <c r="B1059" t="s">
        <v>2113</v>
      </c>
      <c r="C1059" s="3" t="s">
        <v>2114</v>
      </c>
      <c r="D1059" s="24">
        <v>5.6270000000000001E-2</v>
      </c>
      <c r="E1059" s="25">
        <v>6.8970000000000002</v>
      </c>
      <c r="F1059" s="25">
        <v>5.8380000000000001</v>
      </c>
      <c r="G1059" s="26">
        <v>1.0589999999999999</v>
      </c>
      <c r="H1059" s="27">
        <v>0.4486</v>
      </c>
      <c r="I1059" s="26">
        <v>2.36</v>
      </c>
      <c r="J1059" s="28">
        <v>6</v>
      </c>
      <c r="K1059" s="27">
        <v>0.14716699999999999</v>
      </c>
      <c r="L1059" s="29">
        <f t="shared" si="64"/>
        <v>0.83218956312772829</v>
      </c>
      <c r="M1059" s="29">
        <f t="shared" si="65"/>
        <v>1.0589999999999997</v>
      </c>
      <c r="N1059" s="30">
        <f t="shared" si="66"/>
        <v>1.2497230848460072</v>
      </c>
      <c r="O1059" s="31">
        <f t="shared" si="67"/>
        <v>2.0834868580164421</v>
      </c>
    </row>
    <row r="1060" spans="1:15" x14ac:dyDescent="0.25">
      <c r="A1060" t="s">
        <v>6797</v>
      </c>
      <c r="B1060" t="s">
        <v>2121</v>
      </c>
      <c r="C1060" s="3" t="s">
        <v>2122</v>
      </c>
      <c r="D1060" s="24">
        <v>5.6467999999999997E-2</v>
      </c>
      <c r="E1060" s="25">
        <v>11.09</v>
      </c>
      <c r="F1060" s="25">
        <v>11.3</v>
      </c>
      <c r="G1060" s="26">
        <v>-0.2122</v>
      </c>
      <c r="H1060" s="27">
        <v>0.09</v>
      </c>
      <c r="I1060" s="26">
        <v>2.3580000000000001</v>
      </c>
      <c r="J1060" s="28">
        <v>6</v>
      </c>
      <c r="K1060" s="27">
        <v>0.14729300000000001</v>
      </c>
      <c r="L1060" s="29">
        <f t="shared" si="64"/>
        <v>0.83181789221786184</v>
      </c>
      <c r="M1060" s="29">
        <f t="shared" si="65"/>
        <v>-0.21000000000000019</v>
      </c>
      <c r="N1060" s="30">
        <f t="shared" si="66"/>
        <v>1.2481975939586332</v>
      </c>
      <c r="O1060" s="31">
        <f t="shared" si="67"/>
        <v>0.86453723130786508</v>
      </c>
    </row>
    <row r="1061" spans="1:15" x14ac:dyDescent="0.25">
      <c r="A1061" t="s">
        <v>6798</v>
      </c>
      <c r="B1061" t="s">
        <v>2123</v>
      </c>
      <c r="C1061" s="3" t="s">
        <v>2124</v>
      </c>
      <c r="D1061" s="24">
        <v>5.6555000000000001E-2</v>
      </c>
      <c r="E1061" s="25">
        <v>9.6760000000000002</v>
      </c>
      <c r="F1061" s="25">
        <v>9.9700000000000006</v>
      </c>
      <c r="G1061" s="26">
        <v>-0.29389999999999999</v>
      </c>
      <c r="H1061" s="27">
        <v>0.12470000000000001</v>
      </c>
      <c r="I1061" s="26">
        <v>2.3559999999999999</v>
      </c>
      <c r="J1061" s="28">
        <v>6</v>
      </c>
      <c r="K1061" s="27">
        <v>0.14738200000000001</v>
      </c>
      <c r="L1061" s="29">
        <f t="shared" si="64"/>
        <v>0.83155555431973904</v>
      </c>
      <c r="M1061" s="29">
        <f t="shared" si="65"/>
        <v>-0.29399999999999998</v>
      </c>
      <c r="N1061" s="30">
        <f t="shared" si="66"/>
        <v>1.2475289932775659</v>
      </c>
      <c r="O1061" s="31">
        <f t="shared" si="67"/>
        <v>0.8156374933390097</v>
      </c>
    </row>
    <row r="1062" spans="1:15" x14ac:dyDescent="0.25">
      <c r="A1062" t="s">
        <v>6799</v>
      </c>
      <c r="B1062" t="s">
        <v>2125</v>
      </c>
      <c r="C1062" s="3" t="s">
        <v>2126</v>
      </c>
      <c r="D1062" s="24">
        <v>5.6677999999999999E-2</v>
      </c>
      <c r="E1062" s="25">
        <v>12.96</v>
      </c>
      <c r="F1062" s="25">
        <v>13.34</v>
      </c>
      <c r="G1062" s="26">
        <v>-0.38669999999999999</v>
      </c>
      <c r="H1062" s="27">
        <v>0.16420000000000001</v>
      </c>
      <c r="I1062" s="26">
        <v>2.355</v>
      </c>
      <c r="J1062" s="28">
        <v>6</v>
      </c>
      <c r="K1062" s="27">
        <v>0.147563</v>
      </c>
      <c r="L1062" s="29">
        <f t="shared" si="64"/>
        <v>0.83102252401854926</v>
      </c>
      <c r="M1062" s="29">
        <f t="shared" si="65"/>
        <v>-0.37999999999999939</v>
      </c>
      <c r="N1062" s="30">
        <f t="shared" si="66"/>
        <v>1.2465854831297394</v>
      </c>
      <c r="O1062" s="31">
        <f t="shared" si="67"/>
        <v>0.76843759064400652</v>
      </c>
    </row>
    <row r="1063" spans="1:15" x14ac:dyDescent="0.25">
      <c r="A1063" t="s">
        <v>6800</v>
      </c>
      <c r="B1063" t="s">
        <v>2127</v>
      </c>
      <c r="C1063" s="3" t="s">
        <v>2128</v>
      </c>
      <c r="D1063" s="24">
        <v>5.6762E-2</v>
      </c>
      <c r="E1063" s="25">
        <v>9.6859999999999999</v>
      </c>
      <c r="F1063" s="25">
        <v>10.01</v>
      </c>
      <c r="G1063" s="26">
        <v>-0.32040000000000002</v>
      </c>
      <c r="H1063" s="27">
        <v>0.1361</v>
      </c>
      <c r="I1063" s="26">
        <v>2.3540000000000001</v>
      </c>
      <c r="J1063" s="28">
        <v>6</v>
      </c>
      <c r="K1063" s="27">
        <v>0.147642</v>
      </c>
      <c r="L1063" s="29">
        <f t="shared" si="64"/>
        <v>0.83079008036150159</v>
      </c>
      <c r="M1063" s="29">
        <f t="shared" si="65"/>
        <v>-0.32399999999999995</v>
      </c>
      <c r="N1063" s="30">
        <f t="shared" si="66"/>
        <v>1.2459423106482963</v>
      </c>
      <c r="O1063" s="31">
        <f t="shared" si="67"/>
        <v>0.79885191644914799</v>
      </c>
    </row>
    <row r="1064" spans="1:15" x14ac:dyDescent="0.25">
      <c r="A1064" t="s">
        <v>6801</v>
      </c>
      <c r="B1064" t="s">
        <v>2131</v>
      </c>
      <c r="C1064" s="3" t="s">
        <v>2132</v>
      </c>
      <c r="D1064" s="24">
        <v>5.6967999999999998E-2</v>
      </c>
      <c r="E1064" s="25">
        <v>8.4610000000000003</v>
      </c>
      <c r="F1064" s="25">
        <v>8.6549999999999994</v>
      </c>
      <c r="G1064" s="26">
        <v>-0.1946</v>
      </c>
      <c r="H1064" s="27">
        <v>8.276E-2</v>
      </c>
      <c r="I1064" s="26">
        <v>2.351</v>
      </c>
      <c r="J1064" s="28">
        <v>6</v>
      </c>
      <c r="K1064" s="27">
        <v>0.1479</v>
      </c>
      <c r="L1064" s="29">
        <f t="shared" si="64"/>
        <v>0.83003182600310743</v>
      </c>
      <c r="M1064" s="29">
        <f t="shared" si="65"/>
        <v>-0.19399999999999887</v>
      </c>
      <c r="N1064" s="30">
        <f t="shared" si="66"/>
        <v>1.2443690272382575</v>
      </c>
      <c r="O1064" s="31">
        <f t="shared" si="67"/>
        <v>0.87417862041037386</v>
      </c>
    </row>
    <row r="1065" spans="1:15" x14ac:dyDescent="0.25">
      <c r="A1065" t="s">
        <v>6802</v>
      </c>
      <c r="B1065" t="s">
        <v>2129</v>
      </c>
      <c r="C1065" s="3" t="s">
        <v>2130</v>
      </c>
      <c r="D1065" s="24">
        <v>5.6934999999999999E-2</v>
      </c>
      <c r="E1065" s="25">
        <v>8.8889999999999993</v>
      </c>
      <c r="F1065" s="25">
        <v>9.7420000000000009</v>
      </c>
      <c r="G1065" s="26">
        <v>-0.85350000000000004</v>
      </c>
      <c r="H1065" s="27">
        <v>0.36299999999999999</v>
      </c>
      <c r="I1065" s="26">
        <v>2.3519999999999999</v>
      </c>
      <c r="J1065" s="28">
        <v>6</v>
      </c>
      <c r="K1065" s="27">
        <v>0.1479</v>
      </c>
      <c r="L1065" s="29">
        <f t="shared" si="64"/>
        <v>0.83003182600310743</v>
      </c>
      <c r="M1065" s="29">
        <f t="shared" si="65"/>
        <v>-0.85300000000000209</v>
      </c>
      <c r="N1065" s="30">
        <f t="shared" si="66"/>
        <v>1.2446206750140631</v>
      </c>
      <c r="O1065" s="31">
        <f t="shared" si="67"/>
        <v>0.55363229224214172</v>
      </c>
    </row>
    <row r="1066" spans="1:15" x14ac:dyDescent="0.25">
      <c r="A1066" t="s">
        <v>6803</v>
      </c>
      <c r="B1066" t="s">
        <v>2133</v>
      </c>
      <c r="C1066" s="3" t="s">
        <v>2134</v>
      </c>
      <c r="D1066" s="24">
        <v>5.7535999999999997E-2</v>
      </c>
      <c r="E1066" s="25">
        <v>10.050000000000001</v>
      </c>
      <c r="F1066" s="25">
        <v>9.7690000000000001</v>
      </c>
      <c r="G1066" s="26">
        <v>0.2838</v>
      </c>
      <c r="H1066" s="27">
        <v>0.1211</v>
      </c>
      <c r="I1066" s="26">
        <v>2.3439999999999999</v>
      </c>
      <c r="J1066" s="28">
        <v>6</v>
      </c>
      <c r="K1066" s="27">
        <v>0.149205</v>
      </c>
      <c r="L1066" s="29">
        <f t="shared" si="64"/>
        <v>0.82621662300259213</v>
      </c>
      <c r="M1066" s="29">
        <f t="shared" si="65"/>
        <v>0.28100000000000092</v>
      </c>
      <c r="N1066" s="30">
        <f t="shared" si="66"/>
        <v>1.240060334282884</v>
      </c>
      <c r="O1066" s="31">
        <f t="shared" si="67"/>
        <v>1.2150367919050167</v>
      </c>
    </row>
    <row r="1067" spans="1:15" x14ac:dyDescent="0.25">
      <c r="A1067" t="s">
        <v>6804</v>
      </c>
      <c r="B1067" t="s">
        <v>2135</v>
      </c>
      <c r="C1067" s="3" t="s">
        <v>2136</v>
      </c>
      <c r="D1067" s="24">
        <v>5.7578999999999998E-2</v>
      </c>
      <c r="E1067" s="25">
        <v>8.6259999999999994</v>
      </c>
      <c r="F1067" s="25">
        <v>8.3770000000000007</v>
      </c>
      <c r="G1067" s="26">
        <v>0.24940000000000001</v>
      </c>
      <c r="H1067" s="27">
        <v>0.10639999999999999</v>
      </c>
      <c r="I1067" s="26">
        <v>2.343</v>
      </c>
      <c r="J1067" s="28">
        <v>6</v>
      </c>
      <c r="K1067" s="27">
        <v>0.149205</v>
      </c>
      <c r="L1067" s="29">
        <f t="shared" si="64"/>
        <v>0.82621662300259213</v>
      </c>
      <c r="M1067" s="29">
        <f t="shared" si="65"/>
        <v>0.24899999999999872</v>
      </c>
      <c r="N1067" s="30">
        <f t="shared" si="66"/>
        <v>1.2397358819770956</v>
      </c>
      <c r="O1067" s="31">
        <f t="shared" si="67"/>
        <v>1.1883831050569309</v>
      </c>
    </row>
    <row r="1068" spans="1:15" x14ac:dyDescent="0.25">
      <c r="A1068" t="s">
        <v>6805</v>
      </c>
      <c r="B1068" t="s">
        <v>2137</v>
      </c>
      <c r="C1068" s="3" t="s">
        <v>2138</v>
      </c>
      <c r="D1068" s="24">
        <v>5.7665000000000001E-2</v>
      </c>
      <c r="E1068" s="25">
        <v>8.8520000000000003</v>
      </c>
      <c r="F1068" s="25">
        <v>9.3979999999999997</v>
      </c>
      <c r="G1068" s="26">
        <v>-0.54579999999999995</v>
      </c>
      <c r="H1068" s="27">
        <v>0.23300000000000001</v>
      </c>
      <c r="I1068" s="26">
        <v>2.3420000000000001</v>
      </c>
      <c r="J1068" s="28">
        <v>6</v>
      </c>
      <c r="K1068" s="27">
        <v>0.149288</v>
      </c>
      <c r="L1068" s="29">
        <f t="shared" si="64"/>
        <v>0.82597510013319819</v>
      </c>
      <c r="M1068" s="29">
        <f t="shared" si="65"/>
        <v>-0.54599999999999915</v>
      </c>
      <c r="N1068" s="30">
        <f t="shared" si="66"/>
        <v>1.2390877036358945</v>
      </c>
      <c r="O1068" s="31">
        <f t="shared" si="67"/>
        <v>0.68491648998278332</v>
      </c>
    </row>
    <row r="1069" spans="1:15" x14ac:dyDescent="0.25">
      <c r="A1069" t="s">
        <v>6806</v>
      </c>
      <c r="B1069" t="s">
        <v>2139</v>
      </c>
      <c r="C1069" s="3" t="s">
        <v>2140</v>
      </c>
      <c r="D1069" s="24">
        <v>5.7747E-2</v>
      </c>
      <c r="E1069" s="25">
        <v>7.5170000000000003</v>
      </c>
      <c r="F1069" s="25">
        <v>6.7249999999999996</v>
      </c>
      <c r="G1069" s="26">
        <v>0.79139999999999999</v>
      </c>
      <c r="H1069" s="27">
        <v>0.33800000000000002</v>
      </c>
      <c r="I1069" s="26">
        <v>2.3410000000000002</v>
      </c>
      <c r="J1069" s="28">
        <v>6</v>
      </c>
      <c r="K1069" s="27">
        <v>0.14936199999999999</v>
      </c>
      <c r="L1069" s="29">
        <f t="shared" si="64"/>
        <v>0.82575987969242437</v>
      </c>
      <c r="M1069" s="29">
        <f t="shared" si="65"/>
        <v>0.79200000000000059</v>
      </c>
      <c r="N1069" s="30">
        <f t="shared" si="66"/>
        <v>1.2384705727741385</v>
      </c>
      <c r="O1069" s="31">
        <f t="shared" si="67"/>
        <v>1.7314731310393174</v>
      </c>
    </row>
    <row r="1070" spans="1:15" x14ac:dyDescent="0.25">
      <c r="A1070" t="s">
        <v>6807</v>
      </c>
      <c r="B1070" t="s">
        <v>2141</v>
      </c>
      <c r="C1070" s="3" t="s">
        <v>2142</v>
      </c>
      <c r="D1070" s="24">
        <v>5.8144000000000001E-2</v>
      </c>
      <c r="E1070" s="25">
        <v>9.2780000000000005</v>
      </c>
      <c r="F1070" s="25">
        <v>9.6690000000000005</v>
      </c>
      <c r="G1070" s="26">
        <v>-0.39119999999999999</v>
      </c>
      <c r="H1070" s="27">
        <v>0.16739999999999999</v>
      </c>
      <c r="I1070" s="26">
        <v>2.3359999999999999</v>
      </c>
      <c r="J1070" s="28">
        <v>6</v>
      </c>
      <c r="K1070" s="27">
        <v>0.15024599999999999</v>
      </c>
      <c r="L1070" s="29">
        <f t="shared" si="64"/>
        <v>0.82319708139545145</v>
      </c>
      <c r="M1070" s="29">
        <f t="shared" si="65"/>
        <v>-0.39100000000000018</v>
      </c>
      <c r="N1070" s="30">
        <f t="shared" si="66"/>
        <v>1.2354950943720595</v>
      </c>
      <c r="O1070" s="31">
        <f t="shared" si="67"/>
        <v>0.76260082662814188</v>
      </c>
    </row>
    <row r="1071" spans="1:15" x14ac:dyDescent="0.25">
      <c r="A1071" t="s">
        <v>6808</v>
      </c>
      <c r="B1071" t="s">
        <v>2143</v>
      </c>
      <c r="C1071" s="3" t="s">
        <v>2144</v>
      </c>
      <c r="D1071" s="24">
        <v>5.8376999999999998E-2</v>
      </c>
      <c r="E1071" s="25">
        <v>9.3109999999999999</v>
      </c>
      <c r="F1071" s="25">
        <v>8.3170000000000002</v>
      </c>
      <c r="G1071" s="26">
        <v>0.99390000000000001</v>
      </c>
      <c r="H1071" s="27">
        <v>0.4259</v>
      </c>
      <c r="I1071" s="26">
        <v>2.3330000000000002</v>
      </c>
      <c r="J1071" s="28">
        <v>6</v>
      </c>
      <c r="K1071" s="27">
        <v>0.150641</v>
      </c>
      <c r="L1071" s="29">
        <f t="shared" si="64"/>
        <v>0.82205681000519648</v>
      </c>
      <c r="M1071" s="29">
        <f t="shared" si="65"/>
        <v>0.99400000000000033</v>
      </c>
      <c r="N1071" s="30">
        <f t="shared" si="66"/>
        <v>1.2337582272123895</v>
      </c>
      <c r="O1071" s="31">
        <f t="shared" si="67"/>
        <v>1.9916995061889167</v>
      </c>
    </row>
    <row r="1072" spans="1:15" x14ac:dyDescent="0.25">
      <c r="A1072" t="s">
        <v>6809</v>
      </c>
      <c r="B1072" t="s">
        <v>2145</v>
      </c>
      <c r="C1072" s="3" t="s">
        <v>2146</v>
      </c>
      <c r="D1072" s="24">
        <v>5.8406E-2</v>
      </c>
      <c r="E1072" s="25">
        <v>9.734</v>
      </c>
      <c r="F1072" s="25">
        <v>10.029999999999999</v>
      </c>
      <c r="G1072" s="26">
        <v>-0.29370000000000002</v>
      </c>
      <c r="H1072" s="27">
        <v>0.12590000000000001</v>
      </c>
      <c r="I1072" s="26">
        <v>2.3330000000000002</v>
      </c>
      <c r="J1072" s="28">
        <v>6</v>
      </c>
      <c r="K1072" s="27">
        <v>0.150641</v>
      </c>
      <c r="L1072" s="29">
        <f t="shared" si="64"/>
        <v>0.82205681000519648</v>
      </c>
      <c r="M1072" s="29">
        <f t="shared" si="65"/>
        <v>-0.29599999999999832</v>
      </c>
      <c r="N1072" s="30">
        <f t="shared" si="66"/>
        <v>1.2335425358834444</v>
      </c>
      <c r="O1072" s="31">
        <f t="shared" si="67"/>
        <v>0.81450756307021632</v>
      </c>
    </row>
    <row r="1073" spans="1:15" x14ac:dyDescent="0.25">
      <c r="A1073" t="s">
        <v>6810</v>
      </c>
      <c r="B1073" t="s">
        <v>2147</v>
      </c>
      <c r="C1073" s="3" t="s">
        <v>2148</v>
      </c>
      <c r="D1073" s="24">
        <v>5.8664000000000001E-2</v>
      </c>
      <c r="E1073" s="25">
        <v>8.73</v>
      </c>
      <c r="F1073" s="25">
        <v>9.0370000000000008</v>
      </c>
      <c r="G1073" s="26">
        <v>-0.30669999999999997</v>
      </c>
      <c r="H1073" s="27">
        <v>0.13170000000000001</v>
      </c>
      <c r="I1073" s="26">
        <v>2.33</v>
      </c>
      <c r="J1073" s="28">
        <v>6</v>
      </c>
      <c r="K1073" s="27">
        <v>0.15110100000000001</v>
      </c>
      <c r="L1073" s="29">
        <f t="shared" si="64"/>
        <v>0.820732661451545</v>
      </c>
      <c r="M1073" s="29">
        <f t="shared" si="65"/>
        <v>-0.30700000000000049</v>
      </c>
      <c r="N1073" s="30">
        <f t="shared" si="66"/>
        <v>1.2316283280124458</v>
      </c>
      <c r="O1073" s="31">
        <f t="shared" si="67"/>
        <v>0.80832086880556675</v>
      </c>
    </row>
    <row r="1074" spans="1:15" x14ac:dyDescent="0.25">
      <c r="A1074" t="s">
        <v>6811</v>
      </c>
      <c r="B1074" t="s">
        <v>2149</v>
      </c>
      <c r="C1074" s="3" t="s">
        <v>2150</v>
      </c>
      <c r="D1074" s="24">
        <v>5.8693000000000002E-2</v>
      </c>
      <c r="E1074" s="25">
        <v>7.5670000000000002</v>
      </c>
      <c r="F1074" s="25">
        <v>7.173</v>
      </c>
      <c r="G1074" s="26">
        <v>0.39329999999999998</v>
      </c>
      <c r="H1074" s="27">
        <v>0.16889999999999999</v>
      </c>
      <c r="I1074" s="26">
        <v>2.3290000000000002</v>
      </c>
      <c r="J1074" s="28">
        <v>6</v>
      </c>
      <c r="K1074" s="27">
        <v>0.15110100000000001</v>
      </c>
      <c r="L1074" s="29">
        <f t="shared" si="64"/>
        <v>0.820732661451545</v>
      </c>
      <c r="M1074" s="29">
        <f t="shared" si="65"/>
        <v>0.39400000000000002</v>
      </c>
      <c r="N1074" s="30">
        <f t="shared" si="66"/>
        <v>1.2314136916425393</v>
      </c>
      <c r="O1074" s="31">
        <f t="shared" si="67"/>
        <v>1.3140316271493711</v>
      </c>
    </row>
    <row r="1075" spans="1:15" x14ac:dyDescent="0.25">
      <c r="A1075" t="s">
        <v>6812</v>
      </c>
      <c r="B1075" t="s">
        <v>2155</v>
      </c>
      <c r="C1075" s="3" t="s">
        <v>2156</v>
      </c>
      <c r="D1075" s="24">
        <v>5.8996E-2</v>
      </c>
      <c r="E1075" s="25">
        <v>8.3889999999999993</v>
      </c>
      <c r="F1075" s="25">
        <v>7.9530000000000003</v>
      </c>
      <c r="G1075" s="26">
        <v>0.43630000000000002</v>
      </c>
      <c r="H1075" s="27">
        <v>0.18759999999999999</v>
      </c>
      <c r="I1075" s="26">
        <v>2.3260000000000001</v>
      </c>
      <c r="J1075" s="28">
        <v>6</v>
      </c>
      <c r="K1075" s="27">
        <v>0.15145600000000001</v>
      </c>
      <c r="L1075" s="29">
        <f t="shared" si="64"/>
        <v>0.81971351721209984</v>
      </c>
      <c r="M1075" s="29">
        <f t="shared" si="65"/>
        <v>0.43599999999999889</v>
      </c>
      <c r="N1075" s="30">
        <f t="shared" si="66"/>
        <v>1.2291774330496803</v>
      </c>
      <c r="O1075" s="31">
        <f t="shared" si="67"/>
        <v>1.3528482310502734</v>
      </c>
    </row>
    <row r="1076" spans="1:15" x14ac:dyDescent="0.25">
      <c r="A1076" t="s">
        <v>6813</v>
      </c>
      <c r="B1076" t="s">
        <v>2151</v>
      </c>
      <c r="C1076" s="3" t="s">
        <v>2152</v>
      </c>
      <c r="D1076" s="24">
        <v>5.8948E-2</v>
      </c>
      <c r="E1076" s="25">
        <v>8.0429999999999993</v>
      </c>
      <c r="F1076" s="25">
        <v>8.4309999999999992</v>
      </c>
      <c r="G1076" s="26">
        <v>-0.38790000000000002</v>
      </c>
      <c r="H1076" s="27">
        <v>0.16669999999999999</v>
      </c>
      <c r="I1076" s="26">
        <v>2.3260000000000001</v>
      </c>
      <c r="J1076" s="28">
        <v>6</v>
      </c>
      <c r="K1076" s="27">
        <v>0.15145600000000001</v>
      </c>
      <c r="L1076" s="29">
        <f t="shared" si="64"/>
        <v>0.81971351721209984</v>
      </c>
      <c r="M1076" s="29">
        <f t="shared" si="65"/>
        <v>-0.38800000000000012</v>
      </c>
      <c r="N1076" s="30">
        <f t="shared" si="66"/>
        <v>1.2295309251524114</v>
      </c>
      <c r="O1076" s="31">
        <f t="shared" si="67"/>
        <v>0.76418826038258325</v>
      </c>
    </row>
    <row r="1077" spans="1:15" x14ac:dyDescent="0.25">
      <c r="A1077" t="s">
        <v>6814</v>
      </c>
      <c r="B1077" t="s">
        <v>2153</v>
      </c>
      <c r="C1077" s="3" t="s">
        <v>2154</v>
      </c>
      <c r="D1077" s="24">
        <v>5.8970000000000002E-2</v>
      </c>
      <c r="E1077" s="25">
        <v>8.3469999999999995</v>
      </c>
      <c r="F1077" s="25">
        <v>8.702</v>
      </c>
      <c r="G1077" s="26">
        <v>-0.35470000000000002</v>
      </c>
      <c r="H1077" s="27">
        <v>0.1525</v>
      </c>
      <c r="I1077" s="26">
        <v>2.3260000000000001</v>
      </c>
      <c r="J1077" s="28">
        <v>6</v>
      </c>
      <c r="K1077" s="27">
        <v>0.15145600000000001</v>
      </c>
      <c r="L1077" s="29">
        <f t="shared" si="64"/>
        <v>0.81971351721209984</v>
      </c>
      <c r="M1077" s="29">
        <f t="shared" si="65"/>
        <v>-0.35500000000000048</v>
      </c>
      <c r="N1077" s="30">
        <f t="shared" si="66"/>
        <v>1.2293688722221934</v>
      </c>
      <c r="O1077" s="31">
        <f t="shared" si="67"/>
        <v>0.78186964312859331</v>
      </c>
    </row>
    <row r="1078" spans="1:15" x14ac:dyDescent="0.25">
      <c r="A1078" t="s">
        <v>6815</v>
      </c>
      <c r="B1078" t="s">
        <v>2157</v>
      </c>
      <c r="C1078" s="3" t="s">
        <v>2158</v>
      </c>
      <c r="D1078" s="24">
        <v>5.9451999999999998E-2</v>
      </c>
      <c r="E1078" s="25">
        <v>10.11</v>
      </c>
      <c r="F1078" s="25">
        <v>9.952</v>
      </c>
      <c r="G1078" s="26">
        <v>0.16059999999999999</v>
      </c>
      <c r="H1078" s="27">
        <v>6.9220000000000004E-2</v>
      </c>
      <c r="I1078" s="26">
        <v>2.3199999999999998</v>
      </c>
      <c r="J1078" s="28">
        <v>6</v>
      </c>
      <c r="K1078" s="27">
        <v>0.15248600000000001</v>
      </c>
      <c r="L1078" s="29">
        <f t="shared" si="64"/>
        <v>0.81677002780474495</v>
      </c>
      <c r="M1078" s="29">
        <f t="shared" si="65"/>
        <v>0.15799999999999909</v>
      </c>
      <c r="N1078" s="30">
        <f t="shared" si="66"/>
        <v>1.2258335308795414</v>
      </c>
      <c r="O1078" s="31">
        <f t="shared" si="67"/>
        <v>1.1157393223249634</v>
      </c>
    </row>
    <row r="1079" spans="1:15" x14ac:dyDescent="0.25">
      <c r="A1079" t="s">
        <v>6816</v>
      </c>
      <c r="B1079" t="s">
        <v>2159</v>
      </c>
      <c r="C1079" s="3" t="s">
        <v>2160</v>
      </c>
      <c r="D1079" s="24">
        <v>5.9903999999999999E-2</v>
      </c>
      <c r="E1079" s="25">
        <v>9.6910000000000007</v>
      </c>
      <c r="F1079" s="25">
        <v>9.1020000000000003</v>
      </c>
      <c r="G1079" s="26">
        <v>0.58919999999999995</v>
      </c>
      <c r="H1079" s="27">
        <v>0.25459999999999999</v>
      </c>
      <c r="I1079" s="26">
        <v>2.3140000000000001</v>
      </c>
      <c r="J1079" s="28">
        <v>6</v>
      </c>
      <c r="K1079" s="27">
        <v>0.153475</v>
      </c>
      <c r="L1079" s="29">
        <f t="shared" si="64"/>
        <v>0.81396235794766503</v>
      </c>
      <c r="M1079" s="29">
        <f t="shared" si="65"/>
        <v>0.5890000000000003</v>
      </c>
      <c r="N1079" s="30">
        <f t="shared" si="66"/>
        <v>1.2225441772780075</v>
      </c>
      <c r="O1079" s="31">
        <f t="shared" si="67"/>
        <v>1.5042037513886879</v>
      </c>
    </row>
    <row r="1080" spans="1:15" x14ac:dyDescent="0.25">
      <c r="A1080" t="s">
        <v>6817</v>
      </c>
      <c r="B1080" t="s">
        <v>2161</v>
      </c>
      <c r="C1080" s="3" t="s">
        <v>2162</v>
      </c>
      <c r="D1080" s="24">
        <v>5.9949000000000002E-2</v>
      </c>
      <c r="E1080" s="25">
        <v>10.32</v>
      </c>
      <c r="F1080" s="25">
        <v>9.8019999999999996</v>
      </c>
      <c r="G1080" s="26">
        <v>0.52210000000000001</v>
      </c>
      <c r="H1080" s="27">
        <v>0.22570000000000001</v>
      </c>
      <c r="I1080" s="26">
        <v>2.3140000000000001</v>
      </c>
      <c r="J1080" s="28">
        <v>6</v>
      </c>
      <c r="K1080" s="27">
        <v>0.153475</v>
      </c>
      <c r="L1080" s="29">
        <f t="shared" si="64"/>
        <v>0.81396235794766503</v>
      </c>
      <c r="M1080" s="29">
        <f t="shared" si="65"/>
        <v>0.5179999999999999</v>
      </c>
      <c r="N1080" s="30">
        <f t="shared" si="66"/>
        <v>1.2222180569038159</v>
      </c>
      <c r="O1080" s="31">
        <f t="shared" si="67"/>
        <v>1.4319687412011435</v>
      </c>
    </row>
    <row r="1081" spans="1:15" x14ac:dyDescent="0.25">
      <c r="A1081" t="s">
        <v>6818</v>
      </c>
      <c r="B1081" t="s">
        <v>2163</v>
      </c>
      <c r="C1081" s="3" t="s">
        <v>2164</v>
      </c>
      <c r="D1081" s="24">
        <v>6.0027999999999998E-2</v>
      </c>
      <c r="E1081" s="25">
        <v>9.032</v>
      </c>
      <c r="F1081" s="25">
        <v>8.7070000000000007</v>
      </c>
      <c r="G1081" s="26">
        <v>0.3256</v>
      </c>
      <c r="H1081" s="27">
        <v>0.14080000000000001</v>
      </c>
      <c r="I1081" s="26">
        <v>2.3130000000000002</v>
      </c>
      <c r="J1081" s="28">
        <v>6</v>
      </c>
      <c r="K1081" s="27">
        <v>0.15353700000000001</v>
      </c>
      <c r="L1081" s="29">
        <f t="shared" si="64"/>
        <v>0.81378694944087016</v>
      </c>
      <c r="M1081" s="29">
        <f t="shared" si="65"/>
        <v>0.32499999999999901</v>
      </c>
      <c r="N1081" s="30">
        <f t="shared" si="66"/>
        <v>1.2216461261332712</v>
      </c>
      <c r="O1081" s="31">
        <f t="shared" si="67"/>
        <v>1.252664438624127</v>
      </c>
    </row>
    <row r="1082" spans="1:15" x14ac:dyDescent="0.25">
      <c r="A1082" t="s">
        <v>6819</v>
      </c>
      <c r="B1082" t="s">
        <v>2165</v>
      </c>
      <c r="C1082" s="3" t="s">
        <v>2166</v>
      </c>
      <c r="D1082" s="24">
        <v>6.0135000000000001E-2</v>
      </c>
      <c r="E1082" s="25">
        <v>8.6300000000000008</v>
      </c>
      <c r="F1082" s="25">
        <v>8.1219999999999999</v>
      </c>
      <c r="G1082" s="26">
        <v>0.50800000000000001</v>
      </c>
      <c r="H1082" s="27">
        <v>0.21970000000000001</v>
      </c>
      <c r="I1082" s="26">
        <v>2.3119999999999998</v>
      </c>
      <c r="J1082" s="28">
        <v>6</v>
      </c>
      <c r="K1082" s="27">
        <v>0.153667</v>
      </c>
      <c r="L1082" s="29">
        <f t="shared" si="64"/>
        <v>0.81341938726057628</v>
      </c>
      <c r="M1082" s="29">
        <f t="shared" si="65"/>
        <v>0.50800000000000078</v>
      </c>
      <c r="N1082" s="30">
        <f t="shared" si="66"/>
        <v>1.220872684693797</v>
      </c>
      <c r="O1082" s="31">
        <f t="shared" si="67"/>
        <v>1.4220774105872755</v>
      </c>
    </row>
    <row r="1083" spans="1:15" x14ac:dyDescent="0.25">
      <c r="A1083" t="s">
        <v>6820</v>
      </c>
      <c r="B1083" t="s">
        <v>2167</v>
      </c>
      <c r="C1083" s="3" t="s">
        <v>2168</v>
      </c>
      <c r="D1083" s="24">
        <v>6.0421000000000002E-2</v>
      </c>
      <c r="E1083" s="25">
        <v>8.9719999999999995</v>
      </c>
      <c r="F1083" s="25">
        <v>8.7460000000000004</v>
      </c>
      <c r="G1083" s="26">
        <v>0.22650000000000001</v>
      </c>
      <c r="H1083" s="27">
        <v>9.8110000000000003E-2</v>
      </c>
      <c r="I1083" s="26">
        <v>2.3079999999999998</v>
      </c>
      <c r="J1083" s="28">
        <v>6</v>
      </c>
      <c r="K1083" s="27">
        <v>0.154255</v>
      </c>
      <c r="L1083" s="29">
        <f t="shared" si="64"/>
        <v>0.81176074990596059</v>
      </c>
      <c r="M1083" s="29">
        <f t="shared" si="65"/>
        <v>0.22599999999999942</v>
      </c>
      <c r="N1083" s="30">
        <f t="shared" si="66"/>
        <v>1.2188120911963367</v>
      </c>
      <c r="O1083" s="31">
        <f t="shared" si="67"/>
        <v>1.1695876640519469</v>
      </c>
    </row>
    <row r="1084" spans="1:15" x14ac:dyDescent="0.25">
      <c r="A1084" t="s">
        <v>6821</v>
      </c>
      <c r="B1084" t="s">
        <v>2173</v>
      </c>
      <c r="C1084" s="3" t="s">
        <v>2174</v>
      </c>
      <c r="D1084" s="24">
        <v>6.0925E-2</v>
      </c>
      <c r="E1084" s="25">
        <v>11.51</v>
      </c>
      <c r="F1084" s="25">
        <v>11.23</v>
      </c>
      <c r="G1084" s="26">
        <v>0.28120000000000001</v>
      </c>
      <c r="H1084" s="27">
        <v>0.1222</v>
      </c>
      <c r="I1084" s="26">
        <v>2.302</v>
      </c>
      <c r="J1084" s="28">
        <v>6</v>
      </c>
      <c r="K1084" s="27">
        <v>0.154944</v>
      </c>
      <c r="L1084" s="29">
        <f t="shared" si="64"/>
        <v>0.80982523657437988</v>
      </c>
      <c r="M1084" s="29">
        <f t="shared" si="65"/>
        <v>0.27999999999999936</v>
      </c>
      <c r="N1084" s="30">
        <f t="shared" si="66"/>
        <v>1.2152044621432381</v>
      </c>
      <c r="O1084" s="31">
        <f t="shared" si="67"/>
        <v>1.2141948843950463</v>
      </c>
    </row>
    <row r="1085" spans="1:15" x14ac:dyDescent="0.25">
      <c r="A1085" t="s">
        <v>6822</v>
      </c>
      <c r="B1085" t="s">
        <v>2175</v>
      </c>
      <c r="C1085" s="3" t="s">
        <v>2176</v>
      </c>
      <c r="D1085" s="24">
        <v>6.1027999999999999E-2</v>
      </c>
      <c r="E1085" s="25">
        <v>11.47</v>
      </c>
      <c r="F1085" s="25">
        <v>11.23</v>
      </c>
      <c r="G1085" s="26">
        <v>0.2392</v>
      </c>
      <c r="H1085" s="27">
        <v>0.10390000000000001</v>
      </c>
      <c r="I1085" s="26">
        <v>2.3010000000000002</v>
      </c>
      <c r="J1085" s="28">
        <v>6</v>
      </c>
      <c r="K1085" s="27">
        <v>0.154944</v>
      </c>
      <c r="L1085" s="29">
        <f t="shared" si="64"/>
        <v>0.80982523657437988</v>
      </c>
      <c r="M1085" s="29">
        <f t="shared" si="65"/>
        <v>0.24000000000000041</v>
      </c>
      <c r="N1085" s="30">
        <f t="shared" si="66"/>
        <v>1.2144708624405276</v>
      </c>
      <c r="O1085" s="31">
        <f t="shared" si="67"/>
        <v>1.1809926614295307</v>
      </c>
    </row>
    <row r="1086" spans="1:15" x14ac:dyDescent="0.25">
      <c r="A1086" t="s">
        <v>6823</v>
      </c>
      <c r="B1086" t="s">
        <v>2177</v>
      </c>
      <c r="C1086" s="3" t="s">
        <v>2178</v>
      </c>
      <c r="D1086" s="24">
        <v>6.1027999999999999E-2</v>
      </c>
      <c r="E1086" s="25">
        <v>11.47</v>
      </c>
      <c r="F1086" s="25">
        <v>11.23</v>
      </c>
      <c r="G1086" s="26">
        <v>0.2392</v>
      </c>
      <c r="H1086" s="27">
        <v>0.10390000000000001</v>
      </c>
      <c r="I1086" s="26">
        <v>2.3010000000000002</v>
      </c>
      <c r="J1086" s="28">
        <v>6</v>
      </c>
      <c r="K1086" s="27">
        <v>0.154944</v>
      </c>
      <c r="L1086" s="29">
        <f t="shared" si="64"/>
        <v>0.80982523657437988</v>
      </c>
      <c r="M1086" s="29">
        <f t="shared" si="65"/>
        <v>0.24000000000000041</v>
      </c>
      <c r="N1086" s="30">
        <f t="shared" si="66"/>
        <v>1.2144708624405276</v>
      </c>
      <c r="O1086" s="31">
        <f t="shared" si="67"/>
        <v>1.1809926614295307</v>
      </c>
    </row>
    <row r="1087" spans="1:15" x14ac:dyDescent="0.25">
      <c r="A1087" t="s">
        <v>6824</v>
      </c>
      <c r="B1087" t="s">
        <v>2169</v>
      </c>
      <c r="C1087" s="3" t="s">
        <v>2170</v>
      </c>
      <c r="D1087" s="24">
        <v>6.0831000000000003E-2</v>
      </c>
      <c r="E1087" s="25">
        <v>9.5139999999999993</v>
      </c>
      <c r="F1087" s="25">
        <v>9.2539999999999996</v>
      </c>
      <c r="G1087" s="26">
        <v>0.26019999999999999</v>
      </c>
      <c r="H1087" s="27">
        <v>0.113</v>
      </c>
      <c r="I1087" s="26">
        <v>2.3029999999999999</v>
      </c>
      <c r="J1087" s="28">
        <v>6</v>
      </c>
      <c r="K1087" s="27">
        <v>0.154944</v>
      </c>
      <c r="L1087" s="29">
        <f t="shared" si="64"/>
        <v>0.80982523657437988</v>
      </c>
      <c r="M1087" s="29">
        <f t="shared" si="65"/>
        <v>0.2599999999999999</v>
      </c>
      <c r="N1087" s="30">
        <f t="shared" si="66"/>
        <v>1.2158750441171817</v>
      </c>
      <c r="O1087" s="31">
        <f t="shared" si="67"/>
        <v>1.1974787046189286</v>
      </c>
    </row>
    <row r="1088" spans="1:15" x14ac:dyDescent="0.25">
      <c r="A1088" t="s">
        <v>6825</v>
      </c>
      <c r="B1088" t="s">
        <v>2179</v>
      </c>
      <c r="C1088" s="3" t="s">
        <v>2180</v>
      </c>
      <c r="D1088" s="24">
        <v>6.1027999999999999E-2</v>
      </c>
      <c r="E1088" s="25">
        <v>11.47</v>
      </c>
      <c r="F1088" s="25">
        <v>11.23</v>
      </c>
      <c r="G1088" s="26">
        <v>0.2392</v>
      </c>
      <c r="H1088" s="27">
        <v>0.10390000000000001</v>
      </c>
      <c r="I1088" s="26">
        <v>2.3010000000000002</v>
      </c>
      <c r="J1088" s="28">
        <v>6</v>
      </c>
      <c r="K1088" s="27">
        <v>0.154944</v>
      </c>
      <c r="L1088" s="29">
        <f t="shared" si="64"/>
        <v>0.80982523657437988</v>
      </c>
      <c r="M1088" s="29">
        <f t="shared" si="65"/>
        <v>0.24000000000000041</v>
      </c>
      <c r="N1088" s="30">
        <f t="shared" si="66"/>
        <v>1.2144708624405276</v>
      </c>
      <c r="O1088" s="31">
        <f t="shared" si="67"/>
        <v>1.1809926614295307</v>
      </c>
    </row>
    <row r="1089" spans="1:15" x14ac:dyDescent="0.25">
      <c r="A1089" t="s">
        <v>6826</v>
      </c>
      <c r="B1089" t="s">
        <v>2171</v>
      </c>
      <c r="C1089" s="3" t="s">
        <v>2172</v>
      </c>
      <c r="D1089" s="24">
        <v>6.0879999999999997E-2</v>
      </c>
      <c r="E1089" s="25">
        <v>8.6969999999999992</v>
      </c>
      <c r="F1089" s="25">
        <v>8.4220000000000006</v>
      </c>
      <c r="G1089" s="26">
        <v>0.2747</v>
      </c>
      <c r="H1089" s="27">
        <v>0.1193</v>
      </c>
      <c r="I1089" s="26">
        <v>2.3029999999999999</v>
      </c>
      <c r="J1089" s="28">
        <v>6</v>
      </c>
      <c r="K1089" s="27">
        <v>0.154944</v>
      </c>
      <c r="L1089" s="29">
        <f t="shared" si="64"/>
        <v>0.80982523657437988</v>
      </c>
      <c r="M1089" s="29">
        <f t="shared" si="65"/>
        <v>0.27499999999999847</v>
      </c>
      <c r="N1089" s="30">
        <f t="shared" si="66"/>
        <v>1.2155253562374835</v>
      </c>
      <c r="O1089" s="31">
        <f t="shared" si="67"/>
        <v>1.2099940892192913</v>
      </c>
    </row>
    <row r="1090" spans="1:15" x14ac:dyDescent="0.25">
      <c r="A1090" t="s">
        <v>6827</v>
      </c>
      <c r="B1090" t="s">
        <v>2181</v>
      </c>
      <c r="C1090" s="3" t="s">
        <v>2182</v>
      </c>
      <c r="D1090" s="24">
        <v>6.1402999999999999E-2</v>
      </c>
      <c r="E1090" s="25">
        <v>9.3059999999999992</v>
      </c>
      <c r="F1090" s="25">
        <v>8.9689999999999994</v>
      </c>
      <c r="G1090" s="26">
        <v>0.33660000000000001</v>
      </c>
      <c r="H1090" s="27">
        <v>0.14660000000000001</v>
      </c>
      <c r="I1090" s="26">
        <v>2.2959999999999998</v>
      </c>
      <c r="J1090" s="28">
        <v>6</v>
      </c>
      <c r="K1090" s="27">
        <v>0.155753</v>
      </c>
      <c r="L1090" s="29">
        <f t="shared" ref="L1090:L1153" si="68">-LOG(K1090,10)</f>
        <v>0.80756357952659019</v>
      </c>
      <c r="M1090" s="29">
        <f t="shared" ref="M1090:M1153" si="69">LOG(O1090,2)</f>
        <v>0.33699999999999886</v>
      </c>
      <c r="N1090" s="30">
        <f t="shared" ref="N1090:N1153" si="70">-LOG(D1090,10)</f>
        <v>1.2118104097771165</v>
      </c>
      <c r="O1090" s="31">
        <f t="shared" ref="O1090:O1153" si="71">((2^E1090)/(2^F1090))</f>
        <v>1.263127261845798</v>
      </c>
    </row>
    <row r="1091" spans="1:15" x14ac:dyDescent="0.25">
      <c r="A1091" t="s">
        <v>6828</v>
      </c>
      <c r="B1091" t="s">
        <v>2183</v>
      </c>
      <c r="C1091" s="3" t="s">
        <v>2184</v>
      </c>
      <c r="D1091" s="24">
        <v>6.1785E-2</v>
      </c>
      <c r="E1091" s="25">
        <v>10.41</v>
      </c>
      <c r="F1091" s="25">
        <v>10.18</v>
      </c>
      <c r="G1091" s="26">
        <v>0.22459999999999999</v>
      </c>
      <c r="H1091" s="27">
        <v>9.7989999999999994E-2</v>
      </c>
      <c r="I1091" s="26">
        <v>2.2919999999999998</v>
      </c>
      <c r="J1091" s="28">
        <v>6</v>
      </c>
      <c r="K1091" s="27">
        <v>0.15648000000000001</v>
      </c>
      <c r="L1091" s="29">
        <f t="shared" si="68"/>
        <v>0.80554116255647368</v>
      </c>
      <c r="M1091" s="29">
        <f t="shared" si="69"/>
        <v>0.23000000000000112</v>
      </c>
      <c r="N1091" s="30">
        <f t="shared" si="70"/>
        <v>1.2091169489879012</v>
      </c>
      <c r="O1091" s="31">
        <f t="shared" si="71"/>
        <v>1.1728349492318797</v>
      </c>
    </row>
    <row r="1092" spans="1:15" x14ac:dyDescent="0.25">
      <c r="A1092" t="s">
        <v>6829</v>
      </c>
      <c r="B1092" t="s">
        <v>2185</v>
      </c>
      <c r="C1092" s="3" t="s">
        <v>2186</v>
      </c>
      <c r="D1092" s="24">
        <v>6.1802000000000003E-2</v>
      </c>
      <c r="E1092" s="25">
        <v>8.2200000000000006</v>
      </c>
      <c r="F1092" s="25">
        <v>7.9349999999999996</v>
      </c>
      <c r="G1092" s="26">
        <v>0.28449999999999998</v>
      </c>
      <c r="H1092" s="27">
        <v>0.1241</v>
      </c>
      <c r="I1092" s="26">
        <v>2.2919999999999998</v>
      </c>
      <c r="J1092" s="28">
        <v>6</v>
      </c>
      <c r="K1092" s="27">
        <v>0.15648000000000001</v>
      </c>
      <c r="L1092" s="29">
        <f t="shared" si="68"/>
        <v>0.80554116255647368</v>
      </c>
      <c r="M1092" s="29">
        <f t="shared" si="69"/>
        <v>0.28500000000000153</v>
      </c>
      <c r="N1092" s="30">
        <f t="shared" si="70"/>
        <v>1.2089974703010016</v>
      </c>
      <c r="O1092" s="31">
        <f t="shared" si="71"/>
        <v>1.2184102636751926</v>
      </c>
    </row>
    <row r="1093" spans="1:15" x14ac:dyDescent="0.25">
      <c r="A1093" t="s">
        <v>6830</v>
      </c>
      <c r="B1093" t="s">
        <v>2187</v>
      </c>
      <c r="C1093" s="3" t="s">
        <v>2188</v>
      </c>
      <c r="D1093" s="24">
        <v>6.1890000000000001E-2</v>
      </c>
      <c r="E1093" s="25">
        <v>9.6460000000000008</v>
      </c>
      <c r="F1093" s="25">
        <v>9.5039999999999996</v>
      </c>
      <c r="G1093" s="26">
        <v>0.1426</v>
      </c>
      <c r="H1093" s="27">
        <v>6.2269999999999999E-2</v>
      </c>
      <c r="I1093" s="26">
        <v>2.2909999999999999</v>
      </c>
      <c r="J1093" s="28">
        <v>6</v>
      </c>
      <c r="K1093" s="27">
        <v>0.15656</v>
      </c>
      <c r="L1093" s="29">
        <f t="shared" si="68"/>
        <v>0.80531918735005514</v>
      </c>
      <c r="M1093" s="29">
        <f t="shared" si="69"/>
        <v>0.14200000000000101</v>
      </c>
      <c r="N1093" s="30">
        <f t="shared" si="70"/>
        <v>1.2083795173071858</v>
      </c>
      <c r="O1093" s="31">
        <f t="shared" si="71"/>
        <v>1.10343374004196</v>
      </c>
    </row>
    <row r="1094" spans="1:15" x14ac:dyDescent="0.25">
      <c r="A1094" t="s">
        <v>6831</v>
      </c>
      <c r="B1094" t="s">
        <v>2191</v>
      </c>
      <c r="C1094" s="3" t="s">
        <v>2192</v>
      </c>
      <c r="D1094" s="24">
        <v>6.2126000000000001E-2</v>
      </c>
      <c r="E1094" s="25">
        <v>7.9370000000000003</v>
      </c>
      <c r="F1094" s="25">
        <v>7.2629999999999999</v>
      </c>
      <c r="G1094" s="26">
        <v>0.67359999999999998</v>
      </c>
      <c r="H1094" s="27">
        <v>0.2944</v>
      </c>
      <c r="I1094" s="26">
        <v>2.2879999999999998</v>
      </c>
      <c r="J1094" s="28">
        <v>6</v>
      </c>
      <c r="K1094" s="27">
        <v>0.15660199999999999</v>
      </c>
      <c r="L1094" s="29">
        <f t="shared" si="68"/>
        <v>0.80520269576838632</v>
      </c>
      <c r="M1094" s="29">
        <f t="shared" si="69"/>
        <v>0.67400000000000071</v>
      </c>
      <c r="N1094" s="30">
        <f t="shared" si="70"/>
        <v>1.2067266076592293</v>
      </c>
      <c r="O1094" s="31">
        <f t="shared" si="71"/>
        <v>1.5954904796180667</v>
      </c>
    </row>
    <row r="1095" spans="1:15" x14ac:dyDescent="0.25">
      <c r="A1095" t="s">
        <v>6832</v>
      </c>
      <c r="B1095" t="s">
        <v>2195</v>
      </c>
      <c r="C1095" s="3" t="s">
        <v>2196</v>
      </c>
      <c r="D1095" s="24">
        <v>6.2183000000000002E-2</v>
      </c>
      <c r="E1095" s="25">
        <v>9.7840000000000007</v>
      </c>
      <c r="F1095" s="25">
        <v>10.08</v>
      </c>
      <c r="G1095" s="26">
        <v>-0.29620000000000002</v>
      </c>
      <c r="H1095" s="27">
        <v>0.1295</v>
      </c>
      <c r="I1095" s="26">
        <v>2.2869999999999999</v>
      </c>
      <c r="J1095" s="28">
        <v>6</v>
      </c>
      <c r="K1095" s="27">
        <v>0.15660199999999999</v>
      </c>
      <c r="L1095" s="29">
        <f t="shared" si="68"/>
        <v>0.80520269576838632</v>
      </c>
      <c r="M1095" s="29">
        <f t="shared" si="69"/>
        <v>-0.29599999999999832</v>
      </c>
      <c r="N1095" s="30">
        <f t="shared" si="70"/>
        <v>1.2063283293816562</v>
      </c>
      <c r="O1095" s="31">
        <f t="shared" si="71"/>
        <v>0.81450756307021632</v>
      </c>
    </row>
    <row r="1096" spans="1:15" x14ac:dyDescent="0.25">
      <c r="A1096" t="s">
        <v>6833</v>
      </c>
      <c r="B1096" t="s">
        <v>2193</v>
      </c>
      <c r="C1096" s="3" t="s">
        <v>2194</v>
      </c>
      <c r="D1096" s="24">
        <v>6.2182000000000001E-2</v>
      </c>
      <c r="E1096" s="25">
        <v>8.702</v>
      </c>
      <c r="F1096" s="25">
        <v>8.1170000000000009</v>
      </c>
      <c r="G1096" s="26">
        <v>0.58430000000000004</v>
      </c>
      <c r="H1096" s="27">
        <v>0.2555</v>
      </c>
      <c r="I1096" s="26">
        <v>2.2869999999999999</v>
      </c>
      <c r="J1096" s="28">
        <v>6</v>
      </c>
      <c r="K1096" s="27">
        <v>0.15660199999999999</v>
      </c>
      <c r="L1096" s="29">
        <f t="shared" si="68"/>
        <v>0.80520269576838632</v>
      </c>
      <c r="M1096" s="29">
        <f t="shared" si="69"/>
        <v>0.58499999999999897</v>
      </c>
      <c r="N1096" s="30">
        <f t="shared" si="70"/>
        <v>1.206335313573059</v>
      </c>
      <c r="O1096" s="31">
        <f t="shared" si="71"/>
        <v>1.500038989285817</v>
      </c>
    </row>
    <row r="1097" spans="1:15" x14ac:dyDescent="0.25">
      <c r="A1097" t="s">
        <v>6834</v>
      </c>
      <c r="B1097" t="s">
        <v>2189</v>
      </c>
      <c r="C1097" s="3" t="s">
        <v>2190</v>
      </c>
      <c r="D1097" s="24">
        <v>6.2015000000000001E-2</v>
      </c>
      <c r="E1097" s="25">
        <v>12.53</v>
      </c>
      <c r="F1097" s="25">
        <v>13.16</v>
      </c>
      <c r="G1097" s="26">
        <v>-0.6321</v>
      </c>
      <c r="H1097" s="27">
        <v>0.27610000000000001</v>
      </c>
      <c r="I1097" s="26">
        <v>2.2890000000000001</v>
      </c>
      <c r="J1097" s="28">
        <v>6</v>
      </c>
      <c r="K1097" s="27">
        <v>0.15660199999999999</v>
      </c>
      <c r="L1097" s="29">
        <f t="shared" si="68"/>
        <v>0.80520269576838632</v>
      </c>
      <c r="M1097" s="29">
        <f t="shared" si="69"/>
        <v>-0.63</v>
      </c>
      <c r="N1097" s="30">
        <f t="shared" si="70"/>
        <v>1.2075032519643061</v>
      </c>
      <c r="O1097" s="31">
        <f t="shared" si="71"/>
        <v>0.64617641531874614</v>
      </c>
    </row>
    <row r="1098" spans="1:15" x14ac:dyDescent="0.25">
      <c r="A1098" t="s">
        <v>6835</v>
      </c>
      <c r="B1098" t="s">
        <v>2197</v>
      </c>
      <c r="C1098" s="3" t="s">
        <v>2198</v>
      </c>
      <c r="D1098" s="24">
        <v>6.2191000000000003E-2</v>
      </c>
      <c r="E1098" s="25">
        <v>9.9220000000000006</v>
      </c>
      <c r="F1098" s="25">
        <v>9.673</v>
      </c>
      <c r="G1098" s="26">
        <v>0.24829999999999999</v>
      </c>
      <c r="H1098" s="27">
        <v>0.1086</v>
      </c>
      <c r="I1098" s="26">
        <v>2.2869999999999999</v>
      </c>
      <c r="J1098" s="28">
        <v>6</v>
      </c>
      <c r="K1098" s="27">
        <v>0.15660199999999999</v>
      </c>
      <c r="L1098" s="29">
        <f t="shared" si="68"/>
        <v>0.80520269576838632</v>
      </c>
      <c r="M1098" s="29">
        <f t="shared" si="69"/>
        <v>0.24900000000000033</v>
      </c>
      <c r="N1098" s="30">
        <f t="shared" si="70"/>
        <v>1.2062724598934991</v>
      </c>
      <c r="O1098" s="31">
        <f t="shared" si="71"/>
        <v>1.1883831050569322</v>
      </c>
    </row>
    <row r="1099" spans="1:15" x14ac:dyDescent="0.25">
      <c r="A1099" t="s">
        <v>6836</v>
      </c>
      <c r="B1099" t="s">
        <v>2199</v>
      </c>
      <c r="C1099" s="3" t="s">
        <v>2200</v>
      </c>
      <c r="D1099" s="24">
        <v>6.2508999999999995E-2</v>
      </c>
      <c r="E1099" s="25">
        <v>9.0470000000000006</v>
      </c>
      <c r="F1099" s="25">
        <v>9.33</v>
      </c>
      <c r="G1099" s="26">
        <v>-0.28289999999999998</v>
      </c>
      <c r="H1099" s="27">
        <v>0.1239</v>
      </c>
      <c r="I1099" s="26">
        <v>2.2829999999999999</v>
      </c>
      <c r="J1099" s="28">
        <v>6</v>
      </c>
      <c r="K1099" s="27">
        <v>0.15726000000000001</v>
      </c>
      <c r="L1099" s="29">
        <f t="shared" si="68"/>
        <v>0.80338172866975577</v>
      </c>
      <c r="M1099" s="29">
        <f t="shared" si="69"/>
        <v>-0.28299999999999931</v>
      </c>
      <c r="N1099" s="30">
        <f t="shared" si="70"/>
        <v>1.2040574487528635</v>
      </c>
      <c r="O1099" s="31">
        <f t="shared" si="71"/>
        <v>0.82188018729485102</v>
      </c>
    </row>
    <row r="1100" spans="1:15" x14ac:dyDescent="0.25">
      <c r="A1100" t="s">
        <v>6837</v>
      </c>
      <c r="B1100" t="s">
        <v>2201</v>
      </c>
      <c r="C1100" s="3" t="s">
        <v>2202</v>
      </c>
      <c r="D1100" s="24">
        <v>6.2962000000000004E-2</v>
      </c>
      <c r="E1100" s="25">
        <v>8.9030000000000005</v>
      </c>
      <c r="F1100" s="25">
        <v>8.66</v>
      </c>
      <c r="G1100" s="26">
        <v>0.24379999999999999</v>
      </c>
      <c r="H1100" s="27">
        <v>0.107</v>
      </c>
      <c r="I1100" s="26">
        <v>2.278</v>
      </c>
      <c r="J1100" s="28">
        <v>6</v>
      </c>
      <c r="K1100" s="27">
        <v>0.15825500000000001</v>
      </c>
      <c r="L1100" s="29">
        <f t="shared" si="68"/>
        <v>0.80064255974279808</v>
      </c>
      <c r="M1100" s="29">
        <f t="shared" si="69"/>
        <v>0.24300000000000022</v>
      </c>
      <c r="N1100" s="30">
        <f t="shared" si="70"/>
        <v>1.2009214849824064</v>
      </c>
      <c r="O1100" s="31">
        <f t="shared" si="71"/>
        <v>1.1834510217525713</v>
      </c>
    </row>
    <row r="1101" spans="1:15" x14ac:dyDescent="0.25">
      <c r="A1101" t="s">
        <v>6838</v>
      </c>
      <c r="B1101" t="s">
        <v>2203</v>
      </c>
      <c r="C1101" s="3" t="s">
        <v>2204</v>
      </c>
      <c r="D1101" s="24">
        <v>6.3051999999999997E-2</v>
      </c>
      <c r="E1101" s="25">
        <v>11.65</v>
      </c>
      <c r="F1101" s="25">
        <v>11.91</v>
      </c>
      <c r="G1101" s="26">
        <v>-0.26079999999999998</v>
      </c>
      <c r="H1101" s="27">
        <v>0.1145</v>
      </c>
      <c r="I1101" s="26">
        <v>2.2770000000000001</v>
      </c>
      <c r="J1101" s="28">
        <v>6</v>
      </c>
      <c r="K1101" s="27">
        <v>0.15833800000000001</v>
      </c>
      <c r="L1101" s="29">
        <f t="shared" si="68"/>
        <v>0.80041484502501348</v>
      </c>
      <c r="M1101" s="29">
        <f t="shared" si="69"/>
        <v>-0.25999999999999962</v>
      </c>
      <c r="N1101" s="30">
        <f t="shared" si="70"/>
        <v>1.2003011331164679</v>
      </c>
      <c r="O1101" s="31">
        <f t="shared" si="71"/>
        <v>0.83508791942836957</v>
      </c>
    </row>
    <row r="1102" spans="1:15" x14ac:dyDescent="0.25">
      <c r="A1102" t="s">
        <v>6839</v>
      </c>
      <c r="B1102" t="s">
        <v>2205</v>
      </c>
      <c r="C1102" s="3" t="s">
        <v>2206</v>
      </c>
      <c r="D1102" s="24">
        <v>6.3141000000000003E-2</v>
      </c>
      <c r="E1102" s="25">
        <v>8.6479999999999997</v>
      </c>
      <c r="F1102" s="25">
        <v>8.89</v>
      </c>
      <c r="G1102" s="26">
        <v>-0.24210000000000001</v>
      </c>
      <c r="H1102" s="27">
        <v>0.10639999999999999</v>
      </c>
      <c r="I1102" s="26">
        <v>2.2759999999999998</v>
      </c>
      <c r="J1102" s="28">
        <v>6</v>
      </c>
      <c r="K1102" s="27">
        <v>0.158417</v>
      </c>
      <c r="L1102" s="29">
        <f t="shared" si="68"/>
        <v>0.80019821535993008</v>
      </c>
      <c r="M1102" s="29">
        <f t="shared" si="69"/>
        <v>-0.24200000000000105</v>
      </c>
      <c r="N1102" s="30">
        <f t="shared" si="70"/>
        <v>1.1996885442201268</v>
      </c>
      <c r="O1102" s="31">
        <f t="shared" si="71"/>
        <v>0.84557228737751589</v>
      </c>
    </row>
    <row r="1103" spans="1:15" x14ac:dyDescent="0.25">
      <c r="A1103" t="s">
        <v>6840</v>
      </c>
      <c r="B1103" t="s">
        <v>2207</v>
      </c>
      <c r="C1103" s="3" t="s">
        <v>2208</v>
      </c>
      <c r="D1103" s="24">
        <v>6.3445000000000001E-2</v>
      </c>
      <c r="E1103" s="25">
        <v>10.93</v>
      </c>
      <c r="F1103" s="25">
        <v>11.15</v>
      </c>
      <c r="G1103" s="26">
        <v>-0.22389999999999999</v>
      </c>
      <c r="H1103" s="27">
        <v>9.8530000000000006E-2</v>
      </c>
      <c r="I1103" s="26">
        <v>2.2730000000000001</v>
      </c>
      <c r="J1103" s="28">
        <v>6</v>
      </c>
      <c r="K1103" s="27">
        <v>0.15903600000000001</v>
      </c>
      <c r="L1103" s="29">
        <f t="shared" si="68"/>
        <v>0.79850455598356873</v>
      </c>
      <c r="M1103" s="29">
        <f t="shared" si="69"/>
        <v>-0.21999999999999947</v>
      </c>
      <c r="N1103" s="30">
        <f t="shared" si="70"/>
        <v>1.1976025982812135</v>
      </c>
      <c r="O1103" s="31">
        <f t="shared" si="71"/>
        <v>0.85856543643775407</v>
      </c>
    </row>
    <row r="1104" spans="1:15" x14ac:dyDescent="0.25">
      <c r="A1104" t="s">
        <v>6841</v>
      </c>
      <c r="B1104" t="s">
        <v>2209</v>
      </c>
      <c r="C1104" s="3" t="s">
        <v>2210</v>
      </c>
      <c r="D1104" s="24">
        <v>6.3521999999999995E-2</v>
      </c>
      <c r="E1104" s="25">
        <v>8.2330000000000005</v>
      </c>
      <c r="F1104" s="25">
        <v>7.1639999999999997</v>
      </c>
      <c r="G1104" s="26">
        <v>1.069</v>
      </c>
      <c r="H1104" s="27">
        <v>0.47049999999999997</v>
      </c>
      <c r="I1104" s="26">
        <v>2.2719999999999998</v>
      </c>
      <c r="J1104" s="28">
        <v>6</v>
      </c>
      <c r="K1104" s="27">
        <v>0.159085</v>
      </c>
      <c r="L1104" s="29">
        <f t="shared" si="68"/>
        <v>0.79837076770941173</v>
      </c>
      <c r="M1104" s="29">
        <f t="shared" si="69"/>
        <v>1.0690000000000013</v>
      </c>
      <c r="N1104" s="30">
        <f t="shared" si="70"/>
        <v>1.1970758365367247</v>
      </c>
      <c r="O1104" s="31">
        <f t="shared" si="71"/>
        <v>2.0979786551498938</v>
      </c>
    </row>
    <row r="1105" spans="1:15" x14ac:dyDescent="0.25">
      <c r="A1105" t="s">
        <v>6842</v>
      </c>
      <c r="B1105" t="s">
        <v>2211</v>
      </c>
      <c r="C1105" s="3" t="s">
        <v>2212</v>
      </c>
      <c r="D1105" s="24">
        <v>6.3600000000000004E-2</v>
      </c>
      <c r="E1105" s="25">
        <v>6.665</v>
      </c>
      <c r="F1105" s="25">
        <v>5.4169999999999998</v>
      </c>
      <c r="G1105" s="26">
        <v>1.2490000000000001</v>
      </c>
      <c r="H1105" s="27">
        <v>0.54990000000000006</v>
      </c>
      <c r="I1105" s="26">
        <v>2.2709999999999999</v>
      </c>
      <c r="J1105" s="28">
        <v>6</v>
      </c>
      <c r="K1105" s="27">
        <v>0.159135</v>
      </c>
      <c r="L1105" s="29">
        <f t="shared" si="68"/>
        <v>0.79823429153397429</v>
      </c>
      <c r="M1105" s="29">
        <f t="shared" si="69"/>
        <v>1.2480000000000007</v>
      </c>
      <c r="N1105" s="30">
        <f t="shared" si="70"/>
        <v>1.196542884351586</v>
      </c>
      <c r="O1105" s="31">
        <f t="shared" si="71"/>
        <v>2.3751193321468214</v>
      </c>
    </row>
    <row r="1106" spans="1:15" x14ac:dyDescent="0.25">
      <c r="A1106" t="s">
        <v>6843</v>
      </c>
      <c r="B1106" t="s">
        <v>2213</v>
      </c>
      <c r="C1106" s="3" t="s">
        <v>2214</v>
      </c>
      <c r="D1106" s="24">
        <v>6.3659999999999994E-2</v>
      </c>
      <c r="E1106" s="25">
        <v>11.32</v>
      </c>
      <c r="F1106" s="25">
        <v>11.69</v>
      </c>
      <c r="G1106" s="26">
        <v>-0.36899999999999999</v>
      </c>
      <c r="H1106" s="27">
        <v>0.16250000000000001</v>
      </c>
      <c r="I1106" s="26">
        <v>2.27</v>
      </c>
      <c r="J1106" s="28">
        <v>6</v>
      </c>
      <c r="K1106" s="27">
        <v>0.159141</v>
      </c>
      <c r="L1106" s="29">
        <f t="shared" si="68"/>
        <v>0.79821791727457847</v>
      </c>
      <c r="M1106" s="29">
        <f t="shared" si="69"/>
        <v>-0.36999999999999883</v>
      </c>
      <c r="N1106" s="30">
        <f t="shared" si="70"/>
        <v>1.1961333657150157</v>
      </c>
      <c r="O1106" s="31">
        <f t="shared" si="71"/>
        <v>0.77378249677119559</v>
      </c>
    </row>
    <row r="1107" spans="1:15" x14ac:dyDescent="0.25">
      <c r="A1107" t="s">
        <v>6844</v>
      </c>
      <c r="B1107" t="s">
        <v>2227</v>
      </c>
      <c r="C1107" s="3" t="s">
        <v>2228</v>
      </c>
      <c r="D1107" s="24">
        <v>6.4327999999999996E-2</v>
      </c>
      <c r="E1107" s="25">
        <v>8.2590000000000003</v>
      </c>
      <c r="F1107" s="25">
        <v>8.7479999999999993</v>
      </c>
      <c r="G1107" s="26">
        <v>-0.48949999999999999</v>
      </c>
      <c r="H1107" s="27">
        <v>0.21629999999999999</v>
      </c>
      <c r="I1107" s="26">
        <v>2.262</v>
      </c>
      <c r="J1107" s="28">
        <v>6</v>
      </c>
      <c r="K1107" s="27">
        <v>0.15972500000000001</v>
      </c>
      <c r="L1107" s="29">
        <f t="shared" si="68"/>
        <v>0.79662710319582242</v>
      </c>
      <c r="M1107" s="29">
        <f t="shared" si="69"/>
        <v>-0.48899999999999921</v>
      </c>
      <c r="N1107" s="30">
        <f t="shared" si="70"/>
        <v>1.1915999508919708</v>
      </c>
      <c r="O1107" s="31">
        <f t="shared" si="71"/>
        <v>0.71251880707439252</v>
      </c>
    </row>
    <row r="1108" spans="1:15" x14ac:dyDescent="0.25">
      <c r="A1108" t="s">
        <v>6845</v>
      </c>
      <c r="B1108" t="s">
        <v>2233</v>
      </c>
      <c r="C1108" s="3" t="s">
        <v>2234</v>
      </c>
      <c r="D1108" s="24">
        <v>6.4496999999999999E-2</v>
      </c>
      <c r="E1108" s="25">
        <v>9.7059999999999995</v>
      </c>
      <c r="F1108" s="25">
        <v>9.4410000000000007</v>
      </c>
      <c r="G1108" s="26">
        <v>0.26529999999999998</v>
      </c>
      <c r="H1108" s="27">
        <v>0.1173</v>
      </c>
      <c r="I1108" s="26">
        <v>2.2610000000000001</v>
      </c>
      <c r="J1108" s="28">
        <v>6</v>
      </c>
      <c r="K1108" s="27">
        <v>0.15972500000000001</v>
      </c>
      <c r="L1108" s="29">
        <f t="shared" si="68"/>
        <v>0.79662710319582242</v>
      </c>
      <c r="M1108" s="29">
        <f t="shared" si="69"/>
        <v>0.26499999999999818</v>
      </c>
      <c r="N1108" s="30">
        <f t="shared" si="70"/>
        <v>1.1904604855778524</v>
      </c>
      <c r="O1108" s="31">
        <f t="shared" si="71"/>
        <v>1.2016360495268492</v>
      </c>
    </row>
    <row r="1109" spans="1:15" x14ac:dyDescent="0.25">
      <c r="A1109" t="s">
        <v>6846</v>
      </c>
      <c r="B1109" t="s">
        <v>2231</v>
      </c>
      <c r="C1109" s="3" t="s">
        <v>2232</v>
      </c>
      <c r="D1109" s="24">
        <v>6.4451999999999995E-2</v>
      </c>
      <c r="E1109" s="25">
        <v>9.4819999999999993</v>
      </c>
      <c r="F1109" s="25">
        <v>9.0370000000000008</v>
      </c>
      <c r="G1109" s="26">
        <v>0.44479999999999997</v>
      </c>
      <c r="H1109" s="27">
        <v>0.19670000000000001</v>
      </c>
      <c r="I1109" s="26">
        <v>2.2610000000000001</v>
      </c>
      <c r="J1109" s="28">
        <v>6</v>
      </c>
      <c r="K1109" s="27">
        <v>0.15972500000000001</v>
      </c>
      <c r="L1109" s="29">
        <f t="shared" si="68"/>
        <v>0.79662710319582242</v>
      </c>
      <c r="M1109" s="29">
        <f t="shared" si="69"/>
        <v>0.44499999999999851</v>
      </c>
      <c r="N1109" s="30">
        <f t="shared" si="70"/>
        <v>1.1907636015768754</v>
      </c>
      <c r="O1109" s="31">
        <f t="shared" si="71"/>
        <v>1.361314116499472</v>
      </c>
    </row>
    <row r="1110" spans="1:15" x14ac:dyDescent="0.25">
      <c r="A1110" t="s">
        <v>6847</v>
      </c>
      <c r="B1110" t="s">
        <v>2229</v>
      </c>
      <c r="C1110" s="3" t="s">
        <v>2230</v>
      </c>
      <c r="D1110" s="24">
        <v>6.4420000000000005E-2</v>
      </c>
      <c r="E1110" s="25">
        <v>10.38</v>
      </c>
      <c r="F1110" s="25">
        <v>10.24</v>
      </c>
      <c r="G1110" s="26">
        <v>0.1459</v>
      </c>
      <c r="H1110" s="27">
        <v>6.4500000000000002E-2</v>
      </c>
      <c r="I1110" s="26">
        <v>2.2610000000000001</v>
      </c>
      <c r="J1110" s="28">
        <v>6</v>
      </c>
      <c r="K1110" s="27">
        <v>0.15972500000000001</v>
      </c>
      <c r="L1110" s="29">
        <f t="shared" si="68"/>
        <v>0.79662710319582242</v>
      </c>
      <c r="M1110" s="29">
        <f t="shared" si="69"/>
        <v>0.14000000000000024</v>
      </c>
      <c r="N1110" s="30">
        <f t="shared" si="70"/>
        <v>1.1909792795163272</v>
      </c>
      <c r="O1110" s="31">
        <f t="shared" si="71"/>
        <v>1.1019051158766109</v>
      </c>
    </row>
    <row r="1111" spans="1:15" x14ac:dyDescent="0.25">
      <c r="A1111" t="s">
        <v>6848</v>
      </c>
      <c r="B1111" t="s">
        <v>2215</v>
      </c>
      <c r="C1111" s="3" t="s">
        <v>2216</v>
      </c>
      <c r="D1111" s="24">
        <v>6.4027000000000001E-2</v>
      </c>
      <c r="E1111" s="25">
        <v>9.9930000000000003</v>
      </c>
      <c r="F1111" s="25">
        <v>10.220000000000001</v>
      </c>
      <c r="G1111" s="26">
        <v>-0.2278</v>
      </c>
      <c r="H1111" s="27">
        <v>0.10050000000000001</v>
      </c>
      <c r="I1111" s="26">
        <v>2.266</v>
      </c>
      <c r="J1111" s="28">
        <v>6</v>
      </c>
      <c r="K1111" s="27">
        <v>0.15972500000000001</v>
      </c>
      <c r="L1111" s="29">
        <f t="shared" si="68"/>
        <v>0.79662710319582242</v>
      </c>
      <c r="M1111" s="29">
        <f t="shared" si="69"/>
        <v>-0.22700000000000109</v>
      </c>
      <c r="N1111" s="30">
        <f t="shared" si="70"/>
        <v>1.1936368466682372</v>
      </c>
      <c r="O1111" s="31">
        <f t="shared" si="71"/>
        <v>0.85440974088973243</v>
      </c>
    </row>
    <row r="1112" spans="1:15" x14ac:dyDescent="0.25">
      <c r="A1112" t="s">
        <v>6849</v>
      </c>
      <c r="B1112" t="s">
        <v>2219</v>
      </c>
      <c r="C1112" s="3" t="s">
        <v>2220</v>
      </c>
      <c r="D1112" s="24">
        <v>6.4257999999999996E-2</v>
      </c>
      <c r="E1112" s="25">
        <v>9.1300000000000008</v>
      </c>
      <c r="F1112" s="25">
        <v>8.6790000000000003</v>
      </c>
      <c r="G1112" s="26">
        <v>0.45019999999999999</v>
      </c>
      <c r="H1112" s="27">
        <v>0.19889999999999999</v>
      </c>
      <c r="I1112" s="26">
        <v>2.2629999999999999</v>
      </c>
      <c r="J1112" s="28">
        <v>6</v>
      </c>
      <c r="K1112" s="27">
        <v>0.15972500000000001</v>
      </c>
      <c r="L1112" s="29">
        <f t="shared" si="68"/>
        <v>0.79662710319582242</v>
      </c>
      <c r="M1112" s="29">
        <f t="shared" si="69"/>
        <v>0.45100000000000123</v>
      </c>
      <c r="N1112" s="30">
        <f t="shared" si="70"/>
        <v>1.192072795785448</v>
      </c>
      <c r="O1112" s="31">
        <f t="shared" si="71"/>
        <v>1.3669874519418106</v>
      </c>
    </row>
    <row r="1113" spans="1:15" x14ac:dyDescent="0.25">
      <c r="A1113" t="s">
        <v>6850</v>
      </c>
      <c r="B1113" t="s">
        <v>2217</v>
      </c>
      <c r="C1113" s="3" t="s">
        <v>2218</v>
      </c>
      <c r="D1113" s="24">
        <v>6.4156000000000005E-2</v>
      </c>
      <c r="E1113" s="25">
        <v>9.4390000000000001</v>
      </c>
      <c r="F1113" s="25">
        <v>9.2119999999999997</v>
      </c>
      <c r="G1113" s="26">
        <v>0.2268</v>
      </c>
      <c r="H1113" s="27">
        <v>0.1002</v>
      </c>
      <c r="I1113" s="26">
        <v>2.2639999999999998</v>
      </c>
      <c r="J1113" s="28">
        <v>6</v>
      </c>
      <c r="K1113" s="27">
        <v>0.15972500000000001</v>
      </c>
      <c r="L1113" s="29">
        <f t="shared" si="68"/>
        <v>0.79662710319582242</v>
      </c>
      <c r="M1113" s="29">
        <f t="shared" si="69"/>
        <v>0.22699999999999995</v>
      </c>
      <c r="N1113" s="30">
        <f t="shared" si="70"/>
        <v>1.1927627212837633</v>
      </c>
      <c r="O1113" s="31">
        <f t="shared" si="71"/>
        <v>1.1703986414745899</v>
      </c>
    </row>
    <row r="1114" spans="1:15" x14ac:dyDescent="0.25">
      <c r="A1114" t="s">
        <v>6851</v>
      </c>
      <c r="B1114" t="s">
        <v>2223</v>
      </c>
      <c r="C1114" s="3" t="s">
        <v>2224</v>
      </c>
      <c r="D1114" s="24">
        <v>6.4277000000000001E-2</v>
      </c>
      <c r="E1114" s="25">
        <v>9.5619999999999994</v>
      </c>
      <c r="F1114" s="25">
        <v>9.4049999999999994</v>
      </c>
      <c r="G1114" s="26">
        <v>0.15790000000000001</v>
      </c>
      <c r="H1114" s="27">
        <v>6.9750000000000006E-2</v>
      </c>
      <c r="I1114" s="26">
        <v>2.2629999999999999</v>
      </c>
      <c r="J1114" s="28">
        <v>6</v>
      </c>
      <c r="K1114" s="27">
        <v>0.15972500000000001</v>
      </c>
      <c r="L1114" s="29">
        <f t="shared" si="68"/>
        <v>0.79662710319582242</v>
      </c>
      <c r="M1114" s="29">
        <f t="shared" si="69"/>
        <v>0.1569999999999997</v>
      </c>
      <c r="N1114" s="30">
        <f t="shared" si="70"/>
        <v>1.1919444012591902</v>
      </c>
      <c r="O1114" s="31">
        <f t="shared" si="71"/>
        <v>1.1149662187276972</v>
      </c>
    </row>
    <row r="1115" spans="1:15" x14ac:dyDescent="0.25">
      <c r="A1115" t="s">
        <v>6852</v>
      </c>
      <c r="B1115" t="s">
        <v>2235</v>
      </c>
      <c r="C1115" s="3" t="s">
        <v>2236</v>
      </c>
      <c r="D1115" s="24">
        <v>6.4530000000000004E-2</v>
      </c>
      <c r="E1115" s="25">
        <v>7.835</v>
      </c>
      <c r="F1115" s="25">
        <v>8.548</v>
      </c>
      <c r="G1115" s="26">
        <v>-0.71319999999999995</v>
      </c>
      <c r="H1115" s="27">
        <v>0.31559999999999999</v>
      </c>
      <c r="I1115" s="26">
        <v>2.2599999999999998</v>
      </c>
      <c r="J1115" s="28">
        <v>6</v>
      </c>
      <c r="K1115" s="27">
        <v>0.15972500000000001</v>
      </c>
      <c r="L1115" s="29">
        <f t="shared" si="68"/>
        <v>0.79662710319582242</v>
      </c>
      <c r="M1115" s="29">
        <f t="shared" si="69"/>
        <v>-0.7130000000000003</v>
      </c>
      <c r="N1115" s="30">
        <f t="shared" si="70"/>
        <v>1.1902383348928749</v>
      </c>
      <c r="O1115" s="31">
        <f t="shared" si="71"/>
        <v>0.61005025513611155</v>
      </c>
    </row>
    <row r="1116" spans="1:15" x14ac:dyDescent="0.25">
      <c r="A1116" t="s">
        <v>6853</v>
      </c>
      <c r="B1116" t="s">
        <v>2221</v>
      </c>
      <c r="C1116" s="3" t="s">
        <v>2222</v>
      </c>
      <c r="D1116" s="24">
        <v>6.4263000000000001E-2</v>
      </c>
      <c r="E1116" s="25">
        <v>9.3290000000000006</v>
      </c>
      <c r="F1116" s="25">
        <v>9.6449999999999996</v>
      </c>
      <c r="G1116" s="26">
        <v>-0.31659999999999999</v>
      </c>
      <c r="H1116" s="27">
        <v>0.1399</v>
      </c>
      <c r="I1116" s="26">
        <v>2.2629999999999999</v>
      </c>
      <c r="J1116" s="28">
        <v>6</v>
      </c>
      <c r="K1116" s="27">
        <v>0.15972500000000001</v>
      </c>
      <c r="L1116" s="29">
        <f t="shared" si="68"/>
        <v>0.79662710319582242</v>
      </c>
      <c r="M1116" s="29">
        <f t="shared" si="69"/>
        <v>-0.31599999999999917</v>
      </c>
      <c r="N1116" s="30">
        <f t="shared" si="70"/>
        <v>1.1920390040718665</v>
      </c>
      <c r="O1116" s="31">
        <f t="shared" si="71"/>
        <v>0.80329399675703428</v>
      </c>
    </row>
    <row r="1117" spans="1:15" x14ac:dyDescent="0.25">
      <c r="A1117" t="s">
        <v>6854</v>
      </c>
      <c r="B1117" t="s">
        <v>2225</v>
      </c>
      <c r="C1117" s="3" t="s">
        <v>2226</v>
      </c>
      <c r="D1117" s="24">
        <v>6.4320000000000002E-2</v>
      </c>
      <c r="E1117" s="25">
        <v>8.0830000000000002</v>
      </c>
      <c r="F1117" s="25">
        <v>7.734</v>
      </c>
      <c r="G1117" s="26">
        <v>0.34920000000000001</v>
      </c>
      <c r="H1117" s="27">
        <v>0.15429999999999999</v>
      </c>
      <c r="I1117" s="26">
        <v>2.2629999999999999</v>
      </c>
      <c r="J1117" s="28">
        <v>6</v>
      </c>
      <c r="K1117" s="27">
        <v>0.15972500000000001</v>
      </c>
      <c r="L1117" s="29">
        <f t="shared" si="68"/>
        <v>0.79662710319582242</v>
      </c>
      <c r="M1117" s="29">
        <f t="shared" si="69"/>
        <v>0.34900000000000031</v>
      </c>
      <c r="N1117" s="30">
        <f t="shared" si="70"/>
        <v>1.1916539642596049</v>
      </c>
      <c r="O1117" s="31">
        <f t="shared" si="71"/>
        <v>1.2736774753264997</v>
      </c>
    </row>
    <row r="1118" spans="1:15" x14ac:dyDescent="0.25">
      <c r="A1118" t="s">
        <v>6855</v>
      </c>
      <c r="B1118" t="s">
        <v>2239</v>
      </c>
      <c r="C1118" s="3" t="s">
        <v>2240</v>
      </c>
      <c r="D1118" s="24">
        <v>6.4714999999999995E-2</v>
      </c>
      <c r="E1118" s="25">
        <v>9.4930000000000003</v>
      </c>
      <c r="F1118" s="25">
        <v>9.0510000000000002</v>
      </c>
      <c r="G1118" s="26">
        <v>0.4425</v>
      </c>
      <c r="H1118" s="27">
        <v>0.19600000000000001</v>
      </c>
      <c r="I1118" s="26">
        <v>2.258</v>
      </c>
      <c r="J1118" s="28">
        <v>6</v>
      </c>
      <c r="K1118" s="27">
        <v>0.15989600000000001</v>
      </c>
      <c r="L1118" s="29">
        <f t="shared" si="68"/>
        <v>0.79616240054179699</v>
      </c>
      <c r="M1118" s="29">
        <f t="shared" si="69"/>
        <v>0.44199999999999989</v>
      </c>
      <c r="N1118" s="30">
        <f t="shared" si="70"/>
        <v>1.1889950444905513</v>
      </c>
      <c r="O1118" s="31">
        <f t="shared" si="71"/>
        <v>1.3584862845489447</v>
      </c>
    </row>
    <row r="1119" spans="1:15" x14ac:dyDescent="0.25">
      <c r="A1119" t="s">
        <v>6856</v>
      </c>
      <c r="B1119" t="s">
        <v>2237</v>
      </c>
      <c r="C1119" s="3" t="s">
        <v>2238</v>
      </c>
      <c r="D1119" s="24">
        <v>6.4661999999999997E-2</v>
      </c>
      <c r="E1119" s="25">
        <v>8.9749999999999996</v>
      </c>
      <c r="F1119" s="25">
        <v>8.4629999999999992</v>
      </c>
      <c r="G1119" s="26">
        <v>0.5121</v>
      </c>
      <c r="H1119" s="27">
        <v>0.22670000000000001</v>
      </c>
      <c r="I1119" s="26">
        <v>2.2589999999999999</v>
      </c>
      <c r="J1119" s="28">
        <v>6</v>
      </c>
      <c r="K1119" s="27">
        <v>0.15989600000000001</v>
      </c>
      <c r="L1119" s="29">
        <f t="shared" si="68"/>
        <v>0.79616240054179699</v>
      </c>
      <c r="M1119" s="29">
        <f t="shared" si="69"/>
        <v>0.51200000000000001</v>
      </c>
      <c r="N1119" s="30">
        <f t="shared" si="70"/>
        <v>1.1893508667592458</v>
      </c>
      <c r="O1119" s="31">
        <f t="shared" si="71"/>
        <v>1.4260257173641409</v>
      </c>
    </row>
    <row r="1120" spans="1:15" x14ac:dyDescent="0.25">
      <c r="A1120" t="s">
        <v>6857</v>
      </c>
      <c r="B1120" t="s">
        <v>2243</v>
      </c>
      <c r="C1120" s="3" t="s">
        <v>2244</v>
      </c>
      <c r="D1120" s="24">
        <v>6.5055000000000002E-2</v>
      </c>
      <c r="E1120" s="25">
        <v>10.48</v>
      </c>
      <c r="F1120" s="25">
        <v>10.26</v>
      </c>
      <c r="G1120" s="26">
        <v>0.2135</v>
      </c>
      <c r="H1120" s="27">
        <v>9.4689999999999996E-2</v>
      </c>
      <c r="I1120" s="26">
        <v>2.254</v>
      </c>
      <c r="J1120" s="28">
        <v>6</v>
      </c>
      <c r="K1120" s="27">
        <v>0.16045200000000001</v>
      </c>
      <c r="L1120" s="29">
        <f t="shared" si="68"/>
        <v>0.79465486514653627</v>
      </c>
      <c r="M1120" s="29">
        <f t="shared" si="69"/>
        <v>0.22000000000000108</v>
      </c>
      <c r="N1120" s="30">
        <f t="shared" si="70"/>
        <v>1.1867193187955567</v>
      </c>
      <c r="O1120" s="31">
        <f t="shared" si="71"/>
        <v>1.1647335864684567</v>
      </c>
    </row>
    <row r="1121" spans="1:15" x14ac:dyDescent="0.25">
      <c r="A1121" t="s">
        <v>6858</v>
      </c>
      <c r="B1121" t="s">
        <v>2241</v>
      </c>
      <c r="C1121" s="3" t="s">
        <v>2242</v>
      </c>
      <c r="D1121" s="24">
        <v>6.4996999999999999E-2</v>
      </c>
      <c r="E1121" s="25">
        <v>10.31</v>
      </c>
      <c r="F1121" s="25">
        <v>10.050000000000001</v>
      </c>
      <c r="G1121" s="26">
        <v>0.25540000000000002</v>
      </c>
      <c r="H1121" s="27">
        <v>0.1133</v>
      </c>
      <c r="I1121" s="26">
        <v>2.2549999999999999</v>
      </c>
      <c r="J1121" s="28">
        <v>6</v>
      </c>
      <c r="K1121" s="27">
        <v>0.16045200000000001</v>
      </c>
      <c r="L1121" s="29">
        <f t="shared" si="68"/>
        <v>0.79465486514653627</v>
      </c>
      <c r="M1121" s="29">
        <f t="shared" si="69"/>
        <v>0.25999999999999968</v>
      </c>
      <c r="N1121" s="30">
        <f t="shared" si="70"/>
        <v>1.187106688180424</v>
      </c>
      <c r="O1121" s="31">
        <f t="shared" si="71"/>
        <v>1.1974787046189284</v>
      </c>
    </row>
    <row r="1122" spans="1:15" x14ac:dyDescent="0.25">
      <c r="A1122" t="s">
        <v>6859</v>
      </c>
      <c r="B1122" t="s">
        <v>2251</v>
      </c>
      <c r="C1122" s="3" t="s">
        <v>2252</v>
      </c>
      <c r="D1122" s="24">
        <v>6.6154000000000004E-2</v>
      </c>
      <c r="E1122" s="25">
        <v>12.77</v>
      </c>
      <c r="F1122" s="25">
        <v>13.33</v>
      </c>
      <c r="G1122" s="26">
        <v>-0.56069999999999998</v>
      </c>
      <c r="H1122" s="27">
        <v>0.25009999999999999</v>
      </c>
      <c r="I1122" s="26">
        <v>2.242</v>
      </c>
      <c r="J1122" s="28">
        <v>6</v>
      </c>
      <c r="K1122" s="27">
        <v>0.162581</v>
      </c>
      <c r="L1122" s="29">
        <f t="shared" si="68"/>
        <v>0.78893020952484105</v>
      </c>
      <c r="M1122" s="29">
        <f t="shared" si="69"/>
        <v>-0.56000000000000105</v>
      </c>
      <c r="N1122" s="30">
        <f t="shared" si="70"/>
        <v>1.179443891077276</v>
      </c>
      <c r="O1122" s="31">
        <f t="shared" si="71"/>
        <v>0.67830216372383545</v>
      </c>
    </row>
    <row r="1123" spans="1:15" x14ac:dyDescent="0.25">
      <c r="A1123" t="s">
        <v>6860</v>
      </c>
      <c r="B1123" t="s">
        <v>2247</v>
      </c>
      <c r="C1123" s="3" t="s">
        <v>2248</v>
      </c>
      <c r="D1123" s="24">
        <v>6.6091999999999998E-2</v>
      </c>
      <c r="E1123" s="25">
        <v>10.06</v>
      </c>
      <c r="F1123" s="25">
        <v>10.23</v>
      </c>
      <c r="G1123" s="26">
        <v>-0.1744</v>
      </c>
      <c r="H1123" s="27">
        <v>7.7740000000000004E-2</v>
      </c>
      <c r="I1123" s="26">
        <v>2.2429999999999999</v>
      </c>
      <c r="J1123" s="28">
        <v>6</v>
      </c>
      <c r="K1123" s="27">
        <v>0.162581</v>
      </c>
      <c r="L1123" s="29">
        <f t="shared" si="68"/>
        <v>0.78893020952484105</v>
      </c>
      <c r="M1123" s="29">
        <f t="shared" si="69"/>
        <v>-0.17000000000000021</v>
      </c>
      <c r="N1123" s="30">
        <f t="shared" si="70"/>
        <v>1.1798511058111927</v>
      </c>
      <c r="O1123" s="31">
        <f t="shared" si="71"/>
        <v>0.88884268116657006</v>
      </c>
    </row>
    <row r="1124" spans="1:15" x14ac:dyDescent="0.25">
      <c r="A1124" t="s">
        <v>6861</v>
      </c>
      <c r="B1124" t="s">
        <v>2245</v>
      </c>
      <c r="C1124" s="3" t="s">
        <v>2246</v>
      </c>
      <c r="D1124" s="24">
        <v>6.6035999999999997E-2</v>
      </c>
      <c r="E1124" s="25">
        <v>10.86</v>
      </c>
      <c r="F1124" s="25">
        <v>10.65</v>
      </c>
      <c r="G1124" s="26">
        <v>0.2145</v>
      </c>
      <c r="H1124" s="27">
        <v>9.5630000000000007E-2</v>
      </c>
      <c r="I1124" s="26">
        <v>2.2429999999999999</v>
      </c>
      <c r="J1124" s="28">
        <v>6</v>
      </c>
      <c r="K1124" s="27">
        <v>0.162581</v>
      </c>
      <c r="L1124" s="29">
        <f t="shared" si="68"/>
        <v>0.78893020952484105</v>
      </c>
      <c r="M1124" s="29">
        <f t="shared" si="69"/>
        <v>0.2099999999999991</v>
      </c>
      <c r="N1124" s="30">
        <f t="shared" si="70"/>
        <v>1.1802192411412187</v>
      </c>
      <c r="O1124" s="31">
        <f t="shared" si="71"/>
        <v>1.1566881839052867</v>
      </c>
    </row>
    <row r="1125" spans="1:15" x14ac:dyDescent="0.25">
      <c r="A1125" t="s">
        <v>6862</v>
      </c>
      <c r="B1125" t="s">
        <v>2249</v>
      </c>
      <c r="C1125" s="3" t="s">
        <v>2250</v>
      </c>
      <c r="D1125" s="24">
        <v>6.6139000000000003E-2</v>
      </c>
      <c r="E1125" s="25">
        <v>8.859</v>
      </c>
      <c r="F1125" s="25">
        <v>9.2240000000000002</v>
      </c>
      <c r="G1125" s="26">
        <v>-0.36580000000000001</v>
      </c>
      <c r="H1125" s="27">
        <v>0.16320000000000001</v>
      </c>
      <c r="I1125" s="26">
        <v>2.242</v>
      </c>
      <c r="J1125" s="28">
        <v>6</v>
      </c>
      <c r="K1125" s="27">
        <v>0.162581</v>
      </c>
      <c r="L1125" s="29">
        <f t="shared" si="68"/>
        <v>0.78893020952484105</v>
      </c>
      <c r="M1125" s="29">
        <f t="shared" si="69"/>
        <v>-0.36500000000000066</v>
      </c>
      <c r="N1125" s="30">
        <f t="shared" si="70"/>
        <v>1.1795423757628827</v>
      </c>
      <c r="O1125" s="31">
        <f t="shared" si="71"/>
        <v>0.77646887500103934</v>
      </c>
    </row>
    <row r="1126" spans="1:15" x14ac:dyDescent="0.25">
      <c r="A1126" t="s">
        <v>6863</v>
      </c>
      <c r="B1126" t="s">
        <v>2253</v>
      </c>
      <c r="C1126" s="3" t="s">
        <v>2254</v>
      </c>
      <c r="D1126" s="24">
        <v>6.6382999999999998E-2</v>
      </c>
      <c r="E1126" s="25">
        <v>7.3940000000000001</v>
      </c>
      <c r="F1126" s="25">
        <v>7.0330000000000004</v>
      </c>
      <c r="G1126" s="26">
        <v>0.3614</v>
      </c>
      <c r="H1126" s="27">
        <v>0.16139999999999999</v>
      </c>
      <c r="I1126" s="26">
        <v>2.2400000000000002</v>
      </c>
      <c r="J1126" s="28">
        <v>6</v>
      </c>
      <c r="K1126" s="27">
        <v>0.162998</v>
      </c>
      <c r="L1126" s="29">
        <f t="shared" si="68"/>
        <v>0.78781772439538333</v>
      </c>
      <c r="M1126" s="29">
        <f t="shared" si="69"/>
        <v>0.36099999999999893</v>
      </c>
      <c r="N1126" s="30">
        <f t="shared" si="70"/>
        <v>1.1779431247203476</v>
      </c>
      <c r="O1126" s="31">
        <f t="shared" si="71"/>
        <v>1.2843158089894247</v>
      </c>
    </row>
    <row r="1127" spans="1:15" x14ac:dyDescent="0.25">
      <c r="A1127" t="s">
        <v>6864</v>
      </c>
      <c r="B1127" t="s">
        <v>2255</v>
      </c>
      <c r="C1127" s="3" t="s">
        <v>2256</v>
      </c>
      <c r="D1127" s="24">
        <v>6.6553000000000001E-2</v>
      </c>
      <c r="E1127" s="25">
        <v>10.07</v>
      </c>
      <c r="F1127" s="25">
        <v>9.9109999999999996</v>
      </c>
      <c r="G1127" s="26">
        <v>0.15740000000000001</v>
      </c>
      <c r="H1127" s="27">
        <v>7.034E-2</v>
      </c>
      <c r="I1127" s="26">
        <v>2.238</v>
      </c>
      <c r="J1127" s="28">
        <v>6</v>
      </c>
      <c r="K1127" s="27">
        <v>0.163215</v>
      </c>
      <c r="L1127" s="29">
        <f t="shared" si="68"/>
        <v>0.78723993064422193</v>
      </c>
      <c r="M1127" s="29">
        <f t="shared" si="69"/>
        <v>0.15900000000000053</v>
      </c>
      <c r="N1127" s="30">
        <f t="shared" si="70"/>
        <v>1.1768323631182267</v>
      </c>
      <c r="O1127" s="31">
        <f t="shared" si="71"/>
        <v>1.1165129619825729</v>
      </c>
    </row>
    <row r="1128" spans="1:15" x14ac:dyDescent="0.25">
      <c r="A1128" t="s">
        <v>6865</v>
      </c>
      <c r="B1128" t="s">
        <v>2257</v>
      </c>
      <c r="C1128" s="3" t="s">
        <v>2258</v>
      </c>
      <c r="D1128" s="24">
        <v>6.6588999999999995E-2</v>
      </c>
      <c r="E1128" s="25">
        <v>10.27</v>
      </c>
      <c r="F1128" s="25">
        <v>9.907</v>
      </c>
      <c r="G1128" s="26">
        <v>0.35820000000000002</v>
      </c>
      <c r="H1128" s="27">
        <v>0.16009999999999999</v>
      </c>
      <c r="I1128" s="26">
        <v>2.2370000000000001</v>
      </c>
      <c r="J1128" s="28">
        <v>6</v>
      </c>
      <c r="K1128" s="27">
        <v>0.163215</v>
      </c>
      <c r="L1128" s="29">
        <f t="shared" si="68"/>
        <v>0.78723993064422193</v>
      </c>
      <c r="M1128" s="29">
        <f t="shared" si="69"/>
        <v>0.36299999999999971</v>
      </c>
      <c r="N1128" s="30">
        <f t="shared" si="70"/>
        <v>1.1765975070738601</v>
      </c>
      <c r="O1128" s="31">
        <f t="shared" si="71"/>
        <v>1.2860974834306032</v>
      </c>
    </row>
    <row r="1129" spans="1:15" x14ac:dyDescent="0.25">
      <c r="A1129" t="s">
        <v>6866</v>
      </c>
      <c r="B1129" t="s">
        <v>2259</v>
      </c>
      <c r="C1129" s="3" t="s">
        <v>2260</v>
      </c>
      <c r="D1129" s="24">
        <v>6.6771999999999998E-2</v>
      </c>
      <c r="E1129" s="25">
        <v>11.94</v>
      </c>
      <c r="F1129" s="25">
        <v>11.7</v>
      </c>
      <c r="G1129" s="26">
        <v>0.24349999999999999</v>
      </c>
      <c r="H1129" s="27">
        <v>0.1089</v>
      </c>
      <c r="I1129" s="26">
        <v>2.2349999999999999</v>
      </c>
      <c r="J1129" s="28">
        <v>6</v>
      </c>
      <c r="K1129" s="27">
        <v>0.163517</v>
      </c>
      <c r="L1129" s="29">
        <f t="shared" si="68"/>
        <v>0.78643708934991552</v>
      </c>
      <c r="M1129" s="29">
        <f t="shared" si="69"/>
        <v>0.24000000000000177</v>
      </c>
      <c r="N1129" s="30">
        <f t="shared" si="70"/>
        <v>1.1754056152903243</v>
      </c>
      <c r="O1129" s="31">
        <f t="shared" si="71"/>
        <v>1.1809926614295319</v>
      </c>
    </row>
    <row r="1130" spans="1:15" x14ac:dyDescent="0.25">
      <c r="A1130" t="s">
        <v>6867</v>
      </c>
      <c r="B1130" t="s">
        <v>2261</v>
      </c>
      <c r="C1130" s="3" t="s">
        <v>2262</v>
      </c>
      <c r="D1130" s="24">
        <v>6.6934999999999995E-2</v>
      </c>
      <c r="E1130" s="25">
        <v>12.62</v>
      </c>
      <c r="F1130" s="25">
        <v>12.16</v>
      </c>
      <c r="G1130" s="26">
        <v>0.46389999999999998</v>
      </c>
      <c r="H1130" s="27">
        <v>0.2077</v>
      </c>
      <c r="I1130" s="26">
        <v>2.234</v>
      </c>
      <c r="J1130" s="28">
        <v>6</v>
      </c>
      <c r="K1130" s="27">
        <v>0.163771</v>
      </c>
      <c r="L1130" s="29">
        <f t="shared" si="68"/>
        <v>0.78576299912632119</v>
      </c>
      <c r="M1130" s="29">
        <f t="shared" si="69"/>
        <v>0.45999999999999963</v>
      </c>
      <c r="N1130" s="30">
        <f t="shared" si="70"/>
        <v>1.1743467322756911</v>
      </c>
      <c r="O1130" s="31">
        <f t="shared" si="71"/>
        <v>1.3755418181397434</v>
      </c>
    </row>
    <row r="1131" spans="1:15" x14ac:dyDescent="0.25">
      <c r="A1131" t="s">
        <v>6868</v>
      </c>
      <c r="B1131" t="s">
        <v>2263</v>
      </c>
      <c r="C1131" s="3" t="s">
        <v>2264</v>
      </c>
      <c r="D1131" s="24">
        <v>6.7040000000000002E-2</v>
      </c>
      <c r="E1131" s="25">
        <v>9.0340000000000007</v>
      </c>
      <c r="F1131" s="25">
        <v>9.31</v>
      </c>
      <c r="G1131" s="26">
        <v>-0.27610000000000001</v>
      </c>
      <c r="H1131" s="27">
        <v>0.1237</v>
      </c>
      <c r="I1131" s="26">
        <v>2.2320000000000002</v>
      </c>
      <c r="J1131" s="28">
        <v>6</v>
      </c>
      <c r="K1131" s="27">
        <v>0.163883</v>
      </c>
      <c r="L1131" s="29">
        <f t="shared" si="68"/>
        <v>0.7854660945631684</v>
      </c>
      <c r="M1131" s="29">
        <f t="shared" si="69"/>
        <v>-0.27600000000000025</v>
      </c>
      <c r="N1131" s="30">
        <f t="shared" si="70"/>
        <v>1.1736659943777799</v>
      </c>
      <c r="O1131" s="31">
        <f t="shared" si="71"/>
        <v>0.82587766493571979</v>
      </c>
    </row>
    <row r="1132" spans="1:15" x14ac:dyDescent="0.25">
      <c r="A1132" t="s">
        <v>6869</v>
      </c>
      <c r="B1132" t="s">
        <v>2265</v>
      </c>
      <c r="C1132" s="3" t="s">
        <v>2266</v>
      </c>
      <c r="D1132" s="24">
        <v>6.7179000000000003E-2</v>
      </c>
      <c r="E1132" s="25">
        <v>7.9450000000000003</v>
      </c>
      <c r="F1132" s="25">
        <v>7.4820000000000002</v>
      </c>
      <c r="G1132" s="26">
        <v>0.46310000000000001</v>
      </c>
      <c r="H1132" s="27">
        <v>0.20760000000000001</v>
      </c>
      <c r="I1132" s="26">
        <v>2.2309999999999999</v>
      </c>
      <c r="J1132" s="28">
        <v>6</v>
      </c>
      <c r="K1132" s="27">
        <v>0.164072</v>
      </c>
      <c r="L1132" s="29">
        <f t="shared" si="68"/>
        <v>0.7849655279234361</v>
      </c>
      <c r="M1132" s="29">
        <f t="shared" si="69"/>
        <v>0.46299999999999975</v>
      </c>
      <c r="N1132" s="30">
        <f t="shared" si="70"/>
        <v>1.1727664651819736</v>
      </c>
      <c r="O1132" s="31">
        <f t="shared" si="71"/>
        <v>1.3784051529756305</v>
      </c>
    </row>
    <row r="1133" spans="1:15" x14ac:dyDescent="0.25">
      <c r="A1133" t="s">
        <v>6870</v>
      </c>
      <c r="B1133" t="s">
        <v>2267</v>
      </c>
      <c r="C1133" s="3" t="s">
        <v>2268</v>
      </c>
      <c r="D1133" s="24">
        <v>6.7236000000000004E-2</v>
      </c>
      <c r="E1133" s="25">
        <v>7.5439999999999996</v>
      </c>
      <c r="F1133" s="25">
        <v>6.9409999999999998</v>
      </c>
      <c r="G1133" s="26">
        <v>0.60299999999999998</v>
      </c>
      <c r="H1133" s="27">
        <v>0.27029999999999998</v>
      </c>
      <c r="I1133" s="26">
        <v>2.23</v>
      </c>
      <c r="J1133" s="28">
        <v>6</v>
      </c>
      <c r="K1133" s="27">
        <v>0.164072</v>
      </c>
      <c r="L1133" s="29">
        <f t="shared" si="68"/>
        <v>0.7849655279234361</v>
      </c>
      <c r="M1133" s="29">
        <f t="shared" si="69"/>
        <v>0.60300000000000009</v>
      </c>
      <c r="N1133" s="30">
        <f t="shared" si="70"/>
        <v>1.1723981314848066</v>
      </c>
      <c r="O1133" s="31">
        <f t="shared" si="71"/>
        <v>1.5188716898145298</v>
      </c>
    </row>
    <row r="1134" spans="1:15" x14ac:dyDescent="0.25">
      <c r="A1134" t="s">
        <v>6871</v>
      </c>
      <c r="B1134" t="s">
        <v>2271</v>
      </c>
      <c r="C1134" s="3" t="s">
        <v>2272</v>
      </c>
      <c r="D1134" s="24">
        <v>6.7544000000000007E-2</v>
      </c>
      <c r="E1134" s="25">
        <v>7.84</v>
      </c>
      <c r="F1134" s="25">
        <v>8.2360000000000007</v>
      </c>
      <c r="G1134" s="26">
        <v>-0.3967</v>
      </c>
      <c r="H1134" s="27">
        <v>0.17810000000000001</v>
      </c>
      <c r="I1134" s="26">
        <v>2.2269999999999999</v>
      </c>
      <c r="J1134" s="28">
        <v>6</v>
      </c>
      <c r="K1134" s="27">
        <v>0.16453200000000001</v>
      </c>
      <c r="L1134" s="29">
        <f t="shared" si="68"/>
        <v>0.78374962311296659</v>
      </c>
      <c r="M1134" s="29">
        <f t="shared" si="69"/>
        <v>-0.39600000000000085</v>
      </c>
      <c r="N1134" s="30">
        <f t="shared" si="70"/>
        <v>1.1704132237348359</v>
      </c>
      <c r="O1134" s="31">
        <f t="shared" si="71"/>
        <v>0.75996242820075743</v>
      </c>
    </row>
    <row r="1135" spans="1:15" x14ac:dyDescent="0.25">
      <c r="A1135" t="s">
        <v>6872</v>
      </c>
      <c r="B1135" t="s">
        <v>2269</v>
      </c>
      <c r="C1135" s="3" t="s">
        <v>2270</v>
      </c>
      <c r="D1135" s="24">
        <v>6.7514000000000005E-2</v>
      </c>
      <c r="E1135" s="25">
        <v>9.5579999999999998</v>
      </c>
      <c r="F1135" s="25">
        <v>9.3360000000000003</v>
      </c>
      <c r="G1135" s="26">
        <v>0.22189999999999999</v>
      </c>
      <c r="H1135" s="27">
        <v>9.9610000000000004E-2</v>
      </c>
      <c r="I1135" s="26">
        <v>2.2269999999999999</v>
      </c>
      <c r="J1135" s="28">
        <v>6</v>
      </c>
      <c r="K1135" s="27">
        <v>0.16453200000000001</v>
      </c>
      <c r="L1135" s="29">
        <f t="shared" si="68"/>
        <v>0.78374962311296659</v>
      </c>
      <c r="M1135" s="29">
        <f t="shared" si="69"/>
        <v>0.22200000000000045</v>
      </c>
      <c r="N1135" s="30">
        <f t="shared" si="70"/>
        <v>1.1706061606163443</v>
      </c>
      <c r="O1135" s="31">
        <f t="shared" si="71"/>
        <v>1.1663493697884677</v>
      </c>
    </row>
    <row r="1136" spans="1:15" x14ac:dyDescent="0.25">
      <c r="A1136" t="s">
        <v>6873</v>
      </c>
      <c r="B1136" t="s">
        <v>2273</v>
      </c>
      <c r="C1136" s="3" t="s">
        <v>2274</v>
      </c>
      <c r="D1136" s="24">
        <v>6.8039000000000002E-2</v>
      </c>
      <c r="E1136" s="25">
        <v>9.5559999999999992</v>
      </c>
      <c r="F1136" s="25">
        <v>7.6230000000000002</v>
      </c>
      <c r="G1136" s="26">
        <v>1.9319999999999999</v>
      </c>
      <c r="H1136" s="27">
        <v>0.86980000000000002</v>
      </c>
      <c r="I1136" s="26">
        <v>2.222</v>
      </c>
      <c r="J1136" s="28">
        <v>6</v>
      </c>
      <c r="K1136" s="27">
        <v>0.16559099999999999</v>
      </c>
      <c r="L1136" s="29">
        <f t="shared" si="68"/>
        <v>0.78096327115351971</v>
      </c>
      <c r="M1136" s="29">
        <f t="shared" si="69"/>
        <v>1.9329999999999989</v>
      </c>
      <c r="N1136" s="30">
        <f t="shared" si="70"/>
        <v>1.1672420780352679</v>
      </c>
      <c r="O1136" s="31">
        <f t="shared" si="71"/>
        <v>3.818484056558864</v>
      </c>
    </row>
    <row r="1137" spans="1:15" x14ac:dyDescent="0.25">
      <c r="A1137" t="s">
        <v>6874</v>
      </c>
      <c r="B1137" t="s">
        <v>2287</v>
      </c>
      <c r="C1137" s="3" t="s">
        <v>2288</v>
      </c>
      <c r="D1137" s="24">
        <v>6.8534999999999999E-2</v>
      </c>
      <c r="E1137" s="25">
        <v>10.24</v>
      </c>
      <c r="F1137" s="25">
        <v>10.34</v>
      </c>
      <c r="G1137" s="26">
        <v>-9.9070000000000005E-2</v>
      </c>
      <c r="H1137" s="27">
        <v>4.4699999999999997E-2</v>
      </c>
      <c r="I1137" s="26">
        <v>2.2160000000000002</v>
      </c>
      <c r="J1137" s="28">
        <v>6</v>
      </c>
      <c r="K1137" s="27">
        <v>0.16577700000000001</v>
      </c>
      <c r="L1137" s="29">
        <f t="shared" si="68"/>
        <v>0.78047572388210162</v>
      </c>
      <c r="M1137" s="29">
        <f t="shared" si="69"/>
        <v>-9.9999999999998812E-2</v>
      </c>
      <c r="N1137" s="30">
        <f t="shared" si="70"/>
        <v>1.1640875828886135</v>
      </c>
      <c r="O1137" s="31">
        <f t="shared" si="71"/>
        <v>0.93303299153680819</v>
      </c>
    </row>
    <row r="1138" spans="1:15" x14ac:dyDescent="0.25">
      <c r="A1138" t="s">
        <v>6875</v>
      </c>
      <c r="B1138" t="s">
        <v>2281</v>
      </c>
      <c r="C1138" s="3" t="s">
        <v>2282</v>
      </c>
      <c r="D1138" s="24">
        <v>6.8458000000000005E-2</v>
      </c>
      <c r="E1138" s="25">
        <v>7.6950000000000003</v>
      </c>
      <c r="F1138" s="25">
        <v>7.0960000000000001</v>
      </c>
      <c r="G1138" s="26">
        <v>0.59850000000000003</v>
      </c>
      <c r="H1138" s="27">
        <v>0.26989999999999997</v>
      </c>
      <c r="I1138" s="26">
        <v>2.2170000000000001</v>
      </c>
      <c r="J1138" s="28">
        <v>6</v>
      </c>
      <c r="K1138" s="27">
        <v>0.16577700000000001</v>
      </c>
      <c r="L1138" s="29">
        <f t="shared" si="68"/>
        <v>0.78047572388210162</v>
      </c>
      <c r="M1138" s="29">
        <f t="shared" si="69"/>
        <v>0.59900000000000075</v>
      </c>
      <c r="N1138" s="30">
        <f t="shared" si="70"/>
        <v>1.1645757929231138</v>
      </c>
      <c r="O1138" s="31">
        <f t="shared" si="71"/>
        <v>1.5146663158769766</v>
      </c>
    </row>
    <row r="1139" spans="1:15" x14ac:dyDescent="0.25">
      <c r="A1139" t="s">
        <v>6876</v>
      </c>
      <c r="B1139" t="s">
        <v>2277</v>
      </c>
      <c r="C1139" s="3" t="s">
        <v>2278</v>
      </c>
      <c r="D1139" s="24">
        <v>6.8375000000000005E-2</v>
      </c>
      <c r="E1139" s="25">
        <v>8.2799999999999994</v>
      </c>
      <c r="F1139" s="25">
        <v>7.7380000000000004</v>
      </c>
      <c r="G1139" s="26">
        <v>0.54249999999999998</v>
      </c>
      <c r="H1139" s="27">
        <v>0.24460000000000001</v>
      </c>
      <c r="I1139" s="26">
        <v>2.218</v>
      </c>
      <c r="J1139" s="28">
        <v>6</v>
      </c>
      <c r="K1139" s="27">
        <v>0.16577700000000001</v>
      </c>
      <c r="L1139" s="29">
        <f t="shared" si="68"/>
        <v>0.78047572388210162</v>
      </c>
      <c r="M1139" s="29">
        <f t="shared" si="69"/>
        <v>0.54199999999999871</v>
      </c>
      <c r="N1139" s="30">
        <f t="shared" si="70"/>
        <v>1.1651026606585126</v>
      </c>
      <c r="O1139" s="31">
        <f t="shared" si="71"/>
        <v>1.4559895489990853</v>
      </c>
    </row>
    <row r="1140" spans="1:15" x14ac:dyDescent="0.25">
      <c r="A1140" t="s">
        <v>6877</v>
      </c>
      <c r="B1140" t="s">
        <v>2283</v>
      </c>
      <c r="C1140" s="3" t="s">
        <v>2284</v>
      </c>
      <c r="D1140" s="24">
        <v>6.8472000000000005E-2</v>
      </c>
      <c r="E1140" s="25">
        <v>8.6010000000000009</v>
      </c>
      <c r="F1140" s="25">
        <v>8.3249999999999993</v>
      </c>
      <c r="G1140" s="26">
        <v>0.27600000000000002</v>
      </c>
      <c r="H1140" s="27">
        <v>0.1245</v>
      </c>
      <c r="I1140" s="26">
        <v>2.2170000000000001</v>
      </c>
      <c r="J1140" s="28">
        <v>6</v>
      </c>
      <c r="K1140" s="27">
        <v>0.16577700000000001</v>
      </c>
      <c r="L1140" s="29">
        <f t="shared" si="68"/>
        <v>0.78047572388210162</v>
      </c>
      <c r="M1140" s="29">
        <f t="shared" si="69"/>
        <v>0.27600000000000152</v>
      </c>
      <c r="N1140" s="30">
        <f t="shared" si="70"/>
        <v>1.1644869866313174</v>
      </c>
      <c r="O1140" s="31">
        <f t="shared" si="71"/>
        <v>1.2108330839505552</v>
      </c>
    </row>
    <row r="1141" spans="1:15" x14ac:dyDescent="0.25">
      <c r="A1141" t="s">
        <v>6878</v>
      </c>
      <c r="B1141" t="s">
        <v>2285</v>
      </c>
      <c r="C1141" s="3" t="s">
        <v>2286</v>
      </c>
      <c r="D1141" s="24">
        <v>6.8526000000000004E-2</v>
      </c>
      <c r="E1141" s="25">
        <v>9.8179999999999996</v>
      </c>
      <c r="F1141" s="25">
        <v>9.9469999999999992</v>
      </c>
      <c r="G1141" s="26">
        <v>-0.1298</v>
      </c>
      <c r="H1141" s="27">
        <v>5.8569999999999997E-2</v>
      </c>
      <c r="I1141" s="26">
        <v>2.2170000000000001</v>
      </c>
      <c r="J1141" s="28">
        <v>6</v>
      </c>
      <c r="K1141" s="27">
        <v>0.16577700000000001</v>
      </c>
      <c r="L1141" s="29">
        <f t="shared" si="68"/>
        <v>0.78047572388210162</v>
      </c>
      <c r="M1141" s="29">
        <f t="shared" si="69"/>
        <v>-0.1289999999999995</v>
      </c>
      <c r="N1141" s="30">
        <f t="shared" si="70"/>
        <v>1.1641446180823265</v>
      </c>
      <c r="O1141" s="31">
        <f t="shared" si="71"/>
        <v>0.9144650894999018</v>
      </c>
    </row>
    <row r="1142" spans="1:15" x14ac:dyDescent="0.25">
      <c r="A1142" t="s">
        <v>6879</v>
      </c>
      <c r="B1142" t="s">
        <v>2279</v>
      </c>
      <c r="C1142" s="3" t="s">
        <v>2280</v>
      </c>
      <c r="D1142" s="24">
        <v>6.8440000000000001E-2</v>
      </c>
      <c r="E1142" s="25">
        <v>8.18</v>
      </c>
      <c r="F1142" s="25">
        <v>7.8659999999999997</v>
      </c>
      <c r="G1142" s="26">
        <v>0.31330000000000002</v>
      </c>
      <c r="H1142" s="27">
        <v>0.14130000000000001</v>
      </c>
      <c r="I1142" s="26">
        <v>2.2170000000000001</v>
      </c>
      <c r="J1142" s="28">
        <v>6</v>
      </c>
      <c r="K1142" s="27">
        <v>0.16577700000000001</v>
      </c>
      <c r="L1142" s="29">
        <f t="shared" si="68"/>
        <v>0.78047572388210162</v>
      </c>
      <c r="M1142" s="29">
        <f t="shared" si="69"/>
        <v>0.31399999999999978</v>
      </c>
      <c r="N1142" s="30">
        <f t="shared" si="70"/>
        <v>1.1646899991309372</v>
      </c>
      <c r="O1142" s="31">
        <f t="shared" si="71"/>
        <v>1.2431496689039394</v>
      </c>
    </row>
    <row r="1143" spans="1:15" x14ac:dyDescent="0.25">
      <c r="A1143" t="s">
        <v>6880</v>
      </c>
      <c r="B1143" t="s">
        <v>2275</v>
      </c>
      <c r="C1143" s="3" t="s">
        <v>2276</v>
      </c>
      <c r="D1143" s="24">
        <v>6.8174999999999999E-2</v>
      </c>
      <c r="E1143" s="25">
        <v>10.96</v>
      </c>
      <c r="F1143" s="25">
        <v>11.22</v>
      </c>
      <c r="G1143" s="26">
        <v>-0.26379999999999998</v>
      </c>
      <c r="H1143" s="27">
        <v>0.1188</v>
      </c>
      <c r="I1143" s="26">
        <v>2.2200000000000002</v>
      </c>
      <c r="J1143" s="28">
        <v>6</v>
      </c>
      <c r="K1143" s="27">
        <v>0.16577700000000001</v>
      </c>
      <c r="L1143" s="29">
        <f t="shared" si="68"/>
        <v>0.78047572388210162</v>
      </c>
      <c r="M1143" s="29">
        <f t="shared" si="69"/>
        <v>-0.25999999999999984</v>
      </c>
      <c r="N1143" s="30">
        <f t="shared" si="70"/>
        <v>1.1663748533863323</v>
      </c>
      <c r="O1143" s="31">
        <f t="shared" si="71"/>
        <v>0.83508791942836946</v>
      </c>
    </row>
    <row r="1144" spans="1:15" x14ac:dyDescent="0.25">
      <c r="A1144" t="s">
        <v>6881</v>
      </c>
      <c r="B1144" t="s">
        <v>2289</v>
      </c>
      <c r="C1144" s="3" t="s">
        <v>2290</v>
      </c>
      <c r="D1144" s="24">
        <v>6.9126999999999994E-2</v>
      </c>
      <c r="E1144" s="25">
        <v>10.6</v>
      </c>
      <c r="F1144" s="25">
        <v>10.82</v>
      </c>
      <c r="G1144" s="26">
        <v>-0.21879999999999999</v>
      </c>
      <c r="H1144" s="27">
        <v>9.9019999999999997E-2</v>
      </c>
      <c r="I1144" s="26">
        <v>2.21</v>
      </c>
      <c r="J1144" s="28">
        <v>6</v>
      </c>
      <c r="K1144" s="27">
        <v>0.16706299999999999</v>
      </c>
      <c r="L1144" s="29">
        <f t="shared" si="68"/>
        <v>0.77711972410490338</v>
      </c>
      <c r="M1144" s="29">
        <f t="shared" si="69"/>
        <v>-0.22000000000000081</v>
      </c>
      <c r="N1144" s="30">
        <f t="shared" si="70"/>
        <v>1.1603522903867234</v>
      </c>
      <c r="O1144" s="31">
        <f t="shared" si="71"/>
        <v>0.85856543643775329</v>
      </c>
    </row>
    <row r="1145" spans="1:15" x14ac:dyDescent="0.25">
      <c r="A1145" t="s">
        <v>6882</v>
      </c>
      <c r="B1145" t="s">
        <v>2291</v>
      </c>
      <c r="C1145" s="3" t="s">
        <v>2292</v>
      </c>
      <c r="D1145" s="24">
        <v>6.9250999999999993E-2</v>
      </c>
      <c r="E1145" s="25">
        <v>10.49</v>
      </c>
      <c r="F1145" s="25">
        <v>9.1890000000000001</v>
      </c>
      <c r="G1145" s="26">
        <v>1.2969999999999999</v>
      </c>
      <c r="H1145" s="27">
        <v>0.58730000000000004</v>
      </c>
      <c r="I1145" s="26">
        <v>2.2090000000000001</v>
      </c>
      <c r="J1145" s="28">
        <v>6</v>
      </c>
      <c r="K1145" s="27">
        <v>0.16716700000000001</v>
      </c>
      <c r="L1145" s="29">
        <f t="shared" si="68"/>
        <v>0.77684945137309802</v>
      </c>
      <c r="M1145" s="29">
        <f t="shared" si="69"/>
        <v>1.3009999999999993</v>
      </c>
      <c r="N1145" s="30">
        <f t="shared" si="70"/>
        <v>1.1595739509083334</v>
      </c>
      <c r="O1145" s="31">
        <f t="shared" si="71"/>
        <v>2.4639961468915104</v>
      </c>
    </row>
    <row r="1146" spans="1:15" x14ac:dyDescent="0.25">
      <c r="A1146" t="s">
        <v>6883</v>
      </c>
      <c r="B1146" t="s">
        <v>2293</v>
      </c>
      <c r="C1146" s="3" t="s">
        <v>2294</v>
      </c>
      <c r="D1146" s="24">
        <v>6.9291000000000005E-2</v>
      </c>
      <c r="E1146" s="25">
        <v>7.95</v>
      </c>
      <c r="F1146" s="25">
        <v>7.4139999999999997</v>
      </c>
      <c r="G1146" s="26">
        <v>0.53620000000000001</v>
      </c>
      <c r="H1146" s="27">
        <v>0.24279999999999999</v>
      </c>
      <c r="I1146" s="26">
        <v>2.2080000000000002</v>
      </c>
      <c r="J1146" s="28">
        <v>6</v>
      </c>
      <c r="K1146" s="27">
        <v>0.16716700000000001</v>
      </c>
      <c r="L1146" s="29">
        <f t="shared" si="68"/>
        <v>0.77684945137309802</v>
      </c>
      <c r="M1146" s="29">
        <f t="shared" si="69"/>
        <v>0.53600000000000114</v>
      </c>
      <c r="N1146" s="30">
        <f t="shared" si="70"/>
        <v>1.1593231709317366</v>
      </c>
      <c r="O1146" s="31">
        <f t="shared" si="71"/>
        <v>1.449946832878853</v>
      </c>
    </row>
    <row r="1147" spans="1:15" x14ac:dyDescent="0.25">
      <c r="A1147" t="s">
        <v>6884</v>
      </c>
      <c r="B1147" t="s">
        <v>2295</v>
      </c>
      <c r="C1147" s="3" t="s">
        <v>2296</v>
      </c>
      <c r="D1147" s="24">
        <v>6.9529999999999995E-2</v>
      </c>
      <c r="E1147" s="25">
        <v>13.06</v>
      </c>
      <c r="F1147" s="25">
        <v>12.85</v>
      </c>
      <c r="G1147" s="26">
        <v>0.2109</v>
      </c>
      <c r="H1147" s="27">
        <v>9.5610000000000001E-2</v>
      </c>
      <c r="I1147" s="26">
        <v>2.206</v>
      </c>
      <c r="J1147" s="28">
        <v>6</v>
      </c>
      <c r="K1147" s="27">
        <v>0.167597</v>
      </c>
      <c r="L1147" s="29">
        <f t="shared" si="68"/>
        <v>0.77573375954289314</v>
      </c>
      <c r="M1147" s="29">
        <f t="shared" si="69"/>
        <v>0.2099999999999991</v>
      </c>
      <c r="N1147" s="30">
        <f t="shared" si="70"/>
        <v>1.1578277706143842</v>
      </c>
      <c r="O1147" s="31">
        <f t="shared" si="71"/>
        <v>1.1566881839052867</v>
      </c>
    </row>
    <row r="1148" spans="1:15" x14ac:dyDescent="0.25">
      <c r="A1148" t="s">
        <v>6885</v>
      </c>
      <c r="B1148" t="s">
        <v>2297</v>
      </c>
      <c r="C1148" s="3" t="s">
        <v>2298</v>
      </c>
      <c r="D1148" s="24">
        <v>6.9906999999999997E-2</v>
      </c>
      <c r="E1148" s="25">
        <v>11.26</v>
      </c>
      <c r="F1148" s="25">
        <v>10.92</v>
      </c>
      <c r="G1148" s="26">
        <v>0.33779999999999999</v>
      </c>
      <c r="H1148" s="27">
        <v>0.15340000000000001</v>
      </c>
      <c r="I1148" s="26">
        <v>2.202</v>
      </c>
      <c r="J1148" s="28">
        <v>6</v>
      </c>
      <c r="K1148" s="27">
        <v>0.16835900000000001</v>
      </c>
      <c r="L1148" s="29">
        <f t="shared" si="68"/>
        <v>0.7737636624902523</v>
      </c>
      <c r="M1148" s="29">
        <f t="shared" si="69"/>
        <v>0.34000000000000025</v>
      </c>
      <c r="N1148" s="30">
        <f t="shared" si="70"/>
        <v>1.1554793348528456</v>
      </c>
      <c r="O1148" s="31">
        <f t="shared" si="71"/>
        <v>1.2657565939702802</v>
      </c>
    </row>
    <row r="1149" spans="1:15" x14ac:dyDescent="0.25">
      <c r="A1149" t="s">
        <v>6886</v>
      </c>
      <c r="B1149" t="s">
        <v>2299</v>
      </c>
      <c r="C1149" s="3" t="s">
        <v>2300</v>
      </c>
      <c r="D1149" s="24">
        <v>7.0029999999999995E-2</v>
      </c>
      <c r="E1149" s="25">
        <v>9.6120000000000001</v>
      </c>
      <c r="F1149" s="25">
        <v>9.3539999999999992</v>
      </c>
      <c r="G1149" s="26">
        <v>0.25769999999999998</v>
      </c>
      <c r="H1149" s="27">
        <v>0.1171</v>
      </c>
      <c r="I1149" s="26">
        <v>2.2010000000000001</v>
      </c>
      <c r="J1149" s="28">
        <v>6</v>
      </c>
      <c r="K1149" s="27">
        <v>0.16850699999999999</v>
      </c>
      <c r="L1149" s="29">
        <f t="shared" si="68"/>
        <v>0.77338205326012976</v>
      </c>
      <c r="M1149" s="29">
        <f t="shared" si="69"/>
        <v>0.25800000000000173</v>
      </c>
      <c r="N1149" s="30">
        <f t="shared" si="70"/>
        <v>1.1547158736520082</v>
      </c>
      <c r="O1149" s="31">
        <f t="shared" si="71"/>
        <v>1.1958197967761255</v>
      </c>
    </row>
    <row r="1150" spans="1:15" x14ac:dyDescent="0.25">
      <c r="A1150" t="s">
        <v>6887</v>
      </c>
      <c r="B1150" t="s">
        <v>2301</v>
      </c>
      <c r="C1150" s="3" t="s">
        <v>2302</v>
      </c>
      <c r="D1150" s="24">
        <v>7.0392999999999997E-2</v>
      </c>
      <c r="E1150" s="25">
        <v>9.0519999999999996</v>
      </c>
      <c r="F1150" s="25">
        <v>8.4139999999999997</v>
      </c>
      <c r="G1150" s="26">
        <v>0.63749999999999996</v>
      </c>
      <c r="H1150" s="27">
        <v>0.29020000000000001</v>
      </c>
      <c r="I1150" s="26">
        <v>2.1970000000000001</v>
      </c>
      <c r="J1150" s="28">
        <v>6</v>
      </c>
      <c r="K1150" s="27">
        <v>0.169235</v>
      </c>
      <c r="L1150" s="29">
        <f t="shared" si="68"/>
        <v>0.77150981425829768</v>
      </c>
      <c r="M1150" s="29">
        <f t="shared" si="69"/>
        <v>0.63799999999999946</v>
      </c>
      <c r="N1150" s="30">
        <f t="shared" si="70"/>
        <v>1.1524705256948586</v>
      </c>
      <c r="O1150" s="31">
        <f t="shared" si="71"/>
        <v>1.5561703531108366</v>
      </c>
    </row>
    <row r="1151" spans="1:15" x14ac:dyDescent="0.25">
      <c r="A1151" t="s">
        <v>6888</v>
      </c>
      <c r="B1151" t="s">
        <v>2305</v>
      </c>
      <c r="C1151" s="3" t="s">
        <v>2306</v>
      </c>
      <c r="D1151" s="24">
        <v>7.1118000000000001E-2</v>
      </c>
      <c r="E1151" s="25">
        <v>9.8520000000000003</v>
      </c>
      <c r="F1151" s="25">
        <v>9.5719999999999992</v>
      </c>
      <c r="G1151" s="26">
        <v>0.27989999999999998</v>
      </c>
      <c r="H1151" s="27">
        <v>0.1278</v>
      </c>
      <c r="I1151" s="26">
        <v>2.19</v>
      </c>
      <c r="J1151" s="28">
        <v>6</v>
      </c>
      <c r="K1151" s="27">
        <v>0.170681</v>
      </c>
      <c r="L1151" s="29">
        <f t="shared" si="68"/>
        <v>0.76781482132473822</v>
      </c>
      <c r="M1151" s="29">
        <f t="shared" si="69"/>
        <v>0.28000000000000203</v>
      </c>
      <c r="N1151" s="30">
        <f t="shared" si="70"/>
        <v>1.1480204652152475</v>
      </c>
      <c r="O1151" s="31">
        <f t="shared" si="71"/>
        <v>1.2141948843950485</v>
      </c>
    </row>
    <row r="1152" spans="1:15" x14ac:dyDescent="0.25">
      <c r="A1152" t="s">
        <v>6889</v>
      </c>
      <c r="B1152" t="s">
        <v>2303</v>
      </c>
      <c r="C1152" s="3" t="s">
        <v>2304</v>
      </c>
      <c r="D1152" s="24">
        <v>7.1118000000000001E-2</v>
      </c>
      <c r="E1152" s="25">
        <v>9.8520000000000003</v>
      </c>
      <c r="F1152" s="25">
        <v>9.5719999999999992</v>
      </c>
      <c r="G1152" s="26">
        <v>0.27989999999999998</v>
      </c>
      <c r="H1152" s="27">
        <v>0.1278</v>
      </c>
      <c r="I1152" s="26">
        <v>2.19</v>
      </c>
      <c r="J1152" s="28">
        <v>6</v>
      </c>
      <c r="K1152" s="27">
        <v>0.170681</v>
      </c>
      <c r="L1152" s="29">
        <f t="shared" si="68"/>
        <v>0.76781482132473822</v>
      </c>
      <c r="M1152" s="29">
        <f t="shared" si="69"/>
        <v>0.28000000000000203</v>
      </c>
      <c r="N1152" s="30">
        <f t="shared" si="70"/>
        <v>1.1480204652152475</v>
      </c>
      <c r="O1152" s="31">
        <f t="shared" si="71"/>
        <v>1.2141948843950485</v>
      </c>
    </row>
    <row r="1153" spans="1:15" x14ac:dyDescent="0.25">
      <c r="A1153" t="s">
        <v>6890</v>
      </c>
      <c r="B1153" t="s">
        <v>2307</v>
      </c>
      <c r="C1153" s="3" t="s">
        <v>2308</v>
      </c>
      <c r="D1153" s="24">
        <v>7.1300000000000002E-2</v>
      </c>
      <c r="E1153" s="25">
        <v>8.3629999999999995</v>
      </c>
      <c r="F1153" s="25">
        <v>8.0410000000000004</v>
      </c>
      <c r="G1153" s="26">
        <v>0.32200000000000001</v>
      </c>
      <c r="H1153" s="27">
        <v>0.1472</v>
      </c>
      <c r="I1153" s="26">
        <v>2.1880000000000002</v>
      </c>
      <c r="J1153" s="28">
        <v>6</v>
      </c>
      <c r="K1153" s="27">
        <v>0.17096800000000001</v>
      </c>
      <c r="L1153" s="29">
        <f t="shared" si="68"/>
        <v>0.76708516869513765</v>
      </c>
      <c r="M1153" s="29">
        <f t="shared" si="69"/>
        <v>0.32199999999999906</v>
      </c>
      <c r="N1153" s="30">
        <f t="shared" si="70"/>
        <v>1.1469104701481343</v>
      </c>
      <c r="O1153" s="31">
        <f t="shared" si="71"/>
        <v>1.2500623025852082</v>
      </c>
    </row>
    <row r="1154" spans="1:15" x14ac:dyDescent="0.25">
      <c r="A1154" t="s">
        <v>6891</v>
      </c>
      <c r="B1154" t="s">
        <v>2309</v>
      </c>
      <c r="C1154" s="3" t="s">
        <v>2310</v>
      </c>
      <c r="D1154" s="24">
        <v>7.1663000000000004E-2</v>
      </c>
      <c r="E1154" s="25">
        <v>8.2050000000000001</v>
      </c>
      <c r="F1154" s="25">
        <v>8.0259999999999998</v>
      </c>
      <c r="G1154" s="26">
        <v>0.1787</v>
      </c>
      <c r="H1154" s="27">
        <v>8.183E-2</v>
      </c>
      <c r="I1154" s="26">
        <v>2.1840000000000002</v>
      </c>
      <c r="J1154" s="28">
        <v>6</v>
      </c>
      <c r="K1154" s="27">
        <v>0.17169000000000001</v>
      </c>
      <c r="L1154" s="29">
        <f t="shared" ref="L1154:L1217" si="72">-LOG(K1154,10)</f>
        <v>0.76525499937194841</v>
      </c>
      <c r="M1154" s="29">
        <f t="shared" ref="M1154:M1217" si="73">LOG(O1154,2)</f>
        <v>0.17899999999999999</v>
      </c>
      <c r="N1154" s="30">
        <f t="shared" ref="N1154:N1217" si="74">-LOG(D1154,10)</f>
        <v>1.1447050150901665</v>
      </c>
      <c r="O1154" s="31">
        <f t="shared" ref="O1154:O1217" si="75">((2^E1154)/(2^F1154))</f>
        <v>1.1320989021106738</v>
      </c>
    </row>
    <row r="1155" spans="1:15" x14ac:dyDescent="0.25">
      <c r="A1155" t="s">
        <v>6892</v>
      </c>
      <c r="B1155" t="s">
        <v>2311</v>
      </c>
      <c r="C1155" s="3" t="s">
        <v>2312</v>
      </c>
      <c r="D1155" s="24">
        <v>7.1895000000000001E-2</v>
      </c>
      <c r="E1155" s="25">
        <v>9.407</v>
      </c>
      <c r="F1155" s="25">
        <v>9.8309999999999995</v>
      </c>
      <c r="G1155" s="26">
        <v>-0.42380000000000001</v>
      </c>
      <c r="H1155" s="27">
        <v>0.19420000000000001</v>
      </c>
      <c r="I1155" s="26">
        <v>2.1819999999999999</v>
      </c>
      <c r="J1155" s="28">
        <v>6</v>
      </c>
      <c r="K1155" s="27">
        <v>0.172096</v>
      </c>
      <c r="L1155" s="29">
        <f t="shared" si="72"/>
        <v>0.76422922379281111</v>
      </c>
      <c r="M1155" s="29">
        <f t="shared" si="73"/>
        <v>-0.4239999999999986</v>
      </c>
      <c r="N1155" s="30">
        <f t="shared" si="74"/>
        <v>1.1433013119525306</v>
      </c>
      <c r="O1155" s="31">
        <f t="shared" si="75"/>
        <v>0.74535519339946099</v>
      </c>
    </row>
    <row r="1156" spans="1:15" x14ac:dyDescent="0.25">
      <c r="A1156" t="s">
        <v>6893</v>
      </c>
      <c r="B1156" t="s">
        <v>2313</v>
      </c>
      <c r="C1156" s="3" t="s">
        <v>2314</v>
      </c>
      <c r="D1156" s="24">
        <v>7.2464000000000001E-2</v>
      </c>
      <c r="E1156" s="25">
        <v>14.91</v>
      </c>
      <c r="F1156" s="25">
        <v>15.14</v>
      </c>
      <c r="G1156" s="26">
        <v>-0.2361</v>
      </c>
      <c r="H1156" s="27">
        <v>0.1085</v>
      </c>
      <c r="I1156" s="26">
        <v>2.1760000000000002</v>
      </c>
      <c r="J1156" s="28">
        <v>6</v>
      </c>
      <c r="K1156" s="27">
        <v>0.17330699999999999</v>
      </c>
      <c r="L1156" s="29">
        <f t="shared" si="72"/>
        <v>0.76118389545124565</v>
      </c>
      <c r="M1156" s="29">
        <f t="shared" si="73"/>
        <v>-0.23000000000000004</v>
      </c>
      <c r="N1156" s="30">
        <f t="shared" si="74"/>
        <v>1.1398776966611179</v>
      </c>
      <c r="O1156" s="31">
        <f t="shared" si="75"/>
        <v>0.8526348917679567</v>
      </c>
    </row>
    <row r="1157" spans="1:15" x14ac:dyDescent="0.25">
      <c r="A1157" t="s">
        <v>6894</v>
      </c>
      <c r="B1157" t="s">
        <v>2315</v>
      </c>
      <c r="C1157" s="3" t="s">
        <v>2316</v>
      </c>
      <c r="D1157" s="24">
        <v>7.2681999999999997E-2</v>
      </c>
      <c r="E1157" s="25">
        <v>8.6389999999999993</v>
      </c>
      <c r="F1157" s="25">
        <v>8.359</v>
      </c>
      <c r="G1157" s="26">
        <v>0.27950000000000003</v>
      </c>
      <c r="H1157" s="27">
        <v>0.12859999999999999</v>
      </c>
      <c r="I1157" s="26">
        <v>2.1739999999999999</v>
      </c>
      <c r="J1157" s="28">
        <v>6</v>
      </c>
      <c r="K1157" s="27">
        <v>0.17366400000000001</v>
      </c>
      <c r="L1157" s="29">
        <f t="shared" si="72"/>
        <v>0.76029020010061776</v>
      </c>
      <c r="M1157" s="29">
        <f t="shared" si="73"/>
        <v>0.28000000000000042</v>
      </c>
      <c r="N1157" s="30">
        <f t="shared" si="74"/>
        <v>1.1385731306621161</v>
      </c>
      <c r="O1157" s="31">
        <f t="shared" si="75"/>
        <v>1.2141948843950472</v>
      </c>
    </row>
    <row r="1158" spans="1:15" x14ac:dyDescent="0.25">
      <c r="A1158" t="s">
        <v>6895</v>
      </c>
      <c r="B1158" t="s">
        <v>2317</v>
      </c>
      <c r="C1158" s="3" t="s">
        <v>2318</v>
      </c>
      <c r="D1158" s="24">
        <v>7.2789999999999994E-2</v>
      </c>
      <c r="E1158" s="25">
        <v>10.09</v>
      </c>
      <c r="F1158" s="25">
        <v>9.31</v>
      </c>
      <c r="G1158" s="26">
        <v>0.77700000000000002</v>
      </c>
      <c r="H1158" s="27">
        <v>0.35759999999999997</v>
      </c>
      <c r="I1158" s="26">
        <v>2.173</v>
      </c>
      <c r="J1158" s="28">
        <v>6</v>
      </c>
      <c r="K1158" s="27">
        <v>0.17366400000000001</v>
      </c>
      <c r="L1158" s="29">
        <f t="shared" si="72"/>
        <v>0.76029020010061776</v>
      </c>
      <c r="M1158" s="29">
        <f t="shared" si="73"/>
        <v>0.77999999999999925</v>
      </c>
      <c r="N1158" s="30">
        <f t="shared" si="74"/>
        <v>1.1379282806200057</v>
      </c>
      <c r="O1158" s="31">
        <f t="shared" si="75"/>
        <v>1.7171308728755066</v>
      </c>
    </row>
    <row r="1159" spans="1:15" x14ac:dyDescent="0.25">
      <c r="A1159" t="s">
        <v>6896</v>
      </c>
      <c r="B1159" t="s">
        <v>2319</v>
      </c>
      <c r="C1159" s="3" t="s">
        <v>2320</v>
      </c>
      <c r="D1159" s="24">
        <v>7.2843000000000005E-2</v>
      </c>
      <c r="E1159" s="25">
        <v>9.41</v>
      </c>
      <c r="F1159" s="25">
        <v>8.9269999999999996</v>
      </c>
      <c r="G1159" s="26">
        <v>0.48299999999999998</v>
      </c>
      <c r="H1159" s="27">
        <v>0.2223</v>
      </c>
      <c r="I1159" s="26">
        <v>2.1720000000000002</v>
      </c>
      <c r="J1159" s="28">
        <v>6</v>
      </c>
      <c r="K1159" s="27">
        <v>0.17366400000000001</v>
      </c>
      <c r="L1159" s="29">
        <f t="shared" si="72"/>
        <v>0.76029020010061776</v>
      </c>
      <c r="M1159" s="29">
        <f t="shared" si="73"/>
        <v>0.48300000000000065</v>
      </c>
      <c r="N1159" s="30">
        <f t="shared" si="74"/>
        <v>1.1376121763228058</v>
      </c>
      <c r="O1159" s="31">
        <f t="shared" si="75"/>
        <v>1.3976469718510667</v>
      </c>
    </row>
    <row r="1160" spans="1:15" x14ac:dyDescent="0.25">
      <c r="A1160" t="s">
        <v>6897</v>
      </c>
      <c r="B1160" t="s">
        <v>2321</v>
      </c>
      <c r="C1160" s="3" t="s">
        <v>2322</v>
      </c>
      <c r="D1160" s="24">
        <v>7.2863999999999998E-2</v>
      </c>
      <c r="E1160" s="25">
        <v>8.7729999999999997</v>
      </c>
      <c r="F1160" s="25">
        <v>9.06</v>
      </c>
      <c r="G1160" s="26">
        <v>-0.28699999999999998</v>
      </c>
      <c r="H1160" s="27">
        <v>0.1321</v>
      </c>
      <c r="I1160" s="26">
        <v>2.1720000000000002</v>
      </c>
      <c r="J1160" s="28">
        <v>6</v>
      </c>
      <c r="K1160" s="27">
        <v>0.17366400000000001</v>
      </c>
      <c r="L1160" s="29">
        <f t="shared" si="72"/>
        <v>0.76029020010061776</v>
      </c>
      <c r="M1160" s="29">
        <f t="shared" si="73"/>
        <v>-0.28699999999999987</v>
      </c>
      <c r="N1160" s="30">
        <f t="shared" si="74"/>
        <v>1.1374869910649512</v>
      </c>
      <c r="O1160" s="31">
        <f t="shared" si="75"/>
        <v>0.81960460763751719</v>
      </c>
    </row>
    <row r="1161" spans="1:15" x14ac:dyDescent="0.25">
      <c r="A1161" t="s">
        <v>6898</v>
      </c>
      <c r="B1161" t="s">
        <v>2323</v>
      </c>
      <c r="C1161" s="3" t="s">
        <v>2324</v>
      </c>
      <c r="D1161" s="24">
        <v>7.3030999999999999E-2</v>
      </c>
      <c r="E1161" s="25">
        <v>8.1750000000000007</v>
      </c>
      <c r="F1161" s="25">
        <v>8.6010000000000009</v>
      </c>
      <c r="G1161" s="26">
        <v>-0.4259</v>
      </c>
      <c r="H1161" s="27">
        <v>0.19620000000000001</v>
      </c>
      <c r="I1161" s="26">
        <v>2.17</v>
      </c>
      <c r="J1161" s="28">
        <v>6</v>
      </c>
      <c r="K1161" s="27">
        <v>0.17391100000000001</v>
      </c>
      <c r="L1161" s="29">
        <f t="shared" si="72"/>
        <v>0.75967294767977289</v>
      </c>
      <c r="M1161" s="29">
        <f t="shared" si="73"/>
        <v>-0.42599999999999955</v>
      </c>
      <c r="N1161" s="30">
        <f t="shared" si="74"/>
        <v>1.1364927526036748</v>
      </c>
      <c r="O1161" s="31">
        <f t="shared" si="75"/>
        <v>0.74432262758327006</v>
      </c>
    </row>
    <row r="1162" spans="1:15" x14ac:dyDescent="0.25">
      <c r="A1162" t="s">
        <v>6899</v>
      </c>
      <c r="B1162" t="s">
        <v>2325</v>
      </c>
      <c r="C1162" s="3" t="s">
        <v>2326</v>
      </c>
      <c r="D1162" s="24">
        <v>7.3293999999999998E-2</v>
      </c>
      <c r="E1162" s="25">
        <v>10.62</v>
      </c>
      <c r="F1162" s="25">
        <v>10.87</v>
      </c>
      <c r="G1162" s="26">
        <v>-0.25640000000000002</v>
      </c>
      <c r="H1162" s="27">
        <v>0.1183</v>
      </c>
      <c r="I1162" s="26">
        <v>2.1680000000000001</v>
      </c>
      <c r="J1162" s="28">
        <v>6</v>
      </c>
      <c r="K1162" s="27">
        <v>0.17438600000000001</v>
      </c>
      <c r="L1162" s="29">
        <f t="shared" si="72"/>
        <v>0.75848838389199125</v>
      </c>
      <c r="M1162" s="29">
        <f t="shared" si="73"/>
        <v>-0.25000000000000044</v>
      </c>
      <c r="N1162" s="30">
        <f t="shared" si="74"/>
        <v>1.1349315761575796</v>
      </c>
      <c r="O1162" s="31">
        <f t="shared" si="75"/>
        <v>0.84089641525371428</v>
      </c>
    </row>
    <row r="1163" spans="1:15" x14ac:dyDescent="0.25">
      <c r="A1163" t="s">
        <v>6900</v>
      </c>
      <c r="B1163" t="s">
        <v>2327</v>
      </c>
      <c r="C1163" s="3" t="s">
        <v>2328</v>
      </c>
      <c r="D1163" s="24">
        <v>7.3400000000000007E-2</v>
      </c>
      <c r="E1163" s="25">
        <v>8.0589999999999993</v>
      </c>
      <c r="F1163" s="25">
        <v>8.3949999999999996</v>
      </c>
      <c r="G1163" s="26">
        <v>-0.33600000000000002</v>
      </c>
      <c r="H1163" s="27">
        <v>0.15509999999999999</v>
      </c>
      <c r="I1163" s="26">
        <v>2.1669999999999998</v>
      </c>
      <c r="J1163" s="28">
        <v>6</v>
      </c>
      <c r="K1163" s="27">
        <v>0.17448900000000001</v>
      </c>
      <c r="L1163" s="29">
        <f t="shared" si="72"/>
        <v>0.75823194629723256</v>
      </c>
      <c r="M1163" s="29">
        <f t="shared" si="73"/>
        <v>-0.33599999999999997</v>
      </c>
      <c r="N1163" s="30">
        <f t="shared" si="74"/>
        <v>1.1343039400839294</v>
      </c>
      <c r="O1163" s="31">
        <f t="shared" si="75"/>
        <v>0.79223481092496917</v>
      </c>
    </row>
    <row r="1164" spans="1:15" x14ac:dyDescent="0.25">
      <c r="A1164" t="s">
        <v>6901</v>
      </c>
      <c r="B1164" t="s">
        <v>2329</v>
      </c>
      <c r="C1164" s="3" t="s">
        <v>2330</v>
      </c>
      <c r="D1164" s="24">
        <v>7.3464000000000002E-2</v>
      </c>
      <c r="E1164" s="25">
        <v>7.1749999999999998</v>
      </c>
      <c r="F1164" s="25">
        <v>7.3520000000000003</v>
      </c>
      <c r="G1164" s="26">
        <v>-0.1767</v>
      </c>
      <c r="H1164" s="27">
        <v>8.158E-2</v>
      </c>
      <c r="I1164" s="26">
        <v>2.1659999999999999</v>
      </c>
      <c r="J1164" s="28">
        <v>6</v>
      </c>
      <c r="K1164" s="27">
        <v>0.17449100000000001</v>
      </c>
      <c r="L1164" s="29">
        <f t="shared" si="72"/>
        <v>0.75822696842478254</v>
      </c>
      <c r="M1164" s="29">
        <f t="shared" si="73"/>
        <v>-0.17700000000000055</v>
      </c>
      <c r="N1164" s="30">
        <f t="shared" si="74"/>
        <v>1.1339254286910592</v>
      </c>
      <c r="O1164" s="31">
        <f t="shared" si="75"/>
        <v>0.88454043533154025</v>
      </c>
    </row>
    <row r="1165" spans="1:15" x14ac:dyDescent="0.25">
      <c r="A1165" t="s">
        <v>6902</v>
      </c>
      <c r="B1165" t="s">
        <v>2331</v>
      </c>
      <c r="C1165" s="3" t="s">
        <v>2332</v>
      </c>
      <c r="D1165" s="24">
        <v>7.3626999999999998E-2</v>
      </c>
      <c r="E1165" s="25">
        <v>9.0730000000000004</v>
      </c>
      <c r="F1165" s="25">
        <v>8.5079999999999991</v>
      </c>
      <c r="G1165" s="26">
        <v>0.56530000000000002</v>
      </c>
      <c r="H1165" s="27">
        <v>0.26119999999999999</v>
      </c>
      <c r="I1165" s="26">
        <v>2.1640000000000001</v>
      </c>
      <c r="J1165" s="28">
        <v>6</v>
      </c>
      <c r="K1165" s="27">
        <v>0.17472699999999999</v>
      </c>
      <c r="L1165" s="29">
        <f t="shared" si="72"/>
        <v>0.75763997970523145</v>
      </c>
      <c r="M1165" s="29">
        <f t="shared" si="73"/>
        <v>0.56500000000000072</v>
      </c>
      <c r="N1165" s="30">
        <f t="shared" si="74"/>
        <v>1.1329628948918837</v>
      </c>
      <c r="O1165" s="31">
        <f t="shared" si="75"/>
        <v>1.4793875092488382</v>
      </c>
    </row>
    <row r="1166" spans="1:15" x14ac:dyDescent="0.25">
      <c r="A1166" t="s">
        <v>6903</v>
      </c>
      <c r="B1166" t="s">
        <v>2333</v>
      </c>
      <c r="C1166" s="3" t="s">
        <v>2334</v>
      </c>
      <c r="D1166" s="24">
        <v>7.4020000000000002E-2</v>
      </c>
      <c r="E1166" s="25">
        <v>9.2449999999999992</v>
      </c>
      <c r="F1166" s="25">
        <v>9.5329999999999995</v>
      </c>
      <c r="G1166" s="26">
        <v>-0.28760000000000002</v>
      </c>
      <c r="H1166" s="27">
        <v>0.1331</v>
      </c>
      <c r="I1166" s="26">
        <v>2.161</v>
      </c>
      <c r="J1166" s="28">
        <v>6</v>
      </c>
      <c r="K1166" s="27">
        <v>0.17551</v>
      </c>
      <c r="L1166" s="29">
        <f t="shared" si="72"/>
        <v>0.755698133778823</v>
      </c>
      <c r="M1166" s="29">
        <f t="shared" si="73"/>
        <v>-0.28800000000000137</v>
      </c>
      <c r="N1166" s="30">
        <f t="shared" si="74"/>
        <v>1.1306509192409069</v>
      </c>
      <c r="O1166" s="31">
        <f t="shared" si="75"/>
        <v>0.81903669785982691</v>
      </c>
    </row>
    <row r="1167" spans="1:15" x14ac:dyDescent="0.25">
      <c r="A1167" t="s">
        <v>6904</v>
      </c>
      <c r="B1167" t="s">
        <v>2339</v>
      </c>
      <c r="C1167" s="3" t="s">
        <v>2340</v>
      </c>
      <c r="D1167" s="24">
        <v>7.4592000000000006E-2</v>
      </c>
      <c r="E1167" s="25">
        <v>9.3520000000000003</v>
      </c>
      <c r="F1167" s="25">
        <v>9.6039999999999992</v>
      </c>
      <c r="G1167" s="26">
        <v>-0.25269999999999998</v>
      </c>
      <c r="H1167" s="27">
        <v>0.1172</v>
      </c>
      <c r="I1167" s="26">
        <v>2.1549999999999998</v>
      </c>
      <c r="J1167" s="28">
        <v>6</v>
      </c>
      <c r="K1167" s="27">
        <v>0.17641299999999999</v>
      </c>
      <c r="L1167" s="29">
        <f t="shared" si="72"/>
        <v>0.75346941455432903</v>
      </c>
      <c r="M1167" s="29">
        <f t="shared" si="73"/>
        <v>-0.25199999999999895</v>
      </c>
      <c r="N1167" s="30">
        <f t="shared" si="74"/>
        <v>1.1273077481595171</v>
      </c>
      <c r="O1167" s="31">
        <f t="shared" si="75"/>
        <v>0.83973149294414096</v>
      </c>
    </row>
    <row r="1168" spans="1:15" x14ac:dyDescent="0.25">
      <c r="A1168" t="s">
        <v>6905</v>
      </c>
      <c r="B1168" t="s">
        <v>2337</v>
      </c>
      <c r="C1168" s="3" t="s">
        <v>2338</v>
      </c>
      <c r="D1168" s="24">
        <v>7.4570999999999998E-2</v>
      </c>
      <c r="E1168" s="25">
        <v>11.08</v>
      </c>
      <c r="F1168" s="25">
        <v>10.86</v>
      </c>
      <c r="G1168" s="26">
        <v>0.2127</v>
      </c>
      <c r="H1168" s="27">
        <v>9.8680000000000004E-2</v>
      </c>
      <c r="I1168" s="26">
        <v>2.1549999999999998</v>
      </c>
      <c r="J1168" s="28">
        <v>6</v>
      </c>
      <c r="K1168" s="27">
        <v>0.17641299999999999</v>
      </c>
      <c r="L1168" s="29">
        <f t="shared" si="72"/>
        <v>0.75346941455432903</v>
      </c>
      <c r="M1168" s="29">
        <f t="shared" si="73"/>
        <v>0.22000000000000053</v>
      </c>
      <c r="N1168" s="30">
        <f t="shared" si="74"/>
        <v>1.1274300329644653</v>
      </c>
      <c r="O1168" s="31">
        <f t="shared" si="75"/>
        <v>1.1647335864684563</v>
      </c>
    </row>
    <row r="1169" spans="1:15" x14ac:dyDescent="0.25">
      <c r="A1169" t="s">
        <v>6906</v>
      </c>
      <c r="B1169" t="s">
        <v>2335</v>
      </c>
      <c r="C1169" s="3" t="s">
        <v>2336</v>
      </c>
      <c r="D1169" s="24">
        <v>7.4491000000000002E-2</v>
      </c>
      <c r="E1169" s="25">
        <v>8.3810000000000002</v>
      </c>
      <c r="F1169" s="25">
        <v>8.6579999999999995</v>
      </c>
      <c r="G1169" s="26">
        <v>-0.27729999999999999</v>
      </c>
      <c r="H1169" s="27">
        <v>0.12859999999999999</v>
      </c>
      <c r="I1169" s="26">
        <v>2.1560000000000001</v>
      </c>
      <c r="J1169" s="28">
        <v>6</v>
      </c>
      <c r="K1169" s="27">
        <v>0.17641299999999999</v>
      </c>
      <c r="L1169" s="29">
        <f t="shared" si="72"/>
        <v>0.75346941455432903</v>
      </c>
      <c r="M1169" s="29">
        <f t="shared" si="73"/>
        <v>-0.2769999999999993</v>
      </c>
      <c r="N1169" s="30">
        <f t="shared" si="74"/>
        <v>1.1278961955261919</v>
      </c>
      <c r="O1169" s="31">
        <f t="shared" si="75"/>
        <v>0.82530540851265766</v>
      </c>
    </row>
    <row r="1170" spans="1:15" x14ac:dyDescent="0.25">
      <c r="A1170" t="s">
        <v>6907</v>
      </c>
      <c r="B1170" t="s">
        <v>2341</v>
      </c>
      <c r="C1170" s="3" t="s">
        <v>2342</v>
      </c>
      <c r="D1170" s="24">
        <v>7.4884999999999993E-2</v>
      </c>
      <c r="E1170" s="25">
        <v>9.27</v>
      </c>
      <c r="F1170" s="25">
        <v>9.06</v>
      </c>
      <c r="G1170" s="26">
        <v>0.2094</v>
      </c>
      <c r="H1170" s="27">
        <v>9.7299999999999998E-2</v>
      </c>
      <c r="I1170" s="26">
        <v>2.1520000000000001</v>
      </c>
      <c r="J1170" s="28">
        <v>6</v>
      </c>
      <c r="K1170" s="27">
        <v>0.176953</v>
      </c>
      <c r="L1170" s="29">
        <f t="shared" si="72"/>
        <v>0.75214207008551492</v>
      </c>
      <c r="M1170" s="29">
        <f t="shared" si="73"/>
        <v>0.2099999999999991</v>
      </c>
      <c r="N1170" s="30">
        <f t="shared" si="74"/>
        <v>1.1256051658736594</v>
      </c>
      <c r="O1170" s="31">
        <f t="shared" si="75"/>
        <v>1.1566881839052867</v>
      </c>
    </row>
    <row r="1171" spans="1:15" x14ac:dyDescent="0.25">
      <c r="A1171" t="s">
        <v>6908</v>
      </c>
      <c r="B1171" t="s">
        <v>2343</v>
      </c>
      <c r="C1171" s="3" t="s">
        <v>2344</v>
      </c>
      <c r="D1171" s="24">
        <v>7.5054999999999997E-2</v>
      </c>
      <c r="E1171" s="25">
        <v>11.18</v>
      </c>
      <c r="F1171" s="25">
        <v>10.99</v>
      </c>
      <c r="G1171" s="26">
        <v>0.19170000000000001</v>
      </c>
      <c r="H1171" s="27">
        <v>8.9160000000000003E-2</v>
      </c>
      <c r="I1171" s="26">
        <v>2.15</v>
      </c>
      <c r="J1171" s="28">
        <v>6</v>
      </c>
      <c r="K1171" s="27">
        <v>0.17709900000000001</v>
      </c>
      <c r="L1171" s="29">
        <f t="shared" si="72"/>
        <v>0.75178389107253407</v>
      </c>
      <c r="M1171" s="29">
        <f t="shared" si="73"/>
        <v>0.18999999999999972</v>
      </c>
      <c r="N1171" s="30">
        <f t="shared" si="74"/>
        <v>1.1246203707081386</v>
      </c>
      <c r="O1171" s="31">
        <f t="shared" si="75"/>
        <v>1.1407637158684234</v>
      </c>
    </row>
    <row r="1172" spans="1:15" x14ac:dyDescent="0.25">
      <c r="A1172" t="s">
        <v>6909</v>
      </c>
      <c r="B1172" t="s">
        <v>2345</v>
      </c>
      <c r="C1172" s="3" t="s">
        <v>2346</v>
      </c>
      <c r="D1172" s="24">
        <v>7.5075000000000003E-2</v>
      </c>
      <c r="E1172" s="25">
        <v>9.9640000000000004</v>
      </c>
      <c r="F1172" s="25">
        <v>10.199999999999999</v>
      </c>
      <c r="G1172" s="26">
        <v>-0.23769999999999999</v>
      </c>
      <c r="H1172" s="27">
        <v>0.1105</v>
      </c>
      <c r="I1172" s="26">
        <v>2.15</v>
      </c>
      <c r="J1172" s="28">
        <v>6</v>
      </c>
      <c r="K1172" s="27">
        <v>0.17709900000000001</v>
      </c>
      <c r="L1172" s="29">
        <f t="shared" si="72"/>
        <v>0.75178389107253407</v>
      </c>
      <c r="M1172" s="29">
        <f t="shared" si="73"/>
        <v>-0.23599999999999857</v>
      </c>
      <c r="N1172" s="30">
        <f t="shared" si="74"/>
        <v>1.1245046591289811</v>
      </c>
      <c r="O1172" s="31">
        <f t="shared" si="75"/>
        <v>0.84909624644684056</v>
      </c>
    </row>
    <row r="1173" spans="1:15" x14ac:dyDescent="0.25">
      <c r="A1173" t="s">
        <v>6910</v>
      </c>
      <c r="B1173" t="s">
        <v>2347</v>
      </c>
      <c r="C1173" s="3" t="s">
        <v>2348</v>
      </c>
      <c r="D1173" s="24">
        <v>7.5588000000000002E-2</v>
      </c>
      <c r="E1173" s="25">
        <v>9.7829999999999995</v>
      </c>
      <c r="F1173" s="25">
        <v>10.06</v>
      </c>
      <c r="G1173" s="26">
        <v>-0.2747</v>
      </c>
      <c r="H1173" s="27">
        <v>0.12809999999999999</v>
      </c>
      <c r="I1173" s="26">
        <v>2.145</v>
      </c>
      <c r="J1173" s="28">
        <v>6</v>
      </c>
      <c r="K1173" s="27">
        <v>0.17815700000000001</v>
      </c>
      <c r="L1173" s="29">
        <f t="shared" si="72"/>
        <v>0.74919710903202963</v>
      </c>
      <c r="M1173" s="29">
        <f t="shared" si="73"/>
        <v>-0.27700000000000047</v>
      </c>
      <c r="N1173" s="30">
        <f t="shared" si="74"/>
        <v>1.1215471456025023</v>
      </c>
      <c r="O1173" s="31">
        <f t="shared" si="75"/>
        <v>0.82530540851265699</v>
      </c>
    </row>
    <row r="1174" spans="1:15" x14ac:dyDescent="0.25">
      <c r="A1174" t="s">
        <v>6911</v>
      </c>
      <c r="B1174" t="s">
        <v>2349</v>
      </c>
      <c r="C1174" s="3" t="s">
        <v>2350</v>
      </c>
      <c r="D1174" s="24">
        <v>7.5810000000000002E-2</v>
      </c>
      <c r="E1174" s="25">
        <v>12</v>
      </c>
      <c r="F1174" s="25">
        <v>12.26</v>
      </c>
      <c r="G1174" s="26">
        <v>-0.25879999999999997</v>
      </c>
      <c r="H1174" s="27">
        <v>0.1208</v>
      </c>
      <c r="I1174" s="26">
        <v>2.1429999999999998</v>
      </c>
      <c r="J1174" s="28">
        <v>6</v>
      </c>
      <c r="K1174" s="27">
        <v>0.17852799999999999</v>
      </c>
      <c r="L1174" s="29">
        <f t="shared" si="72"/>
        <v>0.74829366026972477</v>
      </c>
      <c r="M1174" s="29">
        <f t="shared" si="73"/>
        <v>-0.25999999999999884</v>
      </c>
      <c r="N1174" s="30">
        <f t="shared" si="74"/>
        <v>1.1202735033604228</v>
      </c>
      <c r="O1174" s="31">
        <f t="shared" si="75"/>
        <v>0.83508791942837002</v>
      </c>
    </row>
    <row r="1175" spans="1:15" x14ac:dyDescent="0.25">
      <c r="A1175" t="s">
        <v>6912</v>
      </c>
      <c r="B1175" t="s">
        <v>2351</v>
      </c>
      <c r="C1175" s="3" t="s">
        <v>2352</v>
      </c>
      <c r="D1175" s="24">
        <v>7.6017000000000001E-2</v>
      </c>
      <c r="E1175" s="25">
        <v>9.5909999999999993</v>
      </c>
      <c r="F1175" s="25">
        <v>9.2200000000000006</v>
      </c>
      <c r="G1175" s="26">
        <v>0.37090000000000001</v>
      </c>
      <c r="H1175" s="27">
        <v>0.17319999999999999</v>
      </c>
      <c r="I1175" s="26">
        <v>2.141</v>
      </c>
      <c r="J1175" s="28">
        <v>6</v>
      </c>
      <c r="K1175" s="27">
        <v>0.17886299999999999</v>
      </c>
      <c r="L1175" s="29">
        <f t="shared" si="72"/>
        <v>0.74747948926907015</v>
      </c>
      <c r="M1175" s="29">
        <f t="shared" si="73"/>
        <v>0.37099999999999828</v>
      </c>
      <c r="N1175" s="30">
        <f t="shared" si="74"/>
        <v>1.1190892737641491</v>
      </c>
      <c r="O1175" s="31">
        <f t="shared" si="75"/>
        <v>1.2932489318874854</v>
      </c>
    </row>
    <row r="1176" spans="1:15" x14ac:dyDescent="0.25">
      <c r="A1176" t="s">
        <v>6913</v>
      </c>
      <c r="B1176" t="s">
        <v>2353</v>
      </c>
      <c r="C1176" s="3" t="s">
        <v>2354</v>
      </c>
      <c r="D1176" s="24">
        <v>7.6179999999999998E-2</v>
      </c>
      <c r="E1176" s="25">
        <v>8.657</v>
      </c>
      <c r="F1176" s="25">
        <v>9.0619999999999994</v>
      </c>
      <c r="G1176" s="26">
        <v>-0.40560000000000002</v>
      </c>
      <c r="H1176" s="27">
        <v>0.18959999999999999</v>
      </c>
      <c r="I1176" s="26">
        <v>2.14</v>
      </c>
      <c r="J1176" s="28">
        <v>6</v>
      </c>
      <c r="K1176" s="27">
        <v>0.179094</v>
      </c>
      <c r="L1176" s="29">
        <f t="shared" si="72"/>
        <v>0.74691896362355392</v>
      </c>
      <c r="M1176" s="29">
        <f t="shared" si="73"/>
        <v>-0.40499999999999953</v>
      </c>
      <c r="N1176" s="30">
        <f t="shared" si="74"/>
        <v>1.1181590316750725</v>
      </c>
      <c r="O1176" s="31">
        <f t="shared" si="75"/>
        <v>0.75523629278141302</v>
      </c>
    </row>
    <row r="1177" spans="1:15" x14ac:dyDescent="0.25">
      <c r="A1177" t="s">
        <v>6914</v>
      </c>
      <c r="B1177" t="s">
        <v>2361</v>
      </c>
      <c r="C1177" s="3" t="s">
        <v>2362</v>
      </c>
      <c r="D1177" s="24">
        <v>7.6559000000000002E-2</v>
      </c>
      <c r="E1177" s="25">
        <v>9.9369999999999994</v>
      </c>
      <c r="F1177" s="25">
        <v>10.17</v>
      </c>
      <c r="G1177" s="26">
        <v>-0.23649999999999999</v>
      </c>
      <c r="H1177" s="27">
        <v>0.11070000000000001</v>
      </c>
      <c r="I1177" s="26">
        <v>2.1360000000000001</v>
      </c>
      <c r="J1177" s="28">
        <v>6</v>
      </c>
      <c r="K1177" s="27">
        <v>0.17937600000000001</v>
      </c>
      <c r="L1177" s="29">
        <f t="shared" si="72"/>
        <v>0.74623566477477521</v>
      </c>
      <c r="M1177" s="29">
        <f t="shared" si="73"/>
        <v>-0.23300000000000107</v>
      </c>
      <c r="N1177" s="30">
        <f t="shared" si="74"/>
        <v>1.1160037478712106</v>
      </c>
      <c r="O1177" s="31">
        <f t="shared" si="75"/>
        <v>0.85086372950653999</v>
      </c>
    </row>
    <row r="1178" spans="1:15" x14ac:dyDescent="0.25">
      <c r="A1178" t="s">
        <v>6915</v>
      </c>
      <c r="B1178" t="s">
        <v>2355</v>
      </c>
      <c r="C1178" s="3" t="s">
        <v>2356</v>
      </c>
      <c r="D1178" s="24">
        <v>7.6379000000000002E-2</v>
      </c>
      <c r="E1178" s="25">
        <v>9.7230000000000008</v>
      </c>
      <c r="F1178" s="25">
        <v>9.5020000000000007</v>
      </c>
      <c r="G1178" s="26">
        <v>0.2218</v>
      </c>
      <c r="H1178" s="27">
        <v>0.1038</v>
      </c>
      <c r="I1178" s="26">
        <v>2.1379999999999999</v>
      </c>
      <c r="J1178" s="28">
        <v>6</v>
      </c>
      <c r="K1178" s="27">
        <v>0.17937600000000001</v>
      </c>
      <c r="L1178" s="29">
        <f t="shared" si="72"/>
        <v>0.74623566477477521</v>
      </c>
      <c r="M1178" s="29">
        <f t="shared" si="73"/>
        <v>0.22099999999999995</v>
      </c>
      <c r="N1178" s="30">
        <f t="shared" si="74"/>
        <v>1.1170260319711443</v>
      </c>
      <c r="O1178" s="31">
        <f t="shared" si="75"/>
        <v>1.1655411981345596</v>
      </c>
    </row>
    <row r="1179" spans="1:15" x14ac:dyDescent="0.25">
      <c r="A1179" t="s">
        <v>6916</v>
      </c>
      <c r="B1179" t="s">
        <v>2357</v>
      </c>
      <c r="C1179" s="3" t="s">
        <v>2358</v>
      </c>
      <c r="D1179" s="24">
        <v>7.6499999999999999E-2</v>
      </c>
      <c r="E1179" s="25">
        <v>8.5399999999999991</v>
      </c>
      <c r="F1179" s="25">
        <v>8.1869999999999994</v>
      </c>
      <c r="G1179" s="26">
        <v>0.35360000000000003</v>
      </c>
      <c r="H1179" s="27">
        <v>0.16550000000000001</v>
      </c>
      <c r="I1179" s="26">
        <v>2.137</v>
      </c>
      <c r="J1179" s="28">
        <v>6</v>
      </c>
      <c r="K1179" s="27">
        <v>0.17937600000000001</v>
      </c>
      <c r="L1179" s="29">
        <f t="shared" si="72"/>
        <v>0.74623566477477521</v>
      </c>
      <c r="M1179" s="29">
        <f t="shared" si="73"/>
        <v>0.3529999999999992</v>
      </c>
      <c r="N1179" s="30">
        <f t="shared" si="74"/>
        <v>1.1163385648463824</v>
      </c>
      <c r="O1179" s="31">
        <f t="shared" si="75"/>
        <v>1.2772137591953892</v>
      </c>
    </row>
    <row r="1180" spans="1:15" x14ac:dyDescent="0.25">
      <c r="A1180" t="s">
        <v>6917</v>
      </c>
      <c r="B1180" t="s">
        <v>2359</v>
      </c>
      <c r="C1180" s="3" t="s">
        <v>2360</v>
      </c>
      <c r="D1180" s="24">
        <v>7.6539999999999997E-2</v>
      </c>
      <c r="E1180" s="25">
        <v>9.8119999999999994</v>
      </c>
      <c r="F1180" s="25">
        <v>9.9440000000000008</v>
      </c>
      <c r="G1180" s="26">
        <v>-0.13220000000000001</v>
      </c>
      <c r="H1180" s="27">
        <v>6.1870000000000001E-2</v>
      </c>
      <c r="I1180" s="26">
        <v>2.1360000000000001</v>
      </c>
      <c r="J1180" s="28">
        <v>6</v>
      </c>
      <c r="K1180" s="27">
        <v>0.17937600000000001</v>
      </c>
      <c r="L1180" s="29">
        <f t="shared" si="72"/>
        <v>0.74623566477477521</v>
      </c>
      <c r="M1180" s="29">
        <f t="shared" si="73"/>
        <v>-0.13200000000000209</v>
      </c>
      <c r="N1180" s="30">
        <f t="shared" si="74"/>
        <v>1.1161115421115193</v>
      </c>
      <c r="O1180" s="31">
        <f t="shared" si="75"/>
        <v>0.91256548854345054</v>
      </c>
    </row>
    <row r="1181" spans="1:15" x14ac:dyDescent="0.25">
      <c r="A1181" t="s">
        <v>6918</v>
      </c>
      <c r="B1181" t="s">
        <v>2363</v>
      </c>
      <c r="C1181" s="3" t="s">
        <v>2364</v>
      </c>
      <c r="D1181" s="24">
        <v>7.6738000000000001E-2</v>
      </c>
      <c r="E1181" s="25">
        <v>8.0570000000000004</v>
      </c>
      <c r="F1181" s="25">
        <v>8.2609999999999992</v>
      </c>
      <c r="G1181" s="26">
        <v>-0.20449999999999999</v>
      </c>
      <c r="H1181" s="27">
        <v>9.5820000000000002E-2</v>
      </c>
      <c r="I1181" s="26">
        <v>2.1339999999999999</v>
      </c>
      <c r="J1181" s="28">
        <v>6</v>
      </c>
      <c r="K1181" s="27">
        <v>0.17951300000000001</v>
      </c>
      <c r="L1181" s="29">
        <f t="shared" si="72"/>
        <v>0.7459040951423217</v>
      </c>
      <c r="M1181" s="29">
        <f t="shared" si="73"/>
        <v>-0.20399999999999915</v>
      </c>
      <c r="N1181" s="30">
        <f t="shared" si="74"/>
        <v>1.1149895238799827</v>
      </c>
      <c r="O1181" s="31">
        <f t="shared" si="75"/>
        <v>0.86814022760104337</v>
      </c>
    </row>
    <row r="1182" spans="1:15" x14ac:dyDescent="0.25">
      <c r="A1182" t="s">
        <v>6919</v>
      </c>
      <c r="B1182" t="s">
        <v>2365</v>
      </c>
      <c r="C1182" s="3" t="s">
        <v>2366</v>
      </c>
      <c r="D1182" s="24">
        <v>7.6747999999999997E-2</v>
      </c>
      <c r="E1182" s="25">
        <v>9.2460000000000004</v>
      </c>
      <c r="F1182" s="25">
        <v>9.5990000000000002</v>
      </c>
      <c r="G1182" s="26">
        <v>-0.35249999999999998</v>
      </c>
      <c r="H1182" s="27">
        <v>0.16520000000000001</v>
      </c>
      <c r="I1182" s="26">
        <v>2.1339999999999999</v>
      </c>
      <c r="J1182" s="28">
        <v>6</v>
      </c>
      <c r="K1182" s="27">
        <v>0.17951300000000001</v>
      </c>
      <c r="L1182" s="29">
        <f t="shared" si="72"/>
        <v>0.7459040951423217</v>
      </c>
      <c r="M1182" s="29">
        <f t="shared" si="73"/>
        <v>-0.35299999999999943</v>
      </c>
      <c r="N1182" s="30">
        <f t="shared" si="74"/>
        <v>1.1149329331182822</v>
      </c>
      <c r="O1182" s="31">
        <f t="shared" si="75"/>
        <v>0.78295429625654311</v>
      </c>
    </row>
    <row r="1183" spans="1:15" x14ac:dyDescent="0.25">
      <c r="A1183" t="s">
        <v>6920</v>
      </c>
      <c r="B1183" t="s">
        <v>2367</v>
      </c>
      <c r="C1183" s="3" t="s">
        <v>2368</v>
      </c>
      <c r="D1183" s="24">
        <v>7.6901999999999998E-2</v>
      </c>
      <c r="E1183" s="25">
        <v>10.02</v>
      </c>
      <c r="F1183" s="25">
        <v>9.6359999999999992</v>
      </c>
      <c r="G1183" s="26">
        <v>0.3805</v>
      </c>
      <c r="H1183" s="27">
        <v>0.1784</v>
      </c>
      <c r="I1183" s="26">
        <v>2.133</v>
      </c>
      <c r="J1183" s="28">
        <v>6</v>
      </c>
      <c r="K1183" s="27">
        <v>0.17972199999999999</v>
      </c>
      <c r="L1183" s="29">
        <f t="shared" si="72"/>
        <v>0.74539875709364145</v>
      </c>
      <c r="M1183" s="29">
        <f t="shared" si="73"/>
        <v>0.38400000000000106</v>
      </c>
      <c r="N1183" s="30">
        <f t="shared" si="74"/>
        <v>1.1140623653004029</v>
      </c>
      <c r="O1183" s="31">
        <f t="shared" si="75"/>
        <v>1.3049549476889586</v>
      </c>
    </row>
    <row r="1184" spans="1:15" x14ac:dyDescent="0.25">
      <c r="A1184" t="s">
        <v>6921</v>
      </c>
      <c r="B1184" t="s">
        <v>2369</v>
      </c>
      <c r="C1184" s="3" t="s">
        <v>2370</v>
      </c>
      <c r="D1184" s="24">
        <v>7.7013999999999999E-2</v>
      </c>
      <c r="E1184" s="25">
        <v>8.9369999999999994</v>
      </c>
      <c r="F1184" s="25">
        <v>8.6980000000000004</v>
      </c>
      <c r="G1184" s="26">
        <v>0.23899999999999999</v>
      </c>
      <c r="H1184" s="27">
        <v>0.11210000000000001</v>
      </c>
      <c r="I1184" s="26">
        <v>2.1320000000000001</v>
      </c>
      <c r="J1184" s="28">
        <v>6</v>
      </c>
      <c r="K1184" s="27">
        <v>0.17983199999999999</v>
      </c>
      <c r="L1184" s="29">
        <f t="shared" si="72"/>
        <v>0.74513302569029294</v>
      </c>
      <c r="M1184" s="29">
        <f t="shared" si="73"/>
        <v>0.23899999999999866</v>
      </c>
      <c r="N1184" s="30">
        <f t="shared" si="74"/>
        <v>1.1134303193719959</v>
      </c>
      <c r="O1184" s="31">
        <f t="shared" si="75"/>
        <v>1.1801743433362006</v>
      </c>
    </row>
    <row r="1185" spans="1:15" x14ac:dyDescent="0.25">
      <c r="A1185" t="s">
        <v>6922</v>
      </c>
      <c r="B1185" t="s">
        <v>2371</v>
      </c>
      <c r="C1185" s="3" t="s">
        <v>2372</v>
      </c>
      <c r="D1185" s="24">
        <v>7.7117000000000005E-2</v>
      </c>
      <c r="E1185" s="25">
        <v>8.0549999999999997</v>
      </c>
      <c r="F1185" s="25">
        <v>7.74</v>
      </c>
      <c r="G1185" s="26">
        <v>0.31459999999999999</v>
      </c>
      <c r="H1185" s="27">
        <v>0.14760000000000001</v>
      </c>
      <c r="I1185" s="26">
        <v>2.1309999999999998</v>
      </c>
      <c r="J1185" s="28">
        <v>6</v>
      </c>
      <c r="K1185" s="27">
        <v>0.179919</v>
      </c>
      <c r="L1185" s="29">
        <f t="shared" si="72"/>
        <v>0.74492297139906272</v>
      </c>
      <c r="M1185" s="29">
        <f t="shared" si="73"/>
        <v>0.31499999999999972</v>
      </c>
      <c r="N1185" s="30">
        <f t="shared" si="74"/>
        <v>1.1128498736693817</v>
      </c>
      <c r="O1185" s="31">
        <f t="shared" si="75"/>
        <v>1.2440116532984686</v>
      </c>
    </row>
    <row r="1186" spans="1:15" x14ac:dyDescent="0.25">
      <c r="A1186" t="s">
        <v>6923</v>
      </c>
      <c r="B1186" t="s">
        <v>2373</v>
      </c>
      <c r="C1186" s="3" t="s">
        <v>2374</v>
      </c>
      <c r="D1186" s="24">
        <v>7.7614000000000002E-2</v>
      </c>
      <c r="E1186" s="25">
        <v>9.5419999999999998</v>
      </c>
      <c r="F1186" s="25">
        <v>9.375</v>
      </c>
      <c r="G1186" s="26">
        <v>0.16700000000000001</v>
      </c>
      <c r="H1186" s="27">
        <v>7.8549999999999995E-2</v>
      </c>
      <c r="I1186" s="26">
        <v>2.1259999999999999</v>
      </c>
      <c r="J1186" s="28">
        <v>6</v>
      </c>
      <c r="K1186" s="27">
        <v>0.18090800000000001</v>
      </c>
      <c r="L1186" s="29">
        <f t="shared" si="72"/>
        <v>0.74254222761761179</v>
      </c>
      <c r="M1186" s="29">
        <f t="shared" si="73"/>
        <v>0.16700000000000023</v>
      </c>
      <c r="N1186" s="30">
        <f t="shared" si="74"/>
        <v>1.1100599337115549</v>
      </c>
      <c r="O1186" s="31">
        <f t="shared" si="75"/>
        <v>1.1227214220736086</v>
      </c>
    </row>
    <row r="1187" spans="1:15" x14ac:dyDescent="0.25">
      <c r="A1187" t="s">
        <v>6924</v>
      </c>
      <c r="B1187" t="s">
        <v>2375</v>
      </c>
      <c r="C1187" s="3" t="s">
        <v>2376</v>
      </c>
      <c r="D1187" s="24">
        <v>7.7672000000000005E-2</v>
      </c>
      <c r="E1187" s="25">
        <v>7.077</v>
      </c>
      <c r="F1187" s="25">
        <v>7.4530000000000003</v>
      </c>
      <c r="G1187" s="26">
        <v>-0.37580000000000002</v>
      </c>
      <c r="H1187" s="27">
        <v>0.17680000000000001</v>
      </c>
      <c r="I1187" s="26">
        <v>2.1259999999999999</v>
      </c>
      <c r="J1187" s="28">
        <v>6</v>
      </c>
      <c r="K1187" s="27">
        <v>0.18090800000000001</v>
      </c>
      <c r="L1187" s="29">
        <f t="shared" si="72"/>
        <v>0.74254222761761179</v>
      </c>
      <c r="M1187" s="29">
        <f t="shared" si="73"/>
        <v>-0.37600000000000022</v>
      </c>
      <c r="N1187" s="30">
        <f t="shared" si="74"/>
        <v>1.1097355119205146</v>
      </c>
      <c r="O1187" s="31">
        <f t="shared" si="75"/>
        <v>0.7705711083584077</v>
      </c>
    </row>
    <row r="1188" spans="1:15" x14ac:dyDescent="0.25">
      <c r="A1188" t="s">
        <v>6925</v>
      </c>
      <c r="B1188" t="s">
        <v>2379</v>
      </c>
      <c r="C1188" s="3" t="s">
        <v>2380</v>
      </c>
      <c r="D1188" s="24">
        <v>7.8084000000000001E-2</v>
      </c>
      <c r="E1188" s="25">
        <v>10.37</v>
      </c>
      <c r="F1188" s="25">
        <v>9.6539999999999999</v>
      </c>
      <c r="G1188" s="26">
        <v>0.71509999999999996</v>
      </c>
      <c r="H1188" s="27">
        <v>0.33700000000000002</v>
      </c>
      <c r="I1188" s="26">
        <v>2.1219999999999999</v>
      </c>
      <c r="J1188" s="28">
        <v>6</v>
      </c>
      <c r="K1188" s="27">
        <v>0.181562</v>
      </c>
      <c r="L1188" s="29">
        <f t="shared" si="72"/>
        <v>0.74097504192291053</v>
      </c>
      <c r="M1188" s="29">
        <f t="shared" si="73"/>
        <v>0.71599999999999919</v>
      </c>
      <c r="N1188" s="30">
        <f t="shared" si="74"/>
        <v>1.1074379472185194</v>
      </c>
      <c r="O1188" s="31">
        <f t="shared" si="75"/>
        <v>1.6426214015041307</v>
      </c>
    </row>
    <row r="1189" spans="1:15" x14ac:dyDescent="0.25">
      <c r="A1189" t="s">
        <v>6926</v>
      </c>
      <c r="B1189" t="s">
        <v>2377</v>
      </c>
      <c r="C1189" s="3" t="s">
        <v>2378</v>
      </c>
      <c r="D1189" s="24">
        <v>7.8084000000000001E-2</v>
      </c>
      <c r="E1189" s="25">
        <v>7.5910000000000002</v>
      </c>
      <c r="F1189" s="25">
        <v>7.9909999999999997</v>
      </c>
      <c r="G1189" s="26">
        <v>-0.40039999999999998</v>
      </c>
      <c r="H1189" s="27">
        <v>0.18870000000000001</v>
      </c>
      <c r="I1189" s="26">
        <v>2.1219999999999999</v>
      </c>
      <c r="J1189" s="28">
        <v>6</v>
      </c>
      <c r="K1189" s="27">
        <v>0.181562</v>
      </c>
      <c r="L1189" s="29">
        <f t="shared" si="72"/>
        <v>0.74097504192291053</v>
      </c>
      <c r="M1189" s="29">
        <f t="shared" si="73"/>
        <v>-0.40000000000000008</v>
      </c>
      <c r="N1189" s="30">
        <f t="shared" si="74"/>
        <v>1.1074379472185194</v>
      </c>
      <c r="O1189" s="31">
        <f t="shared" si="75"/>
        <v>0.75785828325519899</v>
      </c>
    </row>
    <row r="1190" spans="1:15" x14ac:dyDescent="0.25">
      <c r="A1190" t="s">
        <v>6927</v>
      </c>
      <c r="B1190" t="s">
        <v>2381</v>
      </c>
      <c r="C1190" s="3" t="s">
        <v>2382</v>
      </c>
      <c r="D1190" s="24">
        <v>7.8557000000000002E-2</v>
      </c>
      <c r="E1190" s="25">
        <v>9.0660000000000007</v>
      </c>
      <c r="F1190" s="25">
        <v>8.843</v>
      </c>
      <c r="G1190" s="26">
        <v>0.22320000000000001</v>
      </c>
      <c r="H1190" s="27">
        <v>0.10539999999999999</v>
      </c>
      <c r="I1190" s="26">
        <v>2.117</v>
      </c>
      <c r="J1190" s="28">
        <v>6</v>
      </c>
      <c r="K1190" s="27">
        <v>0.182508</v>
      </c>
      <c r="L1190" s="29">
        <f t="shared" si="72"/>
        <v>0.73871809405842592</v>
      </c>
      <c r="M1190" s="29">
        <f t="shared" si="73"/>
        <v>0.22300000000000067</v>
      </c>
      <c r="N1190" s="30">
        <f t="shared" si="74"/>
        <v>1.1048151101030208</v>
      </c>
      <c r="O1190" s="31">
        <f t="shared" si="75"/>
        <v>1.167158101818468</v>
      </c>
    </row>
    <row r="1191" spans="1:15" x14ac:dyDescent="0.25">
      <c r="A1191" t="s">
        <v>6928</v>
      </c>
      <c r="B1191" t="s">
        <v>2385</v>
      </c>
      <c r="C1191" s="3" t="s">
        <v>2386</v>
      </c>
      <c r="D1191" s="24">
        <v>7.8781000000000004E-2</v>
      </c>
      <c r="E1191" s="25">
        <v>10.02</v>
      </c>
      <c r="F1191" s="25">
        <v>9.7560000000000002</v>
      </c>
      <c r="G1191" s="26">
        <v>0.26169999999999999</v>
      </c>
      <c r="H1191" s="27">
        <v>0.1237</v>
      </c>
      <c r="I1191" s="26">
        <v>2.1150000000000002</v>
      </c>
      <c r="J1191" s="28">
        <v>6</v>
      </c>
      <c r="K1191" s="27">
        <v>0.18271999999999999</v>
      </c>
      <c r="L1191" s="29">
        <f t="shared" si="72"/>
        <v>0.73821391343424592</v>
      </c>
      <c r="M1191" s="29">
        <f t="shared" si="73"/>
        <v>0.26400000000000023</v>
      </c>
      <c r="N1191" s="30">
        <f t="shared" si="74"/>
        <v>1.1035785108113965</v>
      </c>
      <c r="O1191" s="31">
        <f t="shared" si="75"/>
        <v>1.2008034274852089</v>
      </c>
    </row>
    <row r="1192" spans="1:15" x14ac:dyDescent="0.25">
      <c r="A1192" t="s">
        <v>6929</v>
      </c>
      <c r="B1192" t="s">
        <v>2383</v>
      </c>
      <c r="C1192" s="3" t="s">
        <v>2384</v>
      </c>
      <c r="D1192" s="24">
        <v>7.8733999999999998E-2</v>
      </c>
      <c r="E1192" s="25">
        <v>8.4440000000000008</v>
      </c>
      <c r="F1192" s="25">
        <v>7.71</v>
      </c>
      <c r="G1192" s="26">
        <v>0.73419999999999996</v>
      </c>
      <c r="H1192" s="27">
        <v>0.34699999999999998</v>
      </c>
      <c r="I1192" s="26">
        <v>2.1160000000000001</v>
      </c>
      <c r="J1192" s="28">
        <v>6</v>
      </c>
      <c r="K1192" s="27">
        <v>0.18271999999999999</v>
      </c>
      <c r="L1192" s="29">
        <f t="shared" si="72"/>
        <v>0.73821391343424592</v>
      </c>
      <c r="M1192" s="29">
        <f t="shared" si="73"/>
        <v>0.73400000000000054</v>
      </c>
      <c r="N1192" s="30">
        <f t="shared" si="74"/>
        <v>1.1038376841124182</v>
      </c>
      <c r="O1192" s="31">
        <f t="shared" si="75"/>
        <v>1.6632441967498133</v>
      </c>
    </row>
    <row r="1193" spans="1:15" x14ac:dyDescent="0.25">
      <c r="A1193" t="s">
        <v>6930</v>
      </c>
      <c r="B1193" t="s">
        <v>2387</v>
      </c>
      <c r="C1193" s="3" t="s">
        <v>2388</v>
      </c>
      <c r="D1193" s="24">
        <v>7.9015000000000002E-2</v>
      </c>
      <c r="E1193" s="25">
        <v>8.923</v>
      </c>
      <c r="F1193" s="25">
        <v>8.6059999999999999</v>
      </c>
      <c r="G1193" s="26">
        <v>0.317</v>
      </c>
      <c r="H1193" s="27">
        <v>0.15</v>
      </c>
      <c r="I1193" s="26">
        <v>2.113</v>
      </c>
      <c r="J1193" s="28">
        <v>6</v>
      </c>
      <c r="K1193" s="27">
        <v>0.18304400000000001</v>
      </c>
      <c r="L1193" s="29">
        <f t="shared" si="72"/>
        <v>0.73744450228967851</v>
      </c>
      <c r="M1193" s="29">
        <f t="shared" si="73"/>
        <v>0.31699999999999967</v>
      </c>
      <c r="N1193" s="30">
        <f t="shared" si="74"/>
        <v>1.102290455559565</v>
      </c>
      <c r="O1193" s="31">
        <f t="shared" si="75"/>
        <v>1.2457374155694736</v>
      </c>
    </row>
    <row r="1194" spans="1:15" x14ac:dyDescent="0.25">
      <c r="A1194" t="s">
        <v>6931</v>
      </c>
      <c r="B1194" t="s">
        <v>2389</v>
      </c>
      <c r="C1194" s="3" t="s">
        <v>2390</v>
      </c>
      <c r="D1194" s="24">
        <v>7.9062999999999994E-2</v>
      </c>
      <c r="E1194" s="25">
        <v>13.26</v>
      </c>
      <c r="F1194" s="25">
        <v>12.56</v>
      </c>
      <c r="G1194" s="26">
        <v>0.70099999999999996</v>
      </c>
      <c r="H1194" s="27">
        <v>0.33179999999999998</v>
      </c>
      <c r="I1194" s="26">
        <v>2.113</v>
      </c>
      <c r="J1194" s="28">
        <v>6</v>
      </c>
      <c r="K1194" s="27">
        <v>0.18304400000000001</v>
      </c>
      <c r="L1194" s="29">
        <f t="shared" si="72"/>
        <v>0.73744450228967851</v>
      </c>
      <c r="M1194" s="29">
        <f t="shared" si="73"/>
        <v>0.69999999999999896</v>
      </c>
      <c r="N1194" s="30">
        <f t="shared" si="74"/>
        <v>1.1020267106264048</v>
      </c>
      <c r="O1194" s="31">
        <f t="shared" si="75"/>
        <v>1.6245047927124698</v>
      </c>
    </row>
    <row r="1195" spans="1:15" x14ac:dyDescent="0.25">
      <c r="A1195" t="s">
        <v>6932</v>
      </c>
      <c r="B1195" t="s">
        <v>2391</v>
      </c>
      <c r="C1195" s="3" t="s">
        <v>2392</v>
      </c>
      <c r="D1195" s="24">
        <v>7.9118999999999995E-2</v>
      </c>
      <c r="E1195" s="25">
        <v>11.47</v>
      </c>
      <c r="F1195" s="25">
        <v>11.23</v>
      </c>
      <c r="G1195" s="26">
        <v>0.23400000000000001</v>
      </c>
      <c r="H1195" s="27">
        <v>0.1108</v>
      </c>
      <c r="I1195" s="26">
        <v>2.1120000000000001</v>
      </c>
      <c r="J1195" s="28">
        <v>6</v>
      </c>
      <c r="K1195" s="27">
        <v>0.18304400000000001</v>
      </c>
      <c r="L1195" s="29">
        <f t="shared" si="72"/>
        <v>0.73744450228967851</v>
      </c>
      <c r="M1195" s="29">
        <f t="shared" si="73"/>
        <v>0.24000000000000041</v>
      </c>
      <c r="N1195" s="30">
        <f t="shared" si="74"/>
        <v>1.1017192105062568</v>
      </c>
      <c r="O1195" s="31">
        <f t="shared" si="75"/>
        <v>1.1809926614295307</v>
      </c>
    </row>
    <row r="1196" spans="1:15" x14ac:dyDescent="0.25">
      <c r="A1196" t="s">
        <v>6933</v>
      </c>
      <c r="B1196" t="s">
        <v>2393</v>
      </c>
      <c r="C1196" s="3" t="s">
        <v>2394</v>
      </c>
      <c r="D1196" s="24">
        <v>7.9238000000000003E-2</v>
      </c>
      <c r="E1196" s="25">
        <v>8.7309999999999999</v>
      </c>
      <c r="F1196" s="25">
        <v>9.0980000000000008</v>
      </c>
      <c r="G1196" s="26">
        <v>-0.3674</v>
      </c>
      <c r="H1196" s="27">
        <v>0.17399999999999999</v>
      </c>
      <c r="I1196" s="26">
        <v>2.1110000000000002</v>
      </c>
      <c r="J1196" s="28">
        <v>6</v>
      </c>
      <c r="K1196" s="27">
        <v>0.183166</v>
      </c>
      <c r="L1196" s="29">
        <f t="shared" si="72"/>
        <v>0.73715513865268167</v>
      </c>
      <c r="M1196" s="29">
        <f t="shared" si="73"/>
        <v>-0.36700000000000021</v>
      </c>
      <c r="N1196" s="30">
        <f t="shared" si="74"/>
        <v>1.1010664947680877</v>
      </c>
      <c r="O1196" s="31">
        <f t="shared" si="75"/>
        <v>0.7753932063470047</v>
      </c>
    </row>
    <row r="1197" spans="1:15" x14ac:dyDescent="0.25">
      <c r="A1197" t="s">
        <v>6934</v>
      </c>
      <c r="B1197" t="s">
        <v>2395</v>
      </c>
      <c r="C1197" s="3" t="s">
        <v>2396</v>
      </c>
      <c r="D1197" s="24">
        <v>7.9335000000000003E-2</v>
      </c>
      <c r="E1197" s="25">
        <v>8.8019999999999996</v>
      </c>
      <c r="F1197" s="25">
        <v>8.2910000000000004</v>
      </c>
      <c r="G1197" s="26">
        <v>0.51100000000000001</v>
      </c>
      <c r="H1197" s="27">
        <v>0.24210000000000001</v>
      </c>
      <c r="I1197" s="26">
        <v>2.11</v>
      </c>
      <c r="J1197" s="28">
        <v>6</v>
      </c>
      <c r="K1197" s="27">
        <v>0.183203</v>
      </c>
      <c r="L1197" s="29">
        <f t="shared" si="72"/>
        <v>0.73706741891719607</v>
      </c>
      <c r="M1197" s="29">
        <f t="shared" si="73"/>
        <v>0.51099999999999968</v>
      </c>
      <c r="N1197" s="30">
        <f t="shared" si="74"/>
        <v>1.1005351739253342</v>
      </c>
      <c r="O1197" s="31">
        <f t="shared" si="75"/>
        <v>1.4250376141487839</v>
      </c>
    </row>
    <row r="1198" spans="1:15" x14ac:dyDescent="0.25">
      <c r="A1198" t="s">
        <v>6935</v>
      </c>
      <c r="B1198" t="s">
        <v>2397</v>
      </c>
      <c r="C1198" s="3" t="s">
        <v>2398</v>
      </c>
      <c r="D1198" s="24">
        <v>7.9386999999999999E-2</v>
      </c>
      <c r="E1198" s="25">
        <v>10.41</v>
      </c>
      <c r="F1198" s="25">
        <v>10.06</v>
      </c>
      <c r="G1198" s="26">
        <v>0.34989999999999999</v>
      </c>
      <c r="H1198" s="27">
        <v>0.1658</v>
      </c>
      <c r="I1198" s="26">
        <v>2.11</v>
      </c>
      <c r="J1198" s="28">
        <v>6</v>
      </c>
      <c r="K1198" s="27">
        <v>0.183203</v>
      </c>
      <c r="L1198" s="29">
        <f t="shared" si="72"/>
        <v>0.73706741891719607</v>
      </c>
      <c r="M1198" s="29">
        <f t="shared" si="73"/>
        <v>0.35000000000000064</v>
      </c>
      <c r="N1198" s="30">
        <f t="shared" si="74"/>
        <v>1.1002506095440014</v>
      </c>
      <c r="O1198" s="31">
        <f t="shared" si="75"/>
        <v>1.2745606273192627</v>
      </c>
    </row>
    <row r="1199" spans="1:15" x14ac:dyDescent="0.25">
      <c r="A1199" t="s">
        <v>6936</v>
      </c>
      <c r="B1199" t="s">
        <v>2401</v>
      </c>
      <c r="C1199" s="3" t="s">
        <v>2402</v>
      </c>
      <c r="D1199" s="24">
        <v>7.9796000000000006E-2</v>
      </c>
      <c r="E1199" s="25">
        <v>10.7</v>
      </c>
      <c r="F1199" s="25">
        <v>10.83</v>
      </c>
      <c r="G1199" s="26">
        <v>-0.13100000000000001</v>
      </c>
      <c r="H1199" s="27">
        <v>6.2219999999999998E-2</v>
      </c>
      <c r="I1199" s="26">
        <v>2.1059999999999999</v>
      </c>
      <c r="J1199" s="28">
        <v>6</v>
      </c>
      <c r="K1199" s="27">
        <v>0.183839</v>
      </c>
      <c r="L1199" s="29">
        <f t="shared" si="72"/>
        <v>0.73556235101252998</v>
      </c>
      <c r="M1199" s="29">
        <f t="shared" si="73"/>
        <v>-0.13000000000000131</v>
      </c>
      <c r="N1199" s="30">
        <f t="shared" si="74"/>
        <v>1.0980188783418439</v>
      </c>
      <c r="O1199" s="31">
        <f t="shared" si="75"/>
        <v>0.91383145022939971</v>
      </c>
    </row>
    <row r="1200" spans="1:15" x14ac:dyDescent="0.25">
      <c r="A1200" t="s">
        <v>6937</v>
      </c>
      <c r="B1200" t="s">
        <v>2399</v>
      </c>
      <c r="C1200" s="3" t="s">
        <v>2400</v>
      </c>
      <c r="D1200" s="24">
        <v>7.9740000000000005E-2</v>
      </c>
      <c r="E1200" s="25">
        <v>8.7680000000000007</v>
      </c>
      <c r="F1200" s="25">
        <v>8.5020000000000007</v>
      </c>
      <c r="G1200" s="26">
        <v>0.26529999999999998</v>
      </c>
      <c r="H1200" s="27">
        <v>0.12590000000000001</v>
      </c>
      <c r="I1200" s="26">
        <v>2.1070000000000002</v>
      </c>
      <c r="J1200" s="28">
        <v>6</v>
      </c>
      <c r="K1200" s="27">
        <v>0.183839</v>
      </c>
      <c r="L1200" s="29">
        <f t="shared" si="72"/>
        <v>0.73556235101252998</v>
      </c>
      <c r="M1200" s="29">
        <f t="shared" si="73"/>
        <v>0.26599999999999951</v>
      </c>
      <c r="N1200" s="30">
        <f t="shared" si="74"/>
        <v>1.0983237686736242</v>
      </c>
      <c r="O1200" s="31">
        <f t="shared" si="75"/>
        <v>1.2024692488981772</v>
      </c>
    </row>
    <row r="1201" spans="1:15" x14ac:dyDescent="0.25">
      <c r="A1201" t="s">
        <v>6938</v>
      </c>
      <c r="B1201" t="s">
        <v>2403</v>
      </c>
      <c r="C1201" s="3" t="s">
        <v>2404</v>
      </c>
      <c r="D1201" s="24">
        <v>8.0353999999999995E-2</v>
      </c>
      <c r="E1201" s="25">
        <v>9.9979999999999993</v>
      </c>
      <c r="F1201" s="25">
        <v>10.199999999999999</v>
      </c>
      <c r="G1201" s="26">
        <v>-0.19939999999999999</v>
      </c>
      <c r="H1201" s="27">
        <v>9.4899999999999998E-2</v>
      </c>
      <c r="I1201" s="26">
        <v>2.101</v>
      </c>
      <c r="J1201" s="28">
        <v>6</v>
      </c>
      <c r="K1201" s="27">
        <v>0.184971</v>
      </c>
      <c r="L1201" s="29">
        <f t="shared" si="72"/>
        <v>0.73289635552789412</v>
      </c>
      <c r="M1201" s="29">
        <f t="shared" si="73"/>
        <v>-0.20199999999999957</v>
      </c>
      <c r="N1201" s="30">
        <f t="shared" si="74"/>
        <v>1.0949924993027675</v>
      </c>
      <c r="O1201" s="31">
        <f t="shared" si="75"/>
        <v>0.86934456009002192</v>
      </c>
    </row>
    <row r="1202" spans="1:15" x14ac:dyDescent="0.25">
      <c r="A1202" t="s">
        <v>6939</v>
      </c>
      <c r="B1202" t="s">
        <v>2405</v>
      </c>
      <c r="C1202" s="3" t="s">
        <v>2406</v>
      </c>
      <c r="D1202" s="24">
        <v>8.0559000000000006E-2</v>
      </c>
      <c r="E1202" s="25">
        <v>10.47</v>
      </c>
      <c r="F1202" s="25">
        <v>10.55</v>
      </c>
      <c r="G1202" s="26">
        <v>-7.8060000000000004E-2</v>
      </c>
      <c r="H1202" s="27">
        <v>3.7190000000000001E-2</v>
      </c>
      <c r="I1202" s="26">
        <v>2.0990000000000002</v>
      </c>
      <c r="J1202" s="28">
        <v>6</v>
      </c>
      <c r="K1202" s="27">
        <v>0.18529000000000001</v>
      </c>
      <c r="L1202" s="29">
        <f t="shared" si="72"/>
        <v>0.73214801868439483</v>
      </c>
      <c r="M1202" s="29">
        <f t="shared" si="73"/>
        <v>-8.0000000000000529E-2</v>
      </c>
      <c r="N1202" s="30">
        <f t="shared" si="74"/>
        <v>1.0938859334323106</v>
      </c>
      <c r="O1202" s="31">
        <f t="shared" si="75"/>
        <v>0.94605764672559556</v>
      </c>
    </row>
    <row r="1203" spans="1:15" x14ac:dyDescent="0.25">
      <c r="A1203" t="s">
        <v>6940</v>
      </c>
      <c r="B1203" t="s">
        <v>2407</v>
      </c>
      <c r="C1203" s="3" t="s">
        <v>2408</v>
      </c>
      <c r="D1203" s="24">
        <v>8.0776000000000001E-2</v>
      </c>
      <c r="E1203" s="25">
        <v>8.9429999999999996</v>
      </c>
      <c r="F1203" s="25">
        <v>8.5020000000000007</v>
      </c>
      <c r="G1203" s="26">
        <v>0.44140000000000001</v>
      </c>
      <c r="H1203" s="27">
        <v>0.21049999999999999</v>
      </c>
      <c r="I1203" s="26">
        <v>2.097</v>
      </c>
      <c r="J1203" s="28">
        <v>6</v>
      </c>
      <c r="K1203" s="27">
        <v>0.18563399999999999</v>
      </c>
      <c r="L1203" s="29">
        <f t="shared" si="72"/>
        <v>0.73134247714700851</v>
      </c>
      <c r="M1203" s="29">
        <f t="shared" si="73"/>
        <v>0.44099999999999817</v>
      </c>
      <c r="N1203" s="30">
        <f t="shared" si="74"/>
        <v>1.0927176567483421</v>
      </c>
      <c r="O1203" s="31">
        <f t="shared" si="75"/>
        <v>1.357544979880005</v>
      </c>
    </row>
    <row r="1204" spans="1:15" x14ac:dyDescent="0.25">
      <c r="A1204" t="s">
        <v>6941</v>
      </c>
      <c r="B1204" t="s">
        <v>2409</v>
      </c>
      <c r="C1204" s="3" t="s">
        <v>2410</v>
      </c>
      <c r="D1204" s="24">
        <v>8.0887000000000001E-2</v>
      </c>
      <c r="E1204" s="25">
        <v>8.8460000000000001</v>
      </c>
      <c r="F1204" s="25">
        <v>8.5139999999999993</v>
      </c>
      <c r="G1204" s="26">
        <v>0.33200000000000002</v>
      </c>
      <c r="H1204" s="27">
        <v>0.15840000000000001</v>
      </c>
      <c r="I1204" s="26">
        <v>2.0960000000000001</v>
      </c>
      <c r="J1204" s="28">
        <v>6</v>
      </c>
      <c r="K1204" s="27">
        <v>0.18573400000000001</v>
      </c>
      <c r="L1204" s="29">
        <f t="shared" si="72"/>
        <v>0.73110858812458324</v>
      </c>
      <c r="M1204" s="29">
        <f t="shared" si="73"/>
        <v>0.33200000000000085</v>
      </c>
      <c r="N1204" s="30">
        <f t="shared" si="74"/>
        <v>1.0921212717367221</v>
      </c>
      <c r="O1204" s="31">
        <f t="shared" si="75"/>
        <v>1.2587571735048584</v>
      </c>
    </row>
    <row r="1205" spans="1:15" x14ac:dyDescent="0.25">
      <c r="A1205" t="s">
        <v>6942</v>
      </c>
      <c r="B1205" t="s">
        <v>2411</v>
      </c>
      <c r="C1205" s="3" t="s">
        <v>2412</v>
      </c>
      <c r="D1205" s="24">
        <v>8.1017000000000006E-2</v>
      </c>
      <c r="E1205" s="25">
        <v>10.130000000000001</v>
      </c>
      <c r="F1205" s="25">
        <v>9.9749999999999996</v>
      </c>
      <c r="G1205" s="26">
        <v>0.15590000000000001</v>
      </c>
      <c r="H1205" s="27">
        <v>7.4410000000000004E-2</v>
      </c>
      <c r="I1205" s="26">
        <v>2.0950000000000002</v>
      </c>
      <c r="J1205" s="28">
        <v>6</v>
      </c>
      <c r="K1205" s="27">
        <v>0.18587899999999999</v>
      </c>
      <c r="L1205" s="29">
        <f t="shared" si="72"/>
        <v>0.73076967262339365</v>
      </c>
      <c r="M1205" s="29">
        <f t="shared" si="73"/>
        <v>0.15500000000000017</v>
      </c>
      <c r="N1205" s="30">
        <f t="shared" si="74"/>
        <v>1.0914238424603522</v>
      </c>
      <c r="O1205" s="31">
        <f t="shared" si="75"/>
        <v>1.1134216182286865</v>
      </c>
    </row>
    <row r="1206" spans="1:15" x14ac:dyDescent="0.25">
      <c r="A1206" t="s">
        <v>6943</v>
      </c>
      <c r="B1206" t="s">
        <v>2413</v>
      </c>
      <c r="C1206" s="3" t="s">
        <v>2414</v>
      </c>
      <c r="D1206" s="24">
        <v>8.1220000000000001E-2</v>
      </c>
      <c r="E1206" s="25">
        <v>8.4030000000000005</v>
      </c>
      <c r="F1206" s="25">
        <v>8.625</v>
      </c>
      <c r="G1206" s="26">
        <v>-0.22220000000000001</v>
      </c>
      <c r="H1206" s="27">
        <v>0.1061</v>
      </c>
      <c r="I1206" s="26">
        <v>2.093</v>
      </c>
      <c r="J1206" s="28">
        <v>6</v>
      </c>
      <c r="K1206" s="27">
        <v>0.18618799999999999</v>
      </c>
      <c r="L1206" s="29">
        <f t="shared" si="72"/>
        <v>0.73004831315985053</v>
      </c>
      <c r="M1206" s="29">
        <f t="shared" si="73"/>
        <v>-0.22200000000000045</v>
      </c>
      <c r="N1206" s="30">
        <f t="shared" si="74"/>
        <v>1.0903370148459817</v>
      </c>
      <c r="O1206" s="31">
        <f t="shared" si="75"/>
        <v>0.85737603663417139</v>
      </c>
    </row>
    <row r="1207" spans="1:15" x14ac:dyDescent="0.25">
      <c r="A1207" t="s">
        <v>6944</v>
      </c>
      <c r="B1207" t="s">
        <v>2415</v>
      </c>
      <c r="C1207" s="3" t="s">
        <v>2416</v>
      </c>
      <c r="D1207" s="24">
        <v>8.1352999999999995E-2</v>
      </c>
      <c r="E1207" s="25">
        <v>10.14</v>
      </c>
      <c r="F1207" s="25">
        <v>9.6940000000000008</v>
      </c>
      <c r="G1207" s="26">
        <v>0.44219999999999998</v>
      </c>
      <c r="H1207" s="27">
        <v>0.2114</v>
      </c>
      <c r="I1207" s="26">
        <v>2.0920000000000001</v>
      </c>
      <c r="J1207" s="28">
        <v>6</v>
      </c>
      <c r="K1207" s="27">
        <v>0.18634000000000001</v>
      </c>
      <c r="L1207" s="29">
        <f t="shared" si="72"/>
        <v>0.72969390884708685</v>
      </c>
      <c r="M1207" s="29">
        <f t="shared" si="73"/>
        <v>0.4460000000000004</v>
      </c>
      <c r="N1207" s="30">
        <f t="shared" si="74"/>
        <v>1.0896264272455902</v>
      </c>
      <c r="O1207" s="31">
        <f t="shared" si="75"/>
        <v>1.3622580346404884</v>
      </c>
    </row>
    <row r="1208" spans="1:15" x14ac:dyDescent="0.25">
      <c r="A1208" t="s">
        <v>6945</v>
      </c>
      <c r="B1208" t="s">
        <v>2417</v>
      </c>
      <c r="C1208" s="3" t="s">
        <v>2418</v>
      </c>
      <c r="D1208" s="24">
        <v>8.1589999999999996E-2</v>
      </c>
      <c r="E1208" s="25">
        <v>8.5340000000000007</v>
      </c>
      <c r="F1208" s="25">
        <v>8.3010000000000002</v>
      </c>
      <c r="G1208" s="26">
        <v>0.2331</v>
      </c>
      <c r="H1208" s="27">
        <v>0.1115</v>
      </c>
      <c r="I1208" s="26">
        <v>2.09</v>
      </c>
      <c r="J1208" s="28">
        <v>6</v>
      </c>
      <c r="K1208" s="27">
        <v>0.18672800000000001</v>
      </c>
      <c r="L1208" s="29">
        <f t="shared" si="72"/>
        <v>0.72879055439302731</v>
      </c>
      <c r="M1208" s="29">
        <f t="shared" si="73"/>
        <v>0.23299999999999965</v>
      </c>
      <c r="N1208" s="30">
        <f t="shared" si="74"/>
        <v>1.0883630668705577</v>
      </c>
      <c r="O1208" s="31">
        <f t="shared" si="75"/>
        <v>1.1752763284197705</v>
      </c>
    </row>
    <row r="1209" spans="1:15" x14ac:dyDescent="0.25">
      <c r="A1209" t="s">
        <v>6946</v>
      </c>
      <c r="B1209" t="s">
        <v>2419</v>
      </c>
      <c r="C1209" s="3" t="s">
        <v>2420</v>
      </c>
      <c r="D1209" s="24">
        <v>8.1792000000000004E-2</v>
      </c>
      <c r="E1209" s="25">
        <v>11.77</v>
      </c>
      <c r="F1209" s="25">
        <v>11.63</v>
      </c>
      <c r="G1209" s="26">
        <v>0.14810000000000001</v>
      </c>
      <c r="H1209" s="27">
        <v>7.0940000000000003E-2</v>
      </c>
      <c r="I1209" s="26">
        <v>2.0880000000000001</v>
      </c>
      <c r="J1209" s="28">
        <v>6</v>
      </c>
      <c r="K1209" s="27">
        <v>0.186886</v>
      </c>
      <c r="L1209" s="29">
        <f t="shared" si="72"/>
        <v>0.72842323126149944</v>
      </c>
      <c r="M1209" s="29">
        <f t="shared" si="73"/>
        <v>0.13999999999999763</v>
      </c>
      <c r="N1209" s="30">
        <f t="shared" si="74"/>
        <v>1.0872891721937314</v>
      </c>
      <c r="O1209" s="31">
        <f t="shared" si="75"/>
        <v>1.1019051158766089</v>
      </c>
    </row>
    <row r="1210" spans="1:15" x14ac:dyDescent="0.25">
      <c r="A1210" t="s">
        <v>6947</v>
      </c>
      <c r="B1210" t="s">
        <v>2421</v>
      </c>
      <c r="C1210" s="3" t="s">
        <v>2422</v>
      </c>
      <c r="D1210" s="24">
        <v>8.1795000000000007E-2</v>
      </c>
      <c r="E1210" s="25">
        <v>9.81</v>
      </c>
      <c r="F1210" s="25">
        <v>10.02</v>
      </c>
      <c r="G1210" s="26">
        <v>-0.20749999999999999</v>
      </c>
      <c r="H1210" s="27">
        <v>9.9379999999999996E-2</v>
      </c>
      <c r="I1210" s="26">
        <v>2.0880000000000001</v>
      </c>
      <c r="J1210" s="28">
        <v>6</v>
      </c>
      <c r="K1210" s="27">
        <v>0.186886</v>
      </c>
      <c r="L1210" s="29">
        <f t="shared" si="72"/>
        <v>0.72842323126149944</v>
      </c>
      <c r="M1210" s="29">
        <f t="shared" si="73"/>
        <v>-0.20999999999999927</v>
      </c>
      <c r="N1210" s="30">
        <f t="shared" si="74"/>
        <v>1.0872732432574974</v>
      </c>
      <c r="O1210" s="31">
        <f t="shared" si="75"/>
        <v>0.86453723130786564</v>
      </c>
    </row>
    <row r="1211" spans="1:15" x14ac:dyDescent="0.25">
      <c r="A1211" t="s">
        <v>6948</v>
      </c>
      <c r="B1211" t="s">
        <v>2427</v>
      </c>
      <c r="C1211" s="3" t="s">
        <v>2428</v>
      </c>
      <c r="D1211" s="24">
        <v>8.2008999999999999E-2</v>
      </c>
      <c r="E1211" s="25">
        <v>10.029999999999999</v>
      </c>
      <c r="F1211" s="25">
        <v>9.6769999999999996</v>
      </c>
      <c r="G1211" s="26">
        <v>0.34960000000000002</v>
      </c>
      <c r="H1211" s="27">
        <v>0.1676</v>
      </c>
      <c r="I1211" s="26">
        <v>2.0859999999999999</v>
      </c>
      <c r="J1211" s="28">
        <v>6</v>
      </c>
      <c r="K1211" s="27">
        <v>0.186913</v>
      </c>
      <c r="L1211" s="29">
        <f t="shared" si="72"/>
        <v>0.72836049192280794</v>
      </c>
      <c r="M1211" s="29">
        <f t="shared" si="73"/>
        <v>0.35299999999999943</v>
      </c>
      <c r="N1211" s="30">
        <f t="shared" si="74"/>
        <v>1.0861384837644086</v>
      </c>
      <c r="O1211" s="31">
        <f t="shared" si="75"/>
        <v>1.2772137591953894</v>
      </c>
    </row>
    <row r="1212" spans="1:15" x14ac:dyDescent="0.25">
      <c r="A1212" t="s">
        <v>6949</v>
      </c>
      <c r="B1212" t="s">
        <v>2425</v>
      </c>
      <c r="C1212" s="3" t="s">
        <v>2426</v>
      </c>
      <c r="D1212" s="24">
        <v>8.1958000000000003E-2</v>
      </c>
      <c r="E1212" s="25">
        <v>8.8919999999999995</v>
      </c>
      <c r="F1212" s="25">
        <v>9.3059999999999992</v>
      </c>
      <c r="G1212" s="26">
        <v>-0.41320000000000001</v>
      </c>
      <c r="H1212" s="27">
        <v>0.19800000000000001</v>
      </c>
      <c r="I1212" s="26">
        <v>2.0870000000000002</v>
      </c>
      <c r="J1212" s="28">
        <v>6</v>
      </c>
      <c r="K1212" s="27">
        <v>0.186913</v>
      </c>
      <c r="L1212" s="29">
        <f t="shared" si="72"/>
        <v>0.72836049192280794</v>
      </c>
      <c r="M1212" s="29">
        <f t="shared" si="73"/>
        <v>-0.41399999999999959</v>
      </c>
      <c r="N1212" s="30">
        <f t="shared" si="74"/>
        <v>1.0864086481181057</v>
      </c>
      <c r="O1212" s="31">
        <f t="shared" si="75"/>
        <v>0.75053954875718576</v>
      </c>
    </row>
    <row r="1213" spans="1:15" x14ac:dyDescent="0.25">
      <c r="A1213" t="s">
        <v>6950</v>
      </c>
      <c r="B1213" t="s">
        <v>2423</v>
      </c>
      <c r="C1213" s="3" t="s">
        <v>2424</v>
      </c>
      <c r="D1213" s="24">
        <v>8.1915000000000002E-2</v>
      </c>
      <c r="E1213" s="25">
        <v>9.7349999999999994</v>
      </c>
      <c r="F1213" s="25">
        <v>10.01</v>
      </c>
      <c r="G1213" s="26">
        <v>-0.27989999999999998</v>
      </c>
      <c r="H1213" s="27">
        <v>0.1341</v>
      </c>
      <c r="I1213" s="26">
        <v>2.0870000000000002</v>
      </c>
      <c r="J1213" s="28">
        <v>6</v>
      </c>
      <c r="K1213" s="27">
        <v>0.186913</v>
      </c>
      <c r="L1213" s="29">
        <f t="shared" si="72"/>
        <v>0.72836049192280794</v>
      </c>
      <c r="M1213" s="29">
        <f t="shared" si="73"/>
        <v>-0.27499999999999974</v>
      </c>
      <c r="N1213" s="30">
        <f t="shared" si="74"/>
        <v>1.0866365644087752</v>
      </c>
      <c r="O1213" s="31">
        <f t="shared" si="75"/>
        <v>0.82645031815421188</v>
      </c>
    </row>
    <row r="1214" spans="1:15" x14ac:dyDescent="0.25">
      <c r="A1214" t="s">
        <v>6951</v>
      </c>
      <c r="B1214" t="s">
        <v>2429</v>
      </c>
      <c r="C1214" s="3" t="s">
        <v>2430</v>
      </c>
      <c r="D1214" s="24">
        <v>8.3284999999999998E-2</v>
      </c>
      <c r="E1214" s="25">
        <v>11.28</v>
      </c>
      <c r="F1214" s="25">
        <v>11.63</v>
      </c>
      <c r="G1214" s="26">
        <v>-0.35589999999999999</v>
      </c>
      <c r="H1214" s="27">
        <v>0.17150000000000001</v>
      </c>
      <c r="I1214" s="26">
        <v>2.0750000000000002</v>
      </c>
      <c r="J1214" s="28">
        <v>6</v>
      </c>
      <c r="K1214" s="27">
        <v>0.189664</v>
      </c>
      <c r="L1214" s="29">
        <f t="shared" si="72"/>
        <v>0.72201509444107581</v>
      </c>
      <c r="M1214" s="29">
        <f t="shared" si="73"/>
        <v>-0.35000000000000203</v>
      </c>
      <c r="N1214" s="30">
        <f t="shared" si="74"/>
        <v>1.0794332099237181</v>
      </c>
      <c r="O1214" s="31">
        <f t="shared" si="75"/>
        <v>0.78458409789674965</v>
      </c>
    </row>
    <row r="1215" spans="1:15" x14ac:dyDescent="0.25">
      <c r="A1215" t="s">
        <v>6952</v>
      </c>
      <c r="B1215" t="s">
        <v>2431</v>
      </c>
      <c r="C1215" s="3" t="s">
        <v>2432</v>
      </c>
      <c r="D1215" s="24">
        <v>8.3450999999999997E-2</v>
      </c>
      <c r="E1215" s="25">
        <v>8.7080000000000002</v>
      </c>
      <c r="F1215" s="25">
        <v>8.5139999999999993</v>
      </c>
      <c r="G1215" s="26">
        <v>0.1943</v>
      </c>
      <c r="H1215" s="27">
        <v>9.3679999999999999E-2</v>
      </c>
      <c r="I1215" s="26">
        <v>2.0739999999999998</v>
      </c>
      <c r="J1215" s="28">
        <v>6</v>
      </c>
      <c r="K1215" s="27">
        <v>0.189884</v>
      </c>
      <c r="L1215" s="29">
        <f t="shared" si="72"/>
        <v>0.72151162823011405</v>
      </c>
      <c r="M1215" s="29">
        <f t="shared" si="73"/>
        <v>0.19400000000000017</v>
      </c>
      <c r="N1215" s="30">
        <f t="shared" si="74"/>
        <v>1.0785684547680803</v>
      </c>
      <c r="O1215" s="31">
        <f t="shared" si="75"/>
        <v>1.1439309732038077</v>
      </c>
    </row>
    <row r="1216" spans="1:15" x14ac:dyDescent="0.25">
      <c r="A1216" t="s">
        <v>6953</v>
      </c>
      <c r="B1216" t="s">
        <v>2433</v>
      </c>
      <c r="C1216" s="3" t="s">
        <v>2434</v>
      </c>
      <c r="D1216" s="24">
        <v>8.3673999999999998E-2</v>
      </c>
      <c r="E1216" s="25">
        <v>9.6950000000000003</v>
      </c>
      <c r="F1216" s="25">
        <v>9.8420000000000005</v>
      </c>
      <c r="G1216" s="26">
        <v>-0.14680000000000001</v>
      </c>
      <c r="H1216" s="27">
        <v>7.0870000000000002E-2</v>
      </c>
      <c r="I1216" s="26">
        <v>2.0720000000000001</v>
      </c>
      <c r="J1216" s="28">
        <v>6</v>
      </c>
      <c r="K1216" s="27">
        <v>0.19009899999999999</v>
      </c>
      <c r="L1216" s="29">
        <f t="shared" si="72"/>
        <v>0.72102016769859778</v>
      </c>
      <c r="M1216" s="29">
        <f t="shared" si="73"/>
        <v>-0.14699999999999933</v>
      </c>
      <c r="N1216" s="30">
        <f t="shared" si="74"/>
        <v>1.0774094692549423</v>
      </c>
      <c r="O1216" s="31">
        <f t="shared" si="75"/>
        <v>0.90312651015182277</v>
      </c>
    </row>
    <row r="1217" spans="1:15" x14ac:dyDescent="0.25">
      <c r="A1217" t="s">
        <v>6954</v>
      </c>
      <c r="B1217" t="s">
        <v>2435</v>
      </c>
      <c r="C1217" s="3" t="s">
        <v>2436</v>
      </c>
      <c r="D1217" s="24">
        <v>8.3682999999999994E-2</v>
      </c>
      <c r="E1217" s="25">
        <v>10.199999999999999</v>
      </c>
      <c r="F1217" s="25">
        <v>10.38</v>
      </c>
      <c r="G1217" s="26">
        <v>-0.18090000000000001</v>
      </c>
      <c r="H1217" s="27">
        <v>8.7319999999999995E-2</v>
      </c>
      <c r="I1217" s="26">
        <v>2.0720000000000001</v>
      </c>
      <c r="J1217" s="28">
        <v>6</v>
      </c>
      <c r="K1217" s="27">
        <v>0.19009899999999999</v>
      </c>
      <c r="L1217" s="29">
        <f t="shared" si="72"/>
        <v>0.72102016769859778</v>
      </c>
      <c r="M1217" s="29">
        <f t="shared" si="73"/>
        <v>-0.18000000000000185</v>
      </c>
      <c r="N1217" s="30">
        <f t="shared" si="74"/>
        <v>1.0773627589250379</v>
      </c>
      <c r="O1217" s="31">
        <f t="shared" si="75"/>
        <v>0.88270299629065374</v>
      </c>
    </row>
    <row r="1218" spans="1:15" x14ac:dyDescent="0.25">
      <c r="A1218" t="s">
        <v>6955</v>
      </c>
      <c r="B1218" t="s">
        <v>2437</v>
      </c>
      <c r="C1218" s="3" t="s">
        <v>2438</v>
      </c>
      <c r="D1218" s="24">
        <v>8.3866999999999997E-2</v>
      </c>
      <c r="E1218" s="25">
        <v>9.6859999999999999</v>
      </c>
      <c r="F1218" s="25">
        <v>9.843</v>
      </c>
      <c r="G1218" s="26">
        <v>-0.157</v>
      </c>
      <c r="H1218" s="27">
        <v>7.5840000000000005E-2</v>
      </c>
      <c r="I1218" s="26">
        <v>2.0699999999999998</v>
      </c>
      <c r="J1218" s="28">
        <v>6</v>
      </c>
      <c r="K1218" s="27">
        <v>0.19035099999999999</v>
      </c>
      <c r="L1218" s="29">
        <f t="shared" ref="L1218:L1281" si="76">-LOG(K1218,10)</f>
        <v>0.72044483729804509</v>
      </c>
      <c r="M1218" s="29">
        <f t="shared" ref="M1218:M1281" si="77">LOG(O1218,2)</f>
        <v>-0.157000000000001</v>
      </c>
      <c r="N1218" s="30">
        <f t="shared" ref="N1218:N1281" si="78">-LOG(D1218,10)</f>
        <v>1.0764088918191703</v>
      </c>
      <c r="O1218" s="31">
        <f t="shared" ref="O1218:O1281" si="79">((2^E1218)/(2^F1218))</f>
        <v>0.89688815966201418</v>
      </c>
    </row>
    <row r="1219" spans="1:15" x14ac:dyDescent="0.25">
      <c r="A1219" t="s">
        <v>6956</v>
      </c>
      <c r="B1219" t="s">
        <v>2439</v>
      </c>
      <c r="C1219" s="3" t="s">
        <v>2440</v>
      </c>
      <c r="D1219" s="24">
        <v>8.3948999999999996E-2</v>
      </c>
      <c r="E1219" s="25">
        <v>7.7859999999999996</v>
      </c>
      <c r="F1219" s="25">
        <v>8.032</v>
      </c>
      <c r="G1219" s="26">
        <v>-0.24579999999999999</v>
      </c>
      <c r="H1219" s="27">
        <v>0.1188</v>
      </c>
      <c r="I1219" s="26">
        <v>2.069</v>
      </c>
      <c r="J1219" s="28">
        <v>6</v>
      </c>
      <c r="K1219" s="27">
        <v>0.19035099999999999</v>
      </c>
      <c r="L1219" s="29">
        <f t="shared" si="76"/>
        <v>0.72044483729804509</v>
      </c>
      <c r="M1219" s="29">
        <f t="shared" si="77"/>
        <v>-0.24600000000000011</v>
      </c>
      <c r="N1219" s="30">
        <f t="shared" si="78"/>
        <v>1.0759844728084642</v>
      </c>
      <c r="O1219" s="31">
        <f t="shared" si="79"/>
        <v>0.84323111025011244</v>
      </c>
    </row>
    <row r="1220" spans="1:15" x14ac:dyDescent="0.25">
      <c r="A1220" t="s">
        <v>6957</v>
      </c>
      <c r="B1220" t="s">
        <v>2441</v>
      </c>
      <c r="C1220" s="3" t="s">
        <v>2442</v>
      </c>
      <c r="D1220" s="24">
        <v>8.4000000000000005E-2</v>
      </c>
      <c r="E1220" s="25">
        <v>9.82</v>
      </c>
      <c r="F1220" s="25">
        <v>9.6199999999999992</v>
      </c>
      <c r="G1220" s="26">
        <v>0.19939999999999999</v>
      </c>
      <c r="H1220" s="27">
        <v>9.6390000000000003E-2</v>
      </c>
      <c r="I1220" s="26">
        <v>2.069</v>
      </c>
      <c r="J1220" s="28">
        <v>6</v>
      </c>
      <c r="K1220" s="27">
        <v>0.19035099999999999</v>
      </c>
      <c r="L1220" s="29">
        <f t="shared" si="76"/>
        <v>0.72044483729804509</v>
      </c>
      <c r="M1220" s="29">
        <f t="shared" si="77"/>
        <v>0.20000000000000012</v>
      </c>
      <c r="N1220" s="30">
        <f t="shared" si="78"/>
        <v>1.0757207139381182</v>
      </c>
      <c r="O1220" s="31">
        <f t="shared" si="79"/>
        <v>1.1486983549970351</v>
      </c>
    </row>
    <row r="1221" spans="1:15" x14ac:dyDescent="0.25">
      <c r="A1221" t="s">
        <v>6958</v>
      </c>
      <c r="B1221" t="s">
        <v>2443</v>
      </c>
      <c r="C1221" s="3" t="s">
        <v>2444</v>
      </c>
      <c r="D1221" s="24">
        <v>8.4576999999999999E-2</v>
      </c>
      <c r="E1221" s="25">
        <v>7.6719999999999997</v>
      </c>
      <c r="F1221" s="25">
        <v>7.2309999999999999</v>
      </c>
      <c r="G1221" s="26">
        <v>0.44119999999999998</v>
      </c>
      <c r="H1221" s="27">
        <v>0.21379999999999999</v>
      </c>
      <c r="I1221" s="26">
        <v>2.0640000000000001</v>
      </c>
      <c r="J1221" s="28">
        <v>6</v>
      </c>
      <c r="K1221" s="27">
        <v>0.1915</v>
      </c>
      <c r="L1221" s="29">
        <f t="shared" si="76"/>
        <v>0.7178312216953584</v>
      </c>
      <c r="M1221" s="29">
        <f t="shared" si="77"/>
        <v>0.44099999999999939</v>
      </c>
      <c r="N1221" s="30">
        <f t="shared" si="78"/>
        <v>1.0727477236174996</v>
      </c>
      <c r="O1221" s="31">
        <f t="shared" si="79"/>
        <v>1.3575449798800061</v>
      </c>
    </row>
    <row r="1222" spans="1:15" x14ac:dyDescent="0.25">
      <c r="A1222" t="s">
        <v>6959</v>
      </c>
      <c r="B1222" t="s">
        <v>2447</v>
      </c>
      <c r="C1222" s="3" t="s">
        <v>2448</v>
      </c>
      <c r="D1222" s="24">
        <v>8.6290000000000006E-2</v>
      </c>
      <c r="E1222" s="25">
        <v>10.91</v>
      </c>
      <c r="F1222" s="25">
        <v>11.06</v>
      </c>
      <c r="G1222" s="26">
        <v>-0.1477</v>
      </c>
      <c r="H1222" s="27">
        <v>7.2059999999999999E-2</v>
      </c>
      <c r="I1222" s="26">
        <v>2.0499999999999998</v>
      </c>
      <c r="J1222" s="28">
        <v>6</v>
      </c>
      <c r="K1222" s="27">
        <v>0.19505900000000001</v>
      </c>
      <c r="L1222" s="29">
        <f t="shared" si="76"/>
        <v>0.70983400659205953</v>
      </c>
      <c r="M1222" s="29">
        <f t="shared" si="77"/>
        <v>-0.15000000000000063</v>
      </c>
      <c r="N1222" s="30">
        <f t="shared" si="78"/>
        <v>1.0640395310108333</v>
      </c>
      <c r="O1222" s="31">
        <f t="shared" si="79"/>
        <v>0.90125046261082986</v>
      </c>
    </row>
    <row r="1223" spans="1:15" x14ac:dyDescent="0.25">
      <c r="A1223" t="s">
        <v>6960</v>
      </c>
      <c r="B1223" t="s">
        <v>2445</v>
      </c>
      <c r="C1223" s="3" t="s">
        <v>2446</v>
      </c>
      <c r="D1223" s="24">
        <v>8.6264999999999994E-2</v>
      </c>
      <c r="E1223" s="25">
        <v>10.55</v>
      </c>
      <c r="F1223" s="25">
        <v>10.24</v>
      </c>
      <c r="G1223" s="26">
        <v>0.30430000000000001</v>
      </c>
      <c r="H1223" s="27">
        <v>0.14849999999999999</v>
      </c>
      <c r="I1223" s="26">
        <v>2.0499999999999998</v>
      </c>
      <c r="J1223" s="28">
        <v>6</v>
      </c>
      <c r="K1223" s="27">
        <v>0.19505900000000001</v>
      </c>
      <c r="L1223" s="29">
        <f t="shared" si="76"/>
        <v>0.70983400659205953</v>
      </c>
      <c r="M1223" s="29">
        <f t="shared" si="77"/>
        <v>0.31000000000000061</v>
      </c>
      <c r="N1223" s="30">
        <f t="shared" si="78"/>
        <v>1.0641653733465937</v>
      </c>
      <c r="O1223" s="31">
        <f t="shared" si="79"/>
        <v>1.2397076999389871</v>
      </c>
    </row>
    <row r="1224" spans="1:15" x14ac:dyDescent="0.25">
      <c r="A1224" t="s">
        <v>6961</v>
      </c>
      <c r="B1224" t="s">
        <v>2449</v>
      </c>
      <c r="C1224" s="3" t="s">
        <v>2450</v>
      </c>
      <c r="D1224" s="24">
        <v>8.6625999999999995E-2</v>
      </c>
      <c r="E1224" s="25">
        <v>12.11</v>
      </c>
      <c r="F1224" s="25">
        <v>12.37</v>
      </c>
      <c r="G1224" s="26">
        <v>-0.26250000000000001</v>
      </c>
      <c r="H1224" s="27">
        <v>0.1283</v>
      </c>
      <c r="I1224" s="26">
        <v>2.0470000000000002</v>
      </c>
      <c r="J1224" s="28">
        <v>6</v>
      </c>
      <c r="K1224" s="27">
        <v>0.195659</v>
      </c>
      <c r="L1224" s="29">
        <f t="shared" si="76"/>
        <v>0.70850017045463798</v>
      </c>
      <c r="M1224" s="29">
        <f t="shared" si="77"/>
        <v>-0.25999999999999962</v>
      </c>
      <c r="N1224" s="30">
        <f t="shared" si="78"/>
        <v>1.0623517389085619</v>
      </c>
      <c r="O1224" s="31">
        <f t="shared" si="79"/>
        <v>0.83508791942836957</v>
      </c>
    </row>
    <row r="1225" spans="1:15" x14ac:dyDescent="0.25">
      <c r="A1225" t="s">
        <v>6962</v>
      </c>
      <c r="B1225" t="s">
        <v>2451</v>
      </c>
      <c r="C1225" s="3" t="s">
        <v>2452</v>
      </c>
      <c r="D1225" s="24">
        <v>8.6820999999999995E-2</v>
      </c>
      <c r="E1225" s="25">
        <v>11.14</v>
      </c>
      <c r="F1225" s="25">
        <v>11.55</v>
      </c>
      <c r="G1225" s="26">
        <v>-0.41270000000000001</v>
      </c>
      <c r="H1225" s="27">
        <v>0.20180000000000001</v>
      </c>
      <c r="I1225" s="26">
        <v>2.0449999999999999</v>
      </c>
      <c r="J1225" s="28">
        <v>6</v>
      </c>
      <c r="K1225" s="27">
        <v>0.19594</v>
      </c>
      <c r="L1225" s="29">
        <f t="shared" si="76"/>
        <v>0.70787689628713124</v>
      </c>
      <c r="M1225" s="29">
        <f t="shared" si="77"/>
        <v>-0.41000000000000036</v>
      </c>
      <c r="N1225" s="30">
        <f t="shared" si="78"/>
        <v>1.0613752162860679</v>
      </c>
      <c r="O1225" s="31">
        <f t="shared" si="79"/>
        <v>0.75262337370553345</v>
      </c>
    </row>
    <row r="1226" spans="1:15" x14ac:dyDescent="0.25">
      <c r="A1226" t="s">
        <v>6963</v>
      </c>
      <c r="B1226" t="s">
        <v>2453</v>
      </c>
      <c r="C1226" s="3" t="s">
        <v>2454</v>
      </c>
      <c r="D1226" s="24">
        <v>8.7245000000000003E-2</v>
      </c>
      <c r="E1226" s="25">
        <v>9.4269999999999996</v>
      </c>
      <c r="F1226" s="25">
        <v>9.26</v>
      </c>
      <c r="G1226" s="26">
        <v>0.16689999999999999</v>
      </c>
      <c r="H1226" s="27">
        <v>8.1769999999999995E-2</v>
      </c>
      <c r="I1226" s="26">
        <v>2.0419999999999998</v>
      </c>
      <c r="J1226" s="28">
        <v>6</v>
      </c>
      <c r="K1226" s="27">
        <v>0.19673599999999999</v>
      </c>
      <c r="L1226" s="29">
        <f t="shared" si="76"/>
        <v>0.70611616285238643</v>
      </c>
      <c r="M1226" s="29">
        <f t="shared" si="77"/>
        <v>0.16700000000000023</v>
      </c>
      <c r="N1226" s="30">
        <f t="shared" si="78"/>
        <v>1.0592594530178567</v>
      </c>
      <c r="O1226" s="31">
        <f t="shared" si="79"/>
        <v>1.1227214220736086</v>
      </c>
    </row>
    <row r="1227" spans="1:15" x14ac:dyDescent="0.25">
      <c r="A1227" t="s">
        <v>6964</v>
      </c>
      <c r="B1227" t="s">
        <v>2455</v>
      </c>
      <c r="C1227" s="3" t="s">
        <v>2456</v>
      </c>
      <c r="D1227" s="24">
        <v>8.7717000000000003E-2</v>
      </c>
      <c r="E1227" s="25">
        <v>12.35</v>
      </c>
      <c r="F1227" s="25">
        <v>12.03</v>
      </c>
      <c r="G1227" s="26">
        <v>0.31140000000000001</v>
      </c>
      <c r="H1227" s="27">
        <v>0.15279999999999999</v>
      </c>
      <c r="I1227" s="26">
        <v>2.0379999999999998</v>
      </c>
      <c r="J1227" s="28">
        <v>6</v>
      </c>
      <c r="K1227" s="27">
        <v>0.19763800000000001</v>
      </c>
      <c r="L1227" s="29">
        <f t="shared" si="76"/>
        <v>0.70412954960835761</v>
      </c>
      <c r="M1227" s="29">
        <f t="shared" si="77"/>
        <v>0.31999999999999945</v>
      </c>
      <c r="N1227" s="30">
        <f t="shared" si="78"/>
        <v>1.0569162300009596</v>
      </c>
      <c r="O1227" s="31">
        <f t="shared" si="79"/>
        <v>1.2483305489016114</v>
      </c>
    </row>
    <row r="1228" spans="1:15" x14ac:dyDescent="0.25">
      <c r="A1228" t="s">
        <v>6965</v>
      </c>
      <c r="B1228" t="s">
        <v>2457</v>
      </c>
      <c r="C1228" s="3" t="s">
        <v>2458</v>
      </c>
      <c r="D1228" s="24">
        <v>8.8202000000000003E-2</v>
      </c>
      <c r="E1228" s="25">
        <v>7.8410000000000002</v>
      </c>
      <c r="F1228" s="25">
        <v>8.093</v>
      </c>
      <c r="G1228" s="26">
        <v>-0.25219999999999998</v>
      </c>
      <c r="H1228" s="27">
        <v>0.124</v>
      </c>
      <c r="I1228" s="26">
        <v>2.0339999999999998</v>
      </c>
      <c r="J1228" s="28">
        <v>6</v>
      </c>
      <c r="K1228" s="27">
        <v>0.19856799999999999</v>
      </c>
      <c r="L1228" s="29">
        <f t="shared" si="76"/>
        <v>0.70209073843465808</v>
      </c>
      <c r="M1228" s="29">
        <f t="shared" si="77"/>
        <v>-0.25199999999999895</v>
      </c>
      <c r="N1228" s="30">
        <f t="shared" si="78"/>
        <v>1.0545215670323977</v>
      </c>
      <c r="O1228" s="31">
        <f t="shared" si="79"/>
        <v>0.83973149294414096</v>
      </c>
    </row>
    <row r="1229" spans="1:15" x14ac:dyDescent="0.25">
      <c r="A1229" t="s">
        <v>6966</v>
      </c>
      <c r="B1229" t="s">
        <v>2459</v>
      </c>
      <c r="C1229" s="3" t="s">
        <v>2460</v>
      </c>
      <c r="D1229" s="24">
        <v>8.8342000000000004E-2</v>
      </c>
      <c r="E1229" s="25">
        <v>8.4429999999999996</v>
      </c>
      <c r="F1229" s="25">
        <v>8.8699999999999992</v>
      </c>
      <c r="G1229" s="26">
        <v>-0.42699999999999999</v>
      </c>
      <c r="H1229" s="27">
        <v>0.21010000000000001</v>
      </c>
      <c r="I1229" s="26">
        <v>2.0329999999999999</v>
      </c>
      <c r="J1229" s="28">
        <v>6</v>
      </c>
      <c r="K1229" s="27">
        <v>0.19872300000000001</v>
      </c>
      <c r="L1229" s="29">
        <f t="shared" si="76"/>
        <v>0.70175186517495469</v>
      </c>
      <c r="M1229" s="29">
        <f t="shared" si="77"/>
        <v>-0.42700000000000005</v>
      </c>
      <c r="N1229" s="30">
        <f t="shared" si="78"/>
        <v>1.0538327728483812</v>
      </c>
      <c r="O1229" s="31">
        <f t="shared" si="79"/>
        <v>0.74380688121725258</v>
      </c>
    </row>
    <row r="1230" spans="1:15" x14ac:dyDescent="0.25">
      <c r="A1230" t="s">
        <v>6967</v>
      </c>
      <c r="B1230" t="s">
        <v>2461</v>
      </c>
      <c r="C1230" s="3" t="s">
        <v>2462</v>
      </c>
      <c r="D1230" s="24">
        <v>8.8702000000000003E-2</v>
      </c>
      <c r="E1230" s="25">
        <v>8.4260000000000002</v>
      </c>
      <c r="F1230" s="25">
        <v>8.3149999999999995</v>
      </c>
      <c r="G1230" s="26">
        <v>0.1106</v>
      </c>
      <c r="H1230" s="27">
        <v>5.45E-2</v>
      </c>
      <c r="I1230" s="26">
        <v>2.0299999999999998</v>
      </c>
      <c r="J1230" s="28">
        <v>6</v>
      </c>
      <c r="K1230" s="27">
        <v>0.19937099999999999</v>
      </c>
      <c r="L1230" s="29">
        <f t="shared" si="76"/>
        <v>0.70033801280428132</v>
      </c>
      <c r="M1230" s="29">
        <f t="shared" si="77"/>
        <v>0.11099999999999964</v>
      </c>
      <c r="N1230" s="30">
        <f t="shared" si="78"/>
        <v>1.0520665878439046</v>
      </c>
      <c r="O1230" s="31">
        <f t="shared" si="79"/>
        <v>1.0799765598328821</v>
      </c>
    </row>
    <row r="1231" spans="1:15" x14ac:dyDescent="0.25">
      <c r="A1231" t="s">
        <v>6968</v>
      </c>
      <c r="B1231" t="s">
        <v>2463</v>
      </c>
      <c r="C1231" s="3" t="s">
        <v>2464</v>
      </c>
      <c r="D1231" s="24">
        <v>8.8861999999999997E-2</v>
      </c>
      <c r="E1231" s="25">
        <v>8.1259999999999994</v>
      </c>
      <c r="F1231" s="25">
        <v>8.3780000000000001</v>
      </c>
      <c r="G1231" s="26">
        <v>-0.25140000000000001</v>
      </c>
      <c r="H1231" s="27">
        <v>0.124</v>
      </c>
      <c r="I1231" s="26">
        <v>2.028</v>
      </c>
      <c r="J1231" s="28">
        <v>6</v>
      </c>
      <c r="K1231" s="27">
        <v>0.19956699999999999</v>
      </c>
      <c r="L1231" s="29">
        <f t="shared" si="76"/>
        <v>0.69991127117875596</v>
      </c>
      <c r="M1231" s="29">
        <f t="shared" si="77"/>
        <v>-0.25200000000000045</v>
      </c>
      <c r="N1231" s="30">
        <f t="shared" si="78"/>
        <v>1.0512839164024947</v>
      </c>
      <c r="O1231" s="31">
        <f t="shared" si="79"/>
        <v>0.83973149294414007</v>
      </c>
    </row>
    <row r="1232" spans="1:15" x14ac:dyDescent="0.25">
      <c r="A1232" t="s">
        <v>6969</v>
      </c>
      <c r="B1232" t="s">
        <v>2465</v>
      </c>
      <c r="C1232" s="3" t="s">
        <v>2466</v>
      </c>
      <c r="D1232" s="24">
        <v>8.9507000000000003E-2</v>
      </c>
      <c r="E1232" s="25">
        <v>10.1</v>
      </c>
      <c r="F1232" s="25">
        <v>9.5649999999999995</v>
      </c>
      <c r="G1232" s="26">
        <v>0.53190000000000004</v>
      </c>
      <c r="H1232" s="27">
        <v>0.26290000000000002</v>
      </c>
      <c r="I1232" s="26">
        <v>2.0230000000000001</v>
      </c>
      <c r="J1232" s="28">
        <v>6</v>
      </c>
      <c r="K1232" s="27">
        <v>0.200852</v>
      </c>
      <c r="L1232" s="29">
        <f t="shared" si="76"/>
        <v>0.69712383938842482</v>
      </c>
      <c r="M1232" s="29">
        <f t="shared" si="77"/>
        <v>0.53499999999999948</v>
      </c>
      <c r="N1232" s="30">
        <f t="shared" si="78"/>
        <v>1.048142998846161</v>
      </c>
      <c r="O1232" s="31">
        <f t="shared" si="79"/>
        <v>1.4489421545548784</v>
      </c>
    </row>
    <row r="1233" spans="1:15" x14ac:dyDescent="0.25">
      <c r="A1233" t="s">
        <v>6970</v>
      </c>
      <c r="B1233" t="s">
        <v>2467</v>
      </c>
      <c r="C1233" s="3" t="s">
        <v>2468</v>
      </c>
      <c r="D1233" s="24">
        <v>8.9744000000000004E-2</v>
      </c>
      <c r="E1233" s="25">
        <v>9.5779999999999994</v>
      </c>
      <c r="F1233" s="25">
        <v>9</v>
      </c>
      <c r="G1233" s="26">
        <v>0.57820000000000005</v>
      </c>
      <c r="H1233" s="27">
        <v>0.28610000000000002</v>
      </c>
      <c r="I1233" s="26">
        <v>2.0209999999999999</v>
      </c>
      <c r="J1233" s="28">
        <v>6</v>
      </c>
      <c r="K1233" s="27">
        <v>0.20122000000000001</v>
      </c>
      <c r="L1233" s="29">
        <f t="shared" si="76"/>
        <v>0.69632885533597888</v>
      </c>
      <c r="M1233" s="29">
        <f t="shared" si="77"/>
        <v>0.57799999999999963</v>
      </c>
      <c r="N1233" s="30">
        <f t="shared" si="78"/>
        <v>1.0469945773345584</v>
      </c>
      <c r="O1233" s="31">
        <f t="shared" si="79"/>
        <v>1.4927783832969526</v>
      </c>
    </row>
    <row r="1234" spans="1:15" x14ac:dyDescent="0.25">
      <c r="A1234" t="s">
        <v>6971</v>
      </c>
      <c r="B1234" t="s">
        <v>2469</v>
      </c>
      <c r="C1234" s="3" t="s">
        <v>2470</v>
      </c>
      <c r="D1234" s="24">
        <v>8.9862999999999998E-2</v>
      </c>
      <c r="E1234" s="25">
        <v>10.53</v>
      </c>
      <c r="F1234" s="25">
        <v>10.34</v>
      </c>
      <c r="G1234" s="26">
        <v>0.19270000000000001</v>
      </c>
      <c r="H1234" s="27">
        <v>9.5399999999999999E-2</v>
      </c>
      <c r="I1234" s="26">
        <v>2.02</v>
      </c>
      <c r="J1234" s="28">
        <v>6</v>
      </c>
      <c r="K1234" s="27">
        <v>0.201324</v>
      </c>
      <c r="L1234" s="29">
        <f t="shared" si="76"/>
        <v>0.69610444942197758</v>
      </c>
      <c r="M1234" s="29">
        <f t="shared" si="77"/>
        <v>0.18999999999999972</v>
      </c>
      <c r="N1234" s="30">
        <f t="shared" si="78"/>
        <v>1.0464190869482277</v>
      </c>
      <c r="O1234" s="31">
        <f t="shared" si="79"/>
        <v>1.1407637158684234</v>
      </c>
    </row>
    <row r="1235" spans="1:15" x14ac:dyDescent="0.25">
      <c r="A1235" t="s">
        <v>6972</v>
      </c>
      <c r="B1235" t="s">
        <v>2471</v>
      </c>
      <c r="C1235" s="3" t="s">
        <v>2472</v>
      </c>
      <c r="D1235" s="24">
        <v>9.0003E-2</v>
      </c>
      <c r="E1235" s="25">
        <v>11.12</v>
      </c>
      <c r="F1235" s="25">
        <v>11.41</v>
      </c>
      <c r="G1235" s="26">
        <v>-0.2949</v>
      </c>
      <c r="H1235" s="27">
        <v>0.14599999999999999</v>
      </c>
      <c r="I1235" s="26">
        <v>2.0190000000000001</v>
      </c>
      <c r="J1235" s="28">
        <v>6</v>
      </c>
      <c r="K1235" s="27">
        <v>0.20147399999999999</v>
      </c>
      <c r="L1235" s="29">
        <f t="shared" si="76"/>
        <v>0.69578099113620229</v>
      </c>
      <c r="M1235" s="29">
        <f t="shared" si="77"/>
        <v>-0.29000000000000109</v>
      </c>
      <c r="N1235" s="30">
        <f t="shared" si="78"/>
        <v>1.0457430143192143</v>
      </c>
      <c r="O1235" s="31">
        <f t="shared" si="79"/>
        <v>0.81790205855778053</v>
      </c>
    </row>
    <row r="1236" spans="1:15" x14ac:dyDescent="0.25">
      <c r="A1236" t="s">
        <v>6973</v>
      </c>
      <c r="B1236" t="s">
        <v>2473</v>
      </c>
      <c r="C1236" s="3" t="s">
        <v>2474</v>
      </c>
      <c r="D1236" s="24">
        <v>9.0123999999999996E-2</v>
      </c>
      <c r="E1236" s="25">
        <v>15.07</v>
      </c>
      <c r="F1236" s="25">
        <v>15.22</v>
      </c>
      <c r="G1236" s="26">
        <v>-0.15079999999999999</v>
      </c>
      <c r="H1236" s="27">
        <v>7.4700000000000003E-2</v>
      </c>
      <c r="I1236" s="26">
        <v>2.0179999999999998</v>
      </c>
      <c r="J1236" s="28">
        <v>6</v>
      </c>
      <c r="K1236" s="27">
        <v>0.20158300000000001</v>
      </c>
      <c r="L1236" s="29">
        <f t="shared" si="76"/>
        <v>0.69554609582520932</v>
      </c>
      <c r="M1236" s="29">
        <f t="shared" si="77"/>
        <v>-0.14999999999999955</v>
      </c>
      <c r="N1236" s="30">
        <f t="shared" si="78"/>
        <v>1.0451595411007122</v>
      </c>
      <c r="O1236" s="31">
        <f t="shared" si="79"/>
        <v>0.90125046261083053</v>
      </c>
    </row>
    <row r="1237" spans="1:15" x14ac:dyDescent="0.25">
      <c r="A1237" t="s">
        <v>6974</v>
      </c>
      <c r="B1237" t="s">
        <v>2477</v>
      </c>
      <c r="C1237" s="3" t="s">
        <v>2478</v>
      </c>
      <c r="D1237" s="24">
        <v>9.0403999999999998E-2</v>
      </c>
      <c r="E1237" s="25">
        <v>7.6020000000000003</v>
      </c>
      <c r="F1237" s="25">
        <v>7.141</v>
      </c>
      <c r="G1237" s="26">
        <v>0.46089999999999998</v>
      </c>
      <c r="H1237" s="27">
        <v>0.2286</v>
      </c>
      <c r="I1237" s="26">
        <v>2.016</v>
      </c>
      <c r="J1237" s="28">
        <v>6</v>
      </c>
      <c r="K1237" s="27">
        <v>0.20177500000000001</v>
      </c>
      <c r="L1237" s="29">
        <f t="shared" si="76"/>
        <v>0.69513264401900643</v>
      </c>
      <c r="M1237" s="29">
        <f t="shared" si="77"/>
        <v>0.4610000000000003</v>
      </c>
      <c r="N1237" s="30">
        <f t="shared" si="78"/>
        <v>1.0438123533797738</v>
      </c>
      <c r="O1237" s="31">
        <f t="shared" si="79"/>
        <v>1.3764956015906975</v>
      </c>
    </row>
    <row r="1238" spans="1:15" x14ac:dyDescent="0.25">
      <c r="A1238" t="s">
        <v>6975</v>
      </c>
      <c r="B1238" t="s">
        <v>2475</v>
      </c>
      <c r="C1238" s="3" t="s">
        <v>2476</v>
      </c>
      <c r="D1238" s="24">
        <v>9.0352000000000002E-2</v>
      </c>
      <c r="E1238" s="25">
        <v>10.83</v>
      </c>
      <c r="F1238" s="25">
        <v>10.62</v>
      </c>
      <c r="G1238" s="26">
        <v>0.20860000000000001</v>
      </c>
      <c r="H1238" s="27">
        <v>0.10340000000000001</v>
      </c>
      <c r="I1238" s="26">
        <v>2.016</v>
      </c>
      <c r="J1238" s="28">
        <v>6</v>
      </c>
      <c r="K1238" s="27">
        <v>0.20177500000000001</v>
      </c>
      <c r="L1238" s="29">
        <f t="shared" si="76"/>
        <v>0.69513264401900643</v>
      </c>
      <c r="M1238" s="29">
        <f t="shared" si="77"/>
        <v>0.21000000000000163</v>
      </c>
      <c r="N1238" s="30">
        <f t="shared" si="78"/>
        <v>1.044062229607196</v>
      </c>
      <c r="O1238" s="31">
        <f t="shared" si="79"/>
        <v>1.1566881839052887</v>
      </c>
    </row>
    <row r="1239" spans="1:15" x14ac:dyDescent="0.25">
      <c r="A1239" t="s">
        <v>6976</v>
      </c>
      <c r="B1239" t="s">
        <v>2479</v>
      </c>
      <c r="C1239" s="3" t="s">
        <v>2480</v>
      </c>
      <c r="D1239" s="24">
        <v>9.0470999999999996E-2</v>
      </c>
      <c r="E1239" s="25">
        <v>9.016</v>
      </c>
      <c r="F1239" s="25">
        <v>8.3390000000000004</v>
      </c>
      <c r="G1239" s="26">
        <v>0.67659999999999998</v>
      </c>
      <c r="H1239" s="27">
        <v>0.3357</v>
      </c>
      <c r="I1239" s="26">
        <v>2.0150000000000001</v>
      </c>
      <c r="J1239" s="28">
        <v>6</v>
      </c>
      <c r="K1239" s="27">
        <v>0.20177500000000001</v>
      </c>
      <c r="L1239" s="29">
        <f t="shared" si="76"/>
        <v>0.69513264401900643</v>
      </c>
      <c r="M1239" s="29">
        <f t="shared" si="77"/>
        <v>0.6770000000000006</v>
      </c>
      <c r="N1239" s="30">
        <f t="shared" si="78"/>
        <v>1.0434906092844773</v>
      </c>
      <c r="O1239" s="31">
        <f t="shared" si="79"/>
        <v>1.5988116607049452</v>
      </c>
    </row>
    <row r="1240" spans="1:15" x14ac:dyDescent="0.25">
      <c r="A1240" t="s">
        <v>6977</v>
      </c>
      <c r="B1240" t="s">
        <v>2481</v>
      </c>
      <c r="C1240" s="3" t="s">
        <v>2482</v>
      </c>
      <c r="D1240" s="24">
        <v>9.0501999999999999E-2</v>
      </c>
      <c r="E1240" s="25">
        <v>8.9380000000000006</v>
      </c>
      <c r="F1240" s="25">
        <v>8.5050000000000008</v>
      </c>
      <c r="G1240" s="26">
        <v>0.43290000000000001</v>
      </c>
      <c r="H1240" s="27">
        <v>0.21479999999999999</v>
      </c>
      <c r="I1240" s="26">
        <v>2.0150000000000001</v>
      </c>
      <c r="J1240" s="28">
        <v>6</v>
      </c>
      <c r="K1240" s="27">
        <v>0.20177500000000001</v>
      </c>
      <c r="L1240" s="29">
        <f t="shared" si="76"/>
        <v>0.69513264401900643</v>
      </c>
      <c r="M1240" s="29">
        <f t="shared" si="77"/>
        <v>0.43299999999999977</v>
      </c>
      <c r="N1240" s="30">
        <f t="shared" si="78"/>
        <v>1.0433418232327383</v>
      </c>
      <c r="O1240" s="31">
        <f t="shared" si="79"/>
        <v>1.3500379851227455</v>
      </c>
    </row>
    <row r="1241" spans="1:15" x14ac:dyDescent="0.25">
      <c r="A1241" t="s">
        <v>6978</v>
      </c>
      <c r="B1241" t="s">
        <v>2483</v>
      </c>
      <c r="C1241" s="3" t="s">
        <v>2484</v>
      </c>
      <c r="D1241" s="24">
        <v>9.0647000000000005E-2</v>
      </c>
      <c r="E1241" s="25">
        <v>8.3680000000000003</v>
      </c>
      <c r="F1241" s="25">
        <v>8.9640000000000004</v>
      </c>
      <c r="G1241" s="26">
        <v>-0.59560000000000002</v>
      </c>
      <c r="H1241" s="27">
        <v>0.29570000000000002</v>
      </c>
      <c r="I1241" s="26">
        <v>2.0139999999999998</v>
      </c>
      <c r="J1241" s="28">
        <v>6</v>
      </c>
      <c r="K1241" s="27">
        <v>0.201934</v>
      </c>
      <c r="L1241" s="29">
        <f t="shared" si="76"/>
        <v>0.69479055193687289</v>
      </c>
      <c r="M1241" s="29">
        <f t="shared" si="77"/>
        <v>-0.59599999999999964</v>
      </c>
      <c r="N1241" s="30">
        <f t="shared" si="78"/>
        <v>1.0426465644863456</v>
      </c>
      <c r="O1241" s="31">
        <f t="shared" si="79"/>
        <v>0.66158571995406024</v>
      </c>
    </row>
    <row r="1242" spans="1:15" x14ac:dyDescent="0.25">
      <c r="A1242" t="s">
        <v>6979</v>
      </c>
      <c r="B1242" t="s">
        <v>2485</v>
      </c>
      <c r="C1242" s="3" t="s">
        <v>2486</v>
      </c>
      <c r="D1242" s="24">
        <v>9.0876999999999999E-2</v>
      </c>
      <c r="E1242" s="25">
        <v>9.3130000000000006</v>
      </c>
      <c r="F1242" s="25">
        <v>9.0449999999999999</v>
      </c>
      <c r="G1242" s="26">
        <v>0.26779999999999998</v>
      </c>
      <c r="H1242" s="27">
        <v>0.1331</v>
      </c>
      <c r="I1242" s="26">
        <v>2.012</v>
      </c>
      <c r="J1242" s="28">
        <v>6</v>
      </c>
      <c r="K1242" s="27">
        <v>0.20228299999999999</v>
      </c>
      <c r="L1242" s="29">
        <f t="shared" si="76"/>
        <v>0.69404061409731233</v>
      </c>
      <c r="M1242" s="29">
        <f t="shared" si="77"/>
        <v>0.26800000000000035</v>
      </c>
      <c r="N1242" s="30">
        <f t="shared" si="78"/>
        <v>1.0415460181752068</v>
      </c>
      <c r="O1242" s="31">
        <f t="shared" si="79"/>
        <v>1.204137381231416</v>
      </c>
    </row>
    <row r="1243" spans="1:15" x14ac:dyDescent="0.25">
      <c r="A1243" t="s">
        <v>6980</v>
      </c>
      <c r="B1243" t="s">
        <v>2487</v>
      </c>
      <c r="C1243" s="3" t="s">
        <v>2488</v>
      </c>
      <c r="D1243" s="24">
        <v>9.1349E-2</v>
      </c>
      <c r="E1243" s="25">
        <v>8.7530000000000001</v>
      </c>
      <c r="F1243" s="25">
        <v>8.9390000000000001</v>
      </c>
      <c r="G1243" s="26">
        <v>-0.18559999999999999</v>
      </c>
      <c r="H1243" s="27">
        <v>9.2410000000000006E-2</v>
      </c>
      <c r="I1243" s="26">
        <v>2.008</v>
      </c>
      <c r="J1243" s="28">
        <v>6</v>
      </c>
      <c r="K1243" s="27">
        <v>0.20316999999999999</v>
      </c>
      <c r="L1243" s="29">
        <f t="shared" si="76"/>
        <v>0.69214041940153348</v>
      </c>
      <c r="M1243" s="29">
        <f t="shared" si="77"/>
        <v>-0.18599999999999928</v>
      </c>
      <c r="N1243" s="30">
        <f t="shared" si="78"/>
        <v>1.039296202518986</v>
      </c>
      <c r="O1243" s="31">
        <f t="shared" si="79"/>
        <v>0.87903956091178748</v>
      </c>
    </row>
    <row r="1244" spans="1:15" x14ac:dyDescent="0.25">
      <c r="A1244" t="s">
        <v>6981</v>
      </c>
      <c r="B1244" t="s">
        <v>2489</v>
      </c>
      <c r="C1244" s="3" t="s">
        <v>2490</v>
      </c>
      <c r="D1244" s="24">
        <v>9.1613E-2</v>
      </c>
      <c r="E1244" s="25">
        <v>12.52</v>
      </c>
      <c r="F1244" s="25">
        <v>12.34</v>
      </c>
      <c r="G1244" s="26">
        <v>0.17349999999999999</v>
      </c>
      <c r="H1244" s="27">
        <v>8.6480000000000001E-2</v>
      </c>
      <c r="I1244" s="26">
        <v>2.0059999999999998</v>
      </c>
      <c r="J1244" s="28">
        <v>6</v>
      </c>
      <c r="K1244" s="27">
        <v>0.20355699999999999</v>
      </c>
      <c r="L1244" s="29">
        <f t="shared" si="76"/>
        <v>0.69131395833444009</v>
      </c>
      <c r="M1244" s="29">
        <f t="shared" si="77"/>
        <v>0.17999999999999933</v>
      </c>
      <c r="N1244" s="30">
        <f t="shared" si="78"/>
        <v>1.0380428950257006</v>
      </c>
      <c r="O1244" s="31">
        <f t="shared" si="79"/>
        <v>1.1328838852957981</v>
      </c>
    </row>
    <row r="1245" spans="1:15" x14ac:dyDescent="0.25">
      <c r="A1245" t="s">
        <v>6982</v>
      </c>
      <c r="B1245" t="s">
        <v>2491</v>
      </c>
      <c r="C1245" s="3" t="s">
        <v>2492</v>
      </c>
      <c r="D1245" s="24">
        <v>9.1670000000000001E-2</v>
      </c>
      <c r="E1245" s="25">
        <v>11.11</v>
      </c>
      <c r="F1245" s="25">
        <v>10.77</v>
      </c>
      <c r="G1245" s="26">
        <v>0.34210000000000002</v>
      </c>
      <c r="H1245" s="27">
        <v>0.1706</v>
      </c>
      <c r="I1245" s="26">
        <v>2.0059999999999998</v>
      </c>
      <c r="J1245" s="28">
        <v>6</v>
      </c>
      <c r="K1245" s="27">
        <v>0.20355699999999999</v>
      </c>
      <c r="L1245" s="29">
        <f t="shared" si="76"/>
        <v>0.69131395833444009</v>
      </c>
      <c r="M1245" s="29">
        <f t="shared" si="77"/>
        <v>0.34000000000000025</v>
      </c>
      <c r="N1245" s="30">
        <f t="shared" si="78"/>
        <v>1.0377727686499147</v>
      </c>
      <c r="O1245" s="31">
        <f t="shared" si="79"/>
        <v>1.2657565939702802</v>
      </c>
    </row>
    <row r="1246" spans="1:15" x14ac:dyDescent="0.25">
      <c r="A1246" t="s">
        <v>6983</v>
      </c>
      <c r="B1246" t="s">
        <v>2493</v>
      </c>
      <c r="C1246" s="3" t="s">
        <v>2494</v>
      </c>
      <c r="D1246" s="24">
        <v>9.1980000000000006E-2</v>
      </c>
      <c r="E1246" s="25">
        <v>10.75</v>
      </c>
      <c r="F1246" s="25">
        <v>11.31</v>
      </c>
      <c r="G1246" s="26">
        <v>-0.56169999999999998</v>
      </c>
      <c r="H1246" s="27">
        <v>0.28039999999999998</v>
      </c>
      <c r="I1246" s="26">
        <v>2.0030000000000001</v>
      </c>
      <c r="J1246" s="28">
        <v>6</v>
      </c>
      <c r="K1246" s="27">
        <v>0.203983</v>
      </c>
      <c r="L1246" s="29">
        <f t="shared" si="76"/>
        <v>0.69040602528897721</v>
      </c>
      <c r="M1246" s="29">
        <f t="shared" si="77"/>
        <v>-0.56000000000000127</v>
      </c>
      <c r="N1246" s="30">
        <f t="shared" si="78"/>
        <v>1.0363065947619812</v>
      </c>
      <c r="O1246" s="31">
        <f t="shared" si="79"/>
        <v>0.67830216372383534</v>
      </c>
    </row>
    <row r="1247" spans="1:15" x14ac:dyDescent="0.25">
      <c r="A1247" t="s">
        <v>6984</v>
      </c>
      <c r="B1247" t="s">
        <v>2495</v>
      </c>
      <c r="C1247" s="3" t="s">
        <v>2496</v>
      </c>
      <c r="D1247" s="24">
        <v>9.2009999999999995E-2</v>
      </c>
      <c r="E1247" s="25">
        <v>8.0250000000000004</v>
      </c>
      <c r="F1247" s="25">
        <v>7.6319999999999997</v>
      </c>
      <c r="G1247" s="26">
        <v>0.39350000000000002</v>
      </c>
      <c r="H1247" s="27">
        <v>0.19639999999999999</v>
      </c>
      <c r="I1247" s="26">
        <v>2.0030000000000001</v>
      </c>
      <c r="J1247" s="28">
        <v>6</v>
      </c>
      <c r="K1247" s="27">
        <v>0.203983</v>
      </c>
      <c r="L1247" s="29">
        <f t="shared" si="76"/>
        <v>0.69040602528897721</v>
      </c>
      <c r="M1247" s="29">
        <f t="shared" si="77"/>
        <v>0.39300000000000102</v>
      </c>
      <c r="N1247" s="30">
        <f t="shared" si="78"/>
        <v>1.0361649692978521</v>
      </c>
      <c r="O1247" s="31">
        <f t="shared" si="79"/>
        <v>1.313121125424153</v>
      </c>
    </row>
    <row r="1248" spans="1:15" x14ac:dyDescent="0.25">
      <c r="A1248" t="s">
        <v>6985</v>
      </c>
      <c r="B1248" t="s">
        <v>2497</v>
      </c>
      <c r="C1248" s="3" t="s">
        <v>2498</v>
      </c>
      <c r="D1248" s="24">
        <v>9.2938999999999994E-2</v>
      </c>
      <c r="E1248" s="25">
        <v>11.39</v>
      </c>
      <c r="F1248" s="25">
        <v>11.79</v>
      </c>
      <c r="G1248" s="26">
        <v>-0.39550000000000002</v>
      </c>
      <c r="H1248" s="27">
        <v>0.1981</v>
      </c>
      <c r="I1248" s="26">
        <v>1.996</v>
      </c>
      <c r="J1248" s="28">
        <v>6</v>
      </c>
      <c r="K1248" s="27">
        <v>0.20587900000000001</v>
      </c>
      <c r="L1248" s="29">
        <f t="shared" si="76"/>
        <v>0.6863879498814397</v>
      </c>
      <c r="M1248" s="29">
        <f t="shared" si="77"/>
        <v>-0.39999999999999991</v>
      </c>
      <c r="N1248" s="30">
        <f t="shared" si="78"/>
        <v>1.0318020047301688</v>
      </c>
      <c r="O1248" s="31">
        <f t="shared" si="79"/>
        <v>0.75785828325519911</v>
      </c>
    </row>
    <row r="1249" spans="1:15" x14ac:dyDescent="0.25">
      <c r="A1249" t="s">
        <v>6986</v>
      </c>
      <c r="B1249" t="s">
        <v>2499</v>
      </c>
      <c r="C1249" s="3" t="s">
        <v>2500</v>
      </c>
      <c r="D1249" s="24">
        <v>9.3081999999999998E-2</v>
      </c>
      <c r="E1249" s="25">
        <v>8.8119999999999994</v>
      </c>
      <c r="F1249" s="25">
        <v>8.641</v>
      </c>
      <c r="G1249" s="26">
        <v>0.1714</v>
      </c>
      <c r="H1249" s="27">
        <v>8.591E-2</v>
      </c>
      <c r="I1249" s="26">
        <v>1.9950000000000001</v>
      </c>
      <c r="J1249" s="28">
        <v>6</v>
      </c>
      <c r="K1249" s="27">
        <v>0.20602899999999999</v>
      </c>
      <c r="L1249" s="29">
        <f t="shared" si="76"/>
        <v>0.68607164539031495</v>
      </c>
      <c r="M1249" s="29">
        <f t="shared" si="77"/>
        <v>0.17099999999999943</v>
      </c>
      <c r="N1249" s="30">
        <f t="shared" si="78"/>
        <v>1.0311342938464991</v>
      </c>
      <c r="O1249" s="31">
        <f t="shared" si="79"/>
        <v>1.1258385861367621</v>
      </c>
    </row>
    <row r="1250" spans="1:15" x14ac:dyDescent="0.25">
      <c r="A1250" t="s">
        <v>6987</v>
      </c>
      <c r="B1250" t="s">
        <v>2501</v>
      </c>
      <c r="C1250" s="3" t="s">
        <v>2502</v>
      </c>
      <c r="D1250" s="24">
        <v>9.3614000000000003E-2</v>
      </c>
      <c r="E1250" s="25">
        <v>10.64</v>
      </c>
      <c r="F1250" s="25">
        <v>10.43</v>
      </c>
      <c r="G1250" s="26">
        <v>0.2155</v>
      </c>
      <c r="H1250" s="27">
        <v>0.1082</v>
      </c>
      <c r="I1250" s="26">
        <v>1.9910000000000001</v>
      </c>
      <c r="J1250" s="28">
        <v>6</v>
      </c>
      <c r="K1250" s="27">
        <v>0.207042</v>
      </c>
      <c r="L1250" s="29">
        <f t="shared" si="76"/>
        <v>0.68394154576038613</v>
      </c>
      <c r="M1250" s="29">
        <f t="shared" si="77"/>
        <v>0.21000000000000021</v>
      </c>
      <c r="N1250" s="30">
        <f t="shared" si="78"/>
        <v>1.0286591975430706</v>
      </c>
      <c r="O1250" s="31">
        <f t="shared" si="79"/>
        <v>1.1566881839052876</v>
      </c>
    </row>
    <row r="1251" spans="1:15" x14ac:dyDescent="0.25">
      <c r="A1251" t="s">
        <v>6988</v>
      </c>
      <c r="B1251" t="s">
        <v>2503</v>
      </c>
      <c r="C1251" s="3" t="s">
        <v>2504</v>
      </c>
      <c r="D1251" s="24">
        <v>9.5316999999999999E-2</v>
      </c>
      <c r="E1251" s="25">
        <v>11.45</v>
      </c>
      <c r="F1251" s="25">
        <v>11.85</v>
      </c>
      <c r="G1251" s="26">
        <v>-0.4073</v>
      </c>
      <c r="H1251" s="27">
        <v>0.2059</v>
      </c>
      <c r="I1251" s="26">
        <v>1.978</v>
      </c>
      <c r="J1251" s="28">
        <v>6</v>
      </c>
      <c r="K1251" s="27">
        <v>0.21063799999999999</v>
      </c>
      <c r="L1251" s="29">
        <f t="shared" si="76"/>
        <v>0.67646327749241453</v>
      </c>
      <c r="M1251" s="29">
        <f t="shared" si="77"/>
        <v>-0.40000000000000008</v>
      </c>
      <c r="N1251" s="30">
        <f t="shared" si="78"/>
        <v>1.0208296350619319</v>
      </c>
      <c r="O1251" s="31">
        <f t="shared" si="79"/>
        <v>0.75785828325519899</v>
      </c>
    </row>
    <row r="1252" spans="1:15" x14ac:dyDescent="0.25">
      <c r="A1252" t="s">
        <v>6989</v>
      </c>
      <c r="B1252" t="s">
        <v>2505</v>
      </c>
      <c r="C1252" s="3" t="s">
        <v>2506</v>
      </c>
      <c r="D1252" s="24">
        <v>9.5515000000000003E-2</v>
      </c>
      <c r="E1252" s="25">
        <v>8.032</v>
      </c>
      <c r="F1252" s="25">
        <v>7.7169999999999996</v>
      </c>
      <c r="G1252" s="26">
        <v>0.31459999999999999</v>
      </c>
      <c r="H1252" s="27">
        <v>0.15920000000000001</v>
      </c>
      <c r="I1252" s="26">
        <v>1.976</v>
      </c>
      <c r="J1252" s="28">
        <v>6</v>
      </c>
      <c r="K1252" s="27">
        <v>0.21090700000000001</v>
      </c>
      <c r="L1252" s="29">
        <f t="shared" si="76"/>
        <v>0.67590900579430691</v>
      </c>
      <c r="M1252" s="29">
        <f t="shared" si="77"/>
        <v>0.315</v>
      </c>
      <c r="N1252" s="30">
        <f t="shared" si="78"/>
        <v>1.0199284199798277</v>
      </c>
      <c r="O1252" s="31">
        <f t="shared" si="79"/>
        <v>1.2440116532984689</v>
      </c>
    </row>
    <row r="1253" spans="1:15" x14ac:dyDescent="0.25">
      <c r="A1253" t="s">
        <v>6990</v>
      </c>
      <c r="B1253" t="s">
        <v>2511</v>
      </c>
      <c r="C1253" s="3" t="s">
        <v>2512</v>
      </c>
      <c r="D1253" s="24">
        <v>9.5757999999999996E-2</v>
      </c>
      <c r="E1253" s="25">
        <v>9.8859999999999992</v>
      </c>
      <c r="F1253" s="25">
        <v>9.61</v>
      </c>
      <c r="G1253" s="26">
        <v>0.27560000000000001</v>
      </c>
      <c r="H1253" s="27">
        <v>0.1396</v>
      </c>
      <c r="I1253" s="26">
        <v>1.974</v>
      </c>
      <c r="J1253" s="28">
        <v>6</v>
      </c>
      <c r="K1253" s="27">
        <v>0.21093799999999999</v>
      </c>
      <c r="L1253" s="29">
        <f t="shared" si="76"/>
        <v>0.67584517605132921</v>
      </c>
      <c r="M1253" s="29">
        <f t="shared" si="77"/>
        <v>0.27600000000000025</v>
      </c>
      <c r="N1253" s="30">
        <f t="shared" si="78"/>
        <v>1.0188249331742689</v>
      </c>
      <c r="O1253" s="31">
        <f t="shared" si="79"/>
        <v>1.2108330839505541</v>
      </c>
    </row>
    <row r="1254" spans="1:15" x14ac:dyDescent="0.25">
      <c r="A1254" t="s">
        <v>6991</v>
      </c>
      <c r="B1254" t="s">
        <v>2509</v>
      </c>
      <c r="C1254" s="3" t="s">
        <v>2510</v>
      </c>
      <c r="D1254" s="24">
        <v>9.5703999999999997E-2</v>
      </c>
      <c r="E1254" s="25">
        <v>9.5850000000000009</v>
      </c>
      <c r="F1254" s="25">
        <v>9.9260000000000002</v>
      </c>
      <c r="G1254" s="26">
        <v>-0.34060000000000001</v>
      </c>
      <c r="H1254" s="27">
        <v>0.17249999999999999</v>
      </c>
      <c r="I1254" s="26">
        <v>1.9750000000000001</v>
      </c>
      <c r="J1254" s="28">
        <v>6</v>
      </c>
      <c r="K1254" s="27">
        <v>0.21093799999999999</v>
      </c>
      <c r="L1254" s="29">
        <f t="shared" si="76"/>
        <v>0.67584517605132921</v>
      </c>
      <c r="M1254" s="29">
        <f t="shared" si="77"/>
        <v>-0.34099999999999953</v>
      </c>
      <c r="N1254" s="30">
        <f t="shared" si="78"/>
        <v>1.0190699102730627</v>
      </c>
      <c r="O1254" s="31">
        <f t="shared" si="79"/>
        <v>0.7894938867005552</v>
      </c>
    </row>
    <row r="1255" spans="1:15" x14ac:dyDescent="0.25">
      <c r="A1255" t="s">
        <v>6992</v>
      </c>
      <c r="B1255" t="s">
        <v>2507</v>
      </c>
      <c r="C1255" s="3" t="s">
        <v>2508</v>
      </c>
      <c r="D1255" s="24">
        <v>9.5617999999999995E-2</v>
      </c>
      <c r="E1255" s="25">
        <v>7.492</v>
      </c>
      <c r="F1255" s="25">
        <v>7.0759999999999996</v>
      </c>
      <c r="G1255" s="26">
        <v>0.41570000000000001</v>
      </c>
      <c r="H1255" s="27">
        <v>0.2104</v>
      </c>
      <c r="I1255" s="26">
        <v>1.976</v>
      </c>
      <c r="J1255" s="28">
        <v>6</v>
      </c>
      <c r="K1255" s="27">
        <v>0.21093799999999999</v>
      </c>
      <c r="L1255" s="29">
        <f t="shared" si="76"/>
        <v>0.67584517605132921</v>
      </c>
      <c r="M1255" s="29">
        <f t="shared" si="77"/>
        <v>0.41600000000000059</v>
      </c>
      <c r="N1255" s="30">
        <f t="shared" si="78"/>
        <v>1.0194603444934784</v>
      </c>
      <c r="O1255" s="31">
        <f t="shared" si="79"/>
        <v>1.3342231696777695</v>
      </c>
    </row>
    <row r="1256" spans="1:15" x14ac:dyDescent="0.25">
      <c r="A1256" t="s">
        <v>6993</v>
      </c>
      <c r="B1256" t="s">
        <v>2513</v>
      </c>
      <c r="C1256" s="3" t="s">
        <v>2514</v>
      </c>
      <c r="D1256" s="24">
        <v>9.5924999999999996E-2</v>
      </c>
      <c r="E1256" s="25">
        <v>8.5299999999999994</v>
      </c>
      <c r="F1256" s="25">
        <v>8.35</v>
      </c>
      <c r="G1256" s="26">
        <v>0.1802</v>
      </c>
      <c r="H1256" s="27">
        <v>9.1340000000000005E-2</v>
      </c>
      <c r="I1256" s="26">
        <v>1.9730000000000001</v>
      </c>
      <c r="J1256" s="28">
        <v>6</v>
      </c>
      <c r="K1256" s="27">
        <v>0.211007</v>
      </c>
      <c r="L1256" s="29">
        <f t="shared" si="76"/>
        <v>0.67570313706748797</v>
      </c>
      <c r="M1256" s="29">
        <f t="shared" si="77"/>
        <v>0.18000000000000047</v>
      </c>
      <c r="N1256" s="30">
        <f t="shared" si="78"/>
        <v>1.0180681921296459</v>
      </c>
      <c r="O1256" s="31">
        <f t="shared" si="79"/>
        <v>1.132883885295799</v>
      </c>
    </row>
    <row r="1257" spans="1:15" x14ac:dyDescent="0.25">
      <c r="A1257" t="s">
        <v>6994</v>
      </c>
      <c r="B1257" t="s">
        <v>2515</v>
      </c>
      <c r="C1257" s="3" t="s">
        <v>2516</v>
      </c>
      <c r="D1257" s="24">
        <v>9.5942E-2</v>
      </c>
      <c r="E1257" s="25">
        <v>8.8070000000000004</v>
      </c>
      <c r="F1257" s="25">
        <v>8.5299999999999994</v>
      </c>
      <c r="G1257" s="26">
        <v>0.27679999999999999</v>
      </c>
      <c r="H1257" s="27">
        <v>0.14030000000000001</v>
      </c>
      <c r="I1257" s="26">
        <v>1.9730000000000001</v>
      </c>
      <c r="J1257" s="28">
        <v>6</v>
      </c>
      <c r="K1257" s="27">
        <v>0.211007</v>
      </c>
      <c r="L1257" s="29">
        <f t="shared" si="76"/>
        <v>0.67570313706748797</v>
      </c>
      <c r="M1257" s="29">
        <f t="shared" si="77"/>
        <v>0.27700000000000075</v>
      </c>
      <c r="N1257" s="30">
        <f t="shared" si="78"/>
        <v>1.0179912325043672</v>
      </c>
      <c r="O1257" s="31">
        <f t="shared" si="79"/>
        <v>1.2116726604302437</v>
      </c>
    </row>
    <row r="1258" spans="1:15" x14ac:dyDescent="0.25">
      <c r="A1258" t="s">
        <v>6995</v>
      </c>
      <c r="B1258" t="s">
        <v>2517</v>
      </c>
      <c r="C1258" s="3" t="s">
        <v>2518</v>
      </c>
      <c r="D1258" s="24">
        <v>9.6554000000000001E-2</v>
      </c>
      <c r="E1258" s="25">
        <v>9.1839999999999993</v>
      </c>
      <c r="F1258" s="25">
        <v>9.3219999999999992</v>
      </c>
      <c r="G1258" s="26">
        <v>-0.1384</v>
      </c>
      <c r="H1258" s="27">
        <v>7.0319999999999994E-2</v>
      </c>
      <c r="I1258" s="26">
        <v>1.968</v>
      </c>
      <c r="J1258" s="28">
        <v>6</v>
      </c>
      <c r="K1258" s="27">
        <v>0.21218300000000001</v>
      </c>
      <c r="L1258" s="29">
        <f t="shared" si="76"/>
        <v>0.67328941450605373</v>
      </c>
      <c r="M1258" s="29">
        <f t="shared" si="77"/>
        <v>-0.13799999999999954</v>
      </c>
      <c r="N1258" s="30">
        <f t="shared" si="78"/>
        <v>1.0152297297360253</v>
      </c>
      <c r="O1258" s="31">
        <f t="shared" si="79"/>
        <v>0.90877811644852036</v>
      </c>
    </row>
    <row r="1259" spans="1:15" x14ac:dyDescent="0.25">
      <c r="A1259" t="s">
        <v>6996</v>
      </c>
      <c r="B1259" t="s">
        <v>2525</v>
      </c>
      <c r="C1259" s="3" t="s">
        <v>2526</v>
      </c>
      <c r="D1259" s="24">
        <v>9.7205E-2</v>
      </c>
      <c r="E1259" s="25">
        <v>8.1660000000000004</v>
      </c>
      <c r="F1259" s="25">
        <v>8.4749999999999996</v>
      </c>
      <c r="G1259" s="26">
        <v>-0.309</v>
      </c>
      <c r="H1259" s="27">
        <v>0.1573</v>
      </c>
      <c r="I1259" s="26">
        <v>1.964</v>
      </c>
      <c r="J1259" s="28">
        <v>6</v>
      </c>
      <c r="K1259" s="27">
        <v>0.21257599999999999</v>
      </c>
      <c r="L1259" s="29">
        <f t="shared" si="76"/>
        <v>0.67248576923854442</v>
      </c>
      <c r="M1259" s="29">
        <f t="shared" si="77"/>
        <v>-0.30900000000000011</v>
      </c>
      <c r="N1259" s="30">
        <f t="shared" si="78"/>
        <v>1.0123113953971739</v>
      </c>
      <c r="O1259" s="31">
        <f t="shared" si="79"/>
        <v>0.80720107450476486</v>
      </c>
    </row>
    <row r="1260" spans="1:15" x14ac:dyDescent="0.25">
      <c r="A1260" t="s">
        <v>6997</v>
      </c>
      <c r="B1260" t="s">
        <v>2521</v>
      </c>
      <c r="C1260" s="3" t="s">
        <v>2522</v>
      </c>
      <c r="D1260" s="24">
        <v>9.6949999999999995E-2</v>
      </c>
      <c r="E1260" s="25">
        <v>9.7469999999999999</v>
      </c>
      <c r="F1260" s="25">
        <v>9.593</v>
      </c>
      <c r="G1260" s="26">
        <v>0.15429999999999999</v>
      </c>
      <c r="H1260" s="27">
        <v>7.85E-2</v>
      </c>
      <c r="I1260" s="26">
        <v>1.966</v>
      </c>
      <c r="J1260" s="28">
        <v>6</v>
      </c>
      <c r="K1260" s="27">
        <v>0.21257599999999999</v>
      </c>
      <c r="L1260" s="29">
        <f t="shared" si="76"/>
        <v>0.67248576923854442</v>
      </c>
      <c r="M1260" s="29">
        <f t="shared" si="77"/>
        <v>0.1539999999999995</v>
      </c>
      <c r="N1260" s="30">
        <f t="shared" si="78"/>
        <v>1.0134521865852757</v>
      </c>
      <c r="O1260" s="31">
        <f t="shared" si="79"/>
        <v>1.1126501205848336</v>
      </c>
    </row>
    <row r="1261" spans="1:15" x14ac:dyDescent="0.25">
      <c r="A1261" t="s">
        <v>6998</v>
      </c>
      <c r="B1261" t="s">
        <v>2527</v>
      </c>
      <c r="C1261" s="3" t="s">
        <v>2528</v>
      </c>
      <c r="D1261" s="24">
        <v>9.7250000000000003E-2</v>
      </c>
      <c r="E1261" s="25">
        <v>10.14</v>
      </c>
      <c r="F1261" s="25">
        <v>9.9309999999999992</v>
      </c>
      <c r="G1261" s="26">
        <v>0.2084</v>
      </c>
      <c r="H1261" s="27">
        <v>0.1062</v>
      </c>
      <c r="I1261" s="26">
        <v>1.9630000000000001</v>
      </c>
      <c r="J1261" s="28">
        <v>6</v>
      </c>
      <c r="K1261" s="27">
        <v>0.21257599999999999</v>
      </c>
      <c r="L1261" s="29">
        <f t="shared" si="76"/>
        <v>0.67248576923854442</v>
      </c>
      <c r="M1261" s="29">
        <f t="shared" si="77"/>
        <v>0.20900000000000127</v>
      </c>
      <c r="N1261" s="30">
        <f t="shared" si="78"/>
        <v>1.0121103900022546</v>
      </c>
      <c r="O1261" s="31">
        <f t="shared" si="79"/>
        <v>1.1558867065547997</v>
      </c>
    </row>
    <row r="1262" spans="1:15" x14ac:dyDescent="0.25">
      <c r="A1262" t="s">
        <v>6999</v>
      </c>
      <c r="B1262" t="s">
        <v>2519</v>
      </c>
      <c r="C1262" s="3" t="s">
        <v>2520</v>
      </c>
      <c r="D1262" s="24">
        <v>9.6891000000000005E-2</v>
      </c>
      <c r="E1262" s="25">
        <v>7.4109999999999996</v>
      </c>
      <c r="F1262" s="25">
        <v>6.9470000000000001</v>
      </c>
      <c r="G1262" s="26">
        <v>0.46400000000000002</v>
      </c>
      <c r="H1262" s="27">
        <v>0.23599999999999999</v>
      </c>
      <c r="I1262" s="26">
        <v>1.966</v>
      </c>
      <c r="J1262" s="28">
        <v>6</v>
      </c>
      <c r="K1262" s="27">
        <v>0.21257599999999999</v>
      </c>
      <c r="L1262" s="29">
        <f t="shared" si="76"/>
        <v>0.67248576923854442</v>
      </c>
      <c r="M1262" s="29">
        <f t="shared" si="77"/>
        <v>0.46399999999999886</v>
      </c>
      <c r="N1262" s="30">
        <f t="shared" si="78"/>
        <v>1.013716561771367</v>
      </c>
      <c r="O1262" s="31">
        <f t="shared" si="79"/>
        <v>1.3793609218270595</v>
      </c>
    </row>
    <row r="1263" spans="1:15" x14ac:dyDescent="0.25">
      <c r="A1263" t="s">
        <v>7000</v>
      </c>
      <c r="B1263" t="s">
        <v>2531</v>
      </c>
      <c r="C1263" s="3" t="s">
        <v>2532</v>
      </c>
      <c r="D1263" s="24">
        <v>9.7331000000000001E-2</v>
      </c>
      <c r="E1263" s="25">
        <v>9.2430000000000003</v>
      </c>
      <c r="F1263" s="25">
        <v>8.9930000000000003</v>
      </c>
      <c r="G1263" s="26">
        <v>0.25069999999999998</v>
      </c>
      <c r="H1263" s="27">
        <v>0.12770000000000001</v>
      </c>
      <c r="I1263" s="26">
        <v>1.9630000000000001</v>
      </c>
      <c r="J1263" s="28">
        <v>6</v>
      </c>
      <c r="K1263" s="27">
        <v>0.21257599999999999</v>
      </c>
      <c r="L1263" s="29">
        <f t="shared" si="76"/>
        <v>0.67248576923854442</v>
      </c>
      <c r="M1263" s="29">
        <f t="shared" si="77"/>
        <v>0.25000000000000078</v>
      </c>
      <c r="N1263" s="30">
        <f t="shared" si="78"/>
        <v>1.0117488145651243</v>
      </c>
      <c r="O1263" s="31">
        <f t="shared" si="79"/>
        <v>1.1892071150027217</v>
      </c>
    </row>
    <row r="1264" spans="1:15" x14ac:dyDescent="0.25">
      <c r="A1264" t="s">
        <v>7001</v>
      </c>
      <c r="B1264" t="s">
        <v>2533</v>
      </c>
      <c r="C1264" s="3" t="s">
        <v>2534</v>
      </c>
      <c r="D1264" s="24">
        <v>9.7348000000000004E-2</v>
      </c>
      <c r="E1264" s="25">
        <v>7.75</v>
      </c>
      <c r="F1264" s="25">
        <v>8.0609999999999999</v>
      </c>
      <c r="G1264" s="26">
        <v>-0.31119999999999998</v>
      </c>
      <c r="H1264" s="27">
        <v>0.15859999999999999</v>
      </c>
      <c r="I1264" s="26">
        <v>1.9630000000000001</v>
      </c>
      <c r="J1264" s="28">
        <v>6</v>
      </c>
      <c r="K1264" s="27">
        <v>0.21257599999999999</v>
      </c>
      <c r="L1264" s="29">
        <f t="shared" si="76"/>
        <v>0.67248576923854442</v>
      </c>
      <c r="M1264" s="29">
        <f t="shared" si="77"/>
        <v>-0.31099999999999967</v>
      </c>
      <c r="N1264" s="30">
        <f t="shared" si="78"/>
        <v>1.0116729665670234</v>
      </c>
      <c r="O1264" s="31">
        <f t="shared" si="79"/>
        <v>0.80608283149296778</v>
      </c>
    </row>
    <row r="1265" spans="1:15" x14ac:dyDescent="0.25">
      <c r="A1265" t="s">
        <v>7002</v>
      </c>
      <c r="B1265" t="s">
        <v>2523</v>
      </c>
      <c r="C1265" s="3" t="s">
        <v>2524</v>
      </c>
      <c r="D1265" s="24">
        <v>9.7054000000000001E-2</v>
      </c>
      <c r="E1265" s="25">
        <v>8.7620000000000005</v>
      </c>
      <c r="F1265" s="25">
        <v>8.2279999999999998</v>
      </c>
      <c r="G1265" s="26">
        <v>0.53449999999999998</v>
      </c>
      <c r="H1265" s="27">
        <v>0.27200000000000002</v>
      </c>
      <c r="I1265" s="26">
        <v>1.9650000000000001</v>
      </c>
      <c r="J1265" s="28">
        <v>6</v>
      </c>
      <c r="K1265" s="27">
        <v>0.21257599999999999</v>
      </c>
      <c r="L1265" s="29">
        <f t="shared" si="76"/>
        <v>0.67248576923854442</v>
      </c>
      <c r="M1265" s="29">
        <f t="shared" si="77"/>
        <v>0.53400000000000047</v>
      </c>
      <c r="N1265" s="30">
        <f t="shared" si="78"/>
        <v>1.0129865608203998</v>
      </c>
      <c r="O1265" s="31">
        <f t="shared" si="79"/>
        <v>1.4479381723795595</v>
      </c>
    </row>
    <row r="1266" spans="1:15" x14ac:dyDescent="0.25">
      <c r="A1266" t="s">
        <v>7003</v>
      </c>
      <c r="B1266" t="s">
        <v>2529</v>
      </c>
      <c r="C1266" s="3" t="s">
        <v>2530</v>
      </c>
      <c r="D1266" s="24">
        <v>9.7303000000000001E-2</v>
      </c>
      <c r="E1266" s="25">
        <v>7.9320000000000004</v>
      </c>
      <c r="F1266" s="25">
        <v>7.3410000000000002</v>
      </c>
      <c r="G1266" s="26">
        <v>0.59150000000000003</v>
      </c>
      <c r="H1266" s="27">
        <v>0.30130000000000001</v>
      </c>
      <c r="I1266" s="26">
        <v>1.9630000000000001</v>
      </c>
      <c r="J1266" s="28">
        <v>6</v>
      </c>
      <c r="K1266" s="27">
        <v>0.21257599999999999</v>
      </c>
      <c r="L1266" s="29">
        <f t="shared" si="76"/>
        <v>0.67248576923854442</v>
      </c>
      <c r="M1266" s="29">
        <f t="shared" si="77"/>
        <v>0.59100000000000008</v>
      </c>
      <c r="N1266" s="30">
        <f t="shared" si="78"/>
        <v>1.0118737695635025</v>
      </c>
      <c r="O1266" s="31">
        <f t="shared" si="79"/>
        <v>1.5062904666338124</v>
      </c>
    </row>
    <row r="1267" spans="1:15" x14ac:dyDescent="0.25">
      <c r="A1267" t="s">
        <v>7004</v>
      </c>
      <c r="B1267" t="s">
        <v>2535</v>
      </c>
      <c r="C1267" s="3" t="s">
        <v>2536</v>
      </c>
      <c r="D1267" s="24">
        <v>9.7446000000000005E-2</v>
      </c>
      <c r="E1267" s="25">
        <v>12.5</v>
      </c>
      <c r="F1267" s="25">
        <v>12.75</v>
      </c>
      <c r="G1267" s="26">
        <v>-0.24890000000000001</v>
      </c>
      <c r="H1267" s="27">
        <v>0.12690000000000001</v>
      </c>
      <c r="I1267" s="26">
        <v>1.962</v>
      </c>
      <c r="J1267" s="28">
        <v>6</v>
      </c>
      <c r="K1267" s="27">
        <v>0.21262300000000001</v>
      </c>
      <c r="L1267" s="29">
        <f t="shared" si="76"/>
        <v>0.67238975847307891</v>
      </c>
      <c r="M1267" s="29">
        <f t="shared" si="77"/>
        <v>-0.24999999999999817</v>
      </c>
      <c r="N1267" s="30">
        <f t="shared" si="78"/>
        <v>1.0112359832634585</v>
      </c>
      <c r="O1267" s="31">
        <f t="shared" si="79"/>
        <v>0.84089641525371561</v>
      </c>
    </row>
    <row r="1268" spans="1:15" x14ac:dyDescent="0.25">
      <c r="A1268" t="s">
        <v>7005</v>
      </c>
      <c r="B1268" t="s">
        <v>2539</v>
      </c>
      <c r="C1268" s="3" t="s">
        <v>2540</v>
      </c>
      <c r="D1268" s="24">
        <v>9.7755999999999996E-2</v>
      </c>
      <c r="E1268" s="25">
        <v>7.9009999999999998</v>
      </c>
      <c r="F1268" s="25">
        <v>7.18</v>
      </c>
      <c r="G1268" s="26">
        <v>0.72099999999999997</v>
      </c>
      <c r="H1268" s="27">
        <v>0.36799999999999999</v>
      </c>
      <c r="I1268" s="26">
        <v>1.96</v>
      </c>
      <c r="J1268" s="28">
        <v>6</v>
      </c>
      <c r="K1268" s="27">
        <v>0.21296300000000001</v>
      </c>
      <c r="L1268" s="29">
        <f t="shared" si="76"/>
        <v>0.67169584393988824</v>
      </c>
      <c r="M1268" s="29">
        <f t="shared" si="77"/>
        <v>0.72100000000000142</v>
      </c>
      <c r="N1268" s="30">
        <f t="shared" si="78"/>
        <v>1.009856577288389</v>
      </c>
      <c r="O1268" s="31">
        <f t="shared" si="79"/>
        <v>1.6483241699064826</v>
      </c>
    </row>
    <row r="1269" spans="1:15" x14ac:dyDescent="0.25">
      <c r="A1269" t="s">
        <v>7006</v>
      </c>
      <c r="B1269" t="s">
        <v>2537</v>
      </c>
      <c r="C1269" s="3" t="s">
        <v>2538</v>
      </c>
      <c r="D1269" s="24">
        <v>9.7720000000000001E-2</v>
      </c>
      <c r="E1269" s="25">
        <v>9.9730000000000008</v>
      </c>
      <c r="F1269" s="25">
        <v>10.46</v>
      </c>
      <c r="G1269" s="26">
        <v>-0.48280000000000001</v>
      </c>
      <c r="H1269" s="27">
        <v>0.24629999999999999</v>
      </c>
      <c r="I1269" s="26">
        <v>1.96</v>
      </c>
      <c r="J1269" s="28">
        <v>6</v>
      </c>
      <c r="K1269" s="27">
        <v>0.21296300000000001</v>
      </c>
      <c r="L1269" s="29">
        <f t="shared" si="76"/>
        <v>0.67169584393988824</v>
      </c>
      <c r="M1269" s="29">
        <f t="shared" si="77"/>
        <v>-0.48700000000000093</v>
      </c>
      <c r="N1269" s="30">
        <f t="shared" si="78"/>
        <v>1.0100165416986009</v>
      </c>
      <c r="O1269" s="31">
        <f t="shared" si="79"/>
        <v>0.7135072528589389</v>
      </c>
    </row>
    <row r="1270" spans="1:15" x14ac:dyDescent="0.25">
      <c r="A1270" t="s">
        <v>7007</v>
      </c>
      <c r="B1270" t="s">
        <v>2541</v>
      </c>
      <c r="C1270" s="3" t="s">
        <v>2542</v>
      </c>
      <c r="D1270" s="24">
        <v>9.7867999999999997E-2</v>
      </c>
      <c r="E1270" s="25">
        <v>9.0359999999999996</v>
      </c>
      <c r="F1270" s="25">
        <v>8.4909999999999997</v>
      </c>
      <c r="G1270" s="26">
        <v>0.54479999999999995</v>
      </c>
      <c r="H1270" s="27">
        <v>0.27810000000000001</v>
      </c>
      <c r="I1270" s="26">
        <v>1.9590000000000001</v>
      </c>
      <c r="J1270" s="28">
        <v>6</v>
      </c>
      <c r="K1270" s="27">
        <v>0.21302699999999999</v>
      </c>
      <c r="L1270" s="29">
        <f t="shared" si="76"/>
        <v>0.67156534863694239</v>
      </c>
      <c r="M1270" s="29">
        <f t="shared" si="77"/>
        <v>0.54499999999999993</v>
      </c>
      <c r="N1270" s="30">
        <f t="shared" si="78"/>
        <v>1.0093592866973797</v>
      </c>
      <c r="O1270" s="31">
        <f t="shared" si="79"/>
        <v>1.4590203442401752</v>
      </c>
    </row>
    <row r="1271" spans="1:15" x14ac:dyDescent="0.25">
      <c r="A1271" t="s">
        <v>7008</v>
      </c>
      <c r="B1271" t="s">
        <v>2543</v>
      </c>
      <c r="C1271" s="3" t="s">
        <v>2544</v>
      </c>
      <c r="D1271" s="24">
        <v>9.7939999999999999E-2</v>
      </c>
      <c r="E1271" s="25">
        <v>7.468</v>
      </c>
      <c r="F1271" s="25">
        <v>7.117</v>
      </c>
      <c r="G1271" s="26">
        <v>0.35110000000000002</v>
      </c>
      <c r="H1271" s="27">
        <v>0.17929999999999999</v>
      </c>
      <c r="I1271" s="26">
        <v>1.958</v>
      </c>
      <c r="J1271" s="28">
        <v>6</v>
      </c>
      <c r="K1271" s="27">
        <v>0.21302699999999999</v>
      </c>
      <c r="L1271" s="29">
        <f t="shared" si="76"/>
        <v>0.67156534863694239</v>
      </c>
      <c r="M1271" s="29">
        <f t="shared" si="77"/>
        <v>0.35100000000000109</v>
      </c>
      <c r="N1271" s="30">
        <f t="shared" si="78"/>
        <v>1.0090399003178006</v>
      </c>
      <c r="O1271" s="31">
        <f t="shared" si="79"/>
        <v>1.2754443916785452</v>
      </c>
    </row>
    <row r="1272" spans="1:15" x14ac:dyDescent="0.25">
      <c r="A1272" t="s">
        <v>7009</v>
      </c>
      <c r="B1272" t="s">
        <v>2545</v>
      </c>
      <c r="C1272" s="3" t="s">
        <v>2546</v>
      </c>
      <c r="D1272" s="24">
        <v>9.8108000000000001E-2</v>
      </c>
      <c r="E1272" s="25">
        <v>13.61</v>
      </c>
      <c r="F1272" s="25">
        <v>13.41</v>
      </c>
      <c r="G1272" s="26">
        <v>0.20069999999999999</v>
      </c>
      <c r="H1272" s="27">
        <v>0.1026</v>
      </c>
      <c r="I1272" s="26">
        <v>1.9570000000000001</v>
      </c>
      <c r="J1272" s="28">
        <v>6</v>
      </c>
      <c r="K1272" s="27">
        <v>0.213224</v>
      </c>
      <c r="L1272" s="29">
        <f t="shared" si="76"/>
        <v>0.67116391371232509</v>
      </c>
      <c r="M1272" s="29">
        <f t="shared" si="77"/>
        <v>0.19999999999999762</v>
      </c>
      <c r="N1272" s="30">
        <f t="shared" si="78"/>
        <v>1.0082955775925586</v>
      </c>
      <c r="O1272" s="31">
        <f t="shared" si="79"/>
        <v>1.1486983549970331</v>
      </c>
    </row>
    <row r="1273" spans="1:15" x14ac:dyDescent="0.25">
      <c r="A1273" t="s">
        <v>7010</v>
      </c>
      <c r="B1273" t="s">
        <v>2547</v>
      </c>
      <c r="C1273" s="3" t="s">
        <v>2548</v>
      </c>
      <c r="D1273" s="24">
        <v>9.8285999999999998E-2</v>
      </c>
      <c r="E1273" s="25">
        <v>7.64</v>
      </c>
      <c r="F1273" s="25">
        <v>7.9619999999999997</v>
      </c>
      <c r="G1273" s="26">
        <v>-0.3226</v>
      </c>
      <c r="H1273" s="27">
        <v>0.16500000000000001</v>
      </c>
      <c r="I1273" s="26">
        <v>1.956</v>
      </c>
      <c r="J1273" s="28">
        <v>6</v>
      </c>
      <c r="K1273" s="27">
        <v>0.21344399999999999</v>
      </c>
      <c r="L1273" s="29">
        <f t="shared" si="76"/>
        <v>0.67071604888774894</v>
      </c>
      <c r="M1273" s="29">
        <f t="shared" si="77"/>
        <v>-0.32199999999999906</v>
      </c>
      <c r="N1273" s="30">
        <f t="shared" si="78"/>
        <v>1.0075083392966213</v>
      </c>
      <c r="O1273" s="31">
        <f t="shared" si="79"/>
        <v>0.7999601283327531</v>
      </c>
    </row>
    <row r="1274" spans="1:15" x14ac:dyDescent="0.25">
      <c r="A1274" t="s">
        <v>7011</v>
      </c>
      <c r="B1274" t="s">
        <v>2555</v>
      </c>
      <c r="C1274" s="3" t="s">
        <v>2556</v>
      </c>
      <c r="D1274" s="24">
        <v>9.8732E-2</v>
      </c>
      <c r="E1274" s="25">
        <v>8.0129999999999999</v>
      </c>
      <c r="F1274" s="25">
        <v>7.74</v>
      </c>
      <c r="G1274" s="26">
        <v>0.27279999999999999</v>
      </c>
      <c r="H1274" s="27">
        <v>0.13969999999999999</v>
      </c>
      <c r="I1274" s="26">
        <v>1.952</v>
      </c>
      <c r="J1274" s="28">
        <v>6</v>
      </c>
      <c r="K1274" s="27">
        <v>0.213671</v>
      </c>
      <c r="L1274" s="29">
        <f t="shared" si="76"/>
        <v>0.67025441744575209</v>
      </c>
      <c r="M1274" s="29">
        <f t="shared" si="77"/>
        <v>0.27299999999999991</v>
      </c>
      <c r="N1274" s="30">
        <f t="shared" si="78"/>
        <v>1.0055420654556659</v>
      </c>
      <c r="O1274" s="31">
        <f t="shared" si="79"/>
        <v>1.2083178433899424</v>
      </c>
    </row>
    <row r="1275" spans="1:15" x14ac:dyDescent="0.25">
      <c r="A1275" t="s">
        <v>7012</v>
      </c>
      <c r="B1275" t="s">
        <v>2561</v>
      </c>
      <c r="C1275" s="3" t="s">
        <v>2562</v>
      </c>
      <c r="D1275" s="24">
        <v>9.8932000000000006E-2</v>
      </c>
      <c r="E1275" s="25">
        <v>10.23</v>
      </c>
      <c r="F1275" s="25">
        <v>10.1</v>
      </c>
      <c r="G1275" s="26">
        <v>0.12690000000000001</v>
      </c>
      <c r="H1275" s="27">
        <v>6.5040000000000001E-2</v>
      </c>
      <c r="I1275" s="26">
        <v>1.9510000000000001</v>
      </c>
      <c r="J1275" s="28">
        <v>6</v>
      </c>
      <c r="K1275" s="27">
        <v>0.213671</v>
      </c>
      <c r="L1275" s="29">
        <f t="shared" si="76"/>
        <v>0.67025441744575209</v>
      </c>
      <c r="M1275" s="29">
        <f t="shared" si="77"/>
        <v>0.13000000000000136</v>
      </c>
      <c r="N1275" s="30">
        <f t="shared" si="78"/>
        <v>1.0046632111774767</v>
      </c>
      <c r="O1275" s="31">
        <f t="shared" si="79"/>
        <v>1.0942937012607405</v>
      </c>
    </row>
    <row r="1276" spans="1:15" x14ac:dyDescent="0.25">
      <c r="A1276" t="s">
        <v>7013</v>
      </c>
      <c r="B1276" t="s">
        <v>2549</v>
      </c>
      <c r="C1276" s="3" t="s">
        <v>2550</v>
      </c>
      <c r="D1276" s="24">
        <v>9.8570000000000005E-2</v>
      </c>
      <c r="E1276" s="25">
        <v>8.7970000000000006</v>
      </c>
      <c r="F1276" s="25">
        <v>9.0399999999999991</v>
      </c>
      <c r="G1276" s="26">
        <v>-0.2429</v>
      </c>
      <c r="H1276" s="27">
        <v>0.1244</v>
      </c>
      <c r="I1276" s="26">
        <v>1.954</v>
      </c>
      <c r="J1276" s="28">
        <v>6</v>
      </c>
      <c r="K1276" s="27">
        <v>0.213671</v>
      </c>
      <c r="L1276" s="29">
        <f t="shared" si="76"/>
        <v>0.67025441744575209</v>
      </c>
      <c r="M1276" s="29">
        <f t="shared" si="77"/>
        <v>-0.24299999999999908</v>
      </c>
      <c r="N1276" s="30">
        <f t="shared" si="78"/>
        <v>1.0062552434455376</v>
      </c>
      <c r="O1276" s="31">
        <f t="shared" si="79"/>
        <v>0.84498638441251406</v>
      </c>
    </row>
    <row r="1277" spans="1:15" x14ac:dyDescent="0.25">
      <c r="A1277" t="s">
        <v>7014</v>
      </c>
      <c r="B1277" t="s">
        <v>2559</v>
      </c>
      <c r="C1277" s="3" t="s">
        <v>2560</v>
      </c>
      <c r="D1277" s="24">
        <v>9.8928000000000002E-2</v>
      </c>
      <c r="E1277" s="25">
        <v>9.282</v>
      </c>
      <c r="F1277" s="25">
        <v>8.9030000000000005</v>
      </c>
      <c r="G1277" s="26">
        <v>0.37909999999999999</v>
      </c>
      <c r="H1277" s="27">
        <v>0.1943</v>
      </c>
      <c r="I1277" s="26">
        <v>1.9510000000000001</v>
      </c>
      <c r="J1277" s="28">
        <v>6</v>
      </c>
      <c r="K1277" s="27">
        <v>0.213671</v>
      </c>
      <c r="L1277" s="29">
        <f t="shared" si="76"/>
        <v>0.67025441744575209</v>
      </c>
      <c r="M1277" s="29">
        <f t="shared" si="77"/>
        <v>0.37900000000000023</v>
      </c>
      <c r="N1277" s="30">
        <f t="shared" si="78"/>
        <v>1.0046807708451999</v>
      </c>
      <c r="O1277" s="31">
        <f t="shared" si="79"/>
        <v>1.3004401465484805</v>
      </c>
    </row>
    <row r="1278" spans="1:15" x14ac:dyDescent="0.25">
      <c r="A1278" t="s">
        <v>7015</v>
      </c>
      <c r="B1278" t="s">
        <v>2553</v>
      </c>
      <c r="C1278" s="3" t="s">
        <v>2554</v>
      </c>
      <c r="D1278" s="24">
        <v>9.8709000000000005E-2</v>
      </c>
      <c r="E1278" s="25">
        <v>6.4779999999999998</v>
      </c>
      <c r="F1278" s="25">
        <v>7.1470000000000002</v>
      </c>
      <c r="G1278" s="26">
        <v>-0.66830000000000001</v>
      </c>
      <c r="H1278" s="27">
        <v>0.34229999999999999</v>
      </c>
      <c r="I1278" s="26">
        <v>1.9530000000000001</v>
      </c>
      <c r="J1278" s="28">
        <v>6</v>
      </c>
      <c r="K1278" s="27">
        <v>0.213671</v>
      </c>
      <c r="L1278" s="29">
        <f t="shared" si="76"/>
        <v>0.67025441744575209</v>
      </c>
      <c r="M1278" s="29">
        <f t="shared" si="77"/>
        <v>-0.66900000000000115</v>
      </c>
      <c r="N1278" s="30">
        <f t="shared" si="78"/>
        <v>1.0056432478152464</v>
      </c>
      <c r="O1278" s="31">
        <f t="shared" si="79"/>
        <v>0.6289424859180085</v>
      </c>
    </row>
    <row r="1279" spans="1:15" x14ac:dyDescent="0.25">
      <c r="A1279" t="s">
        <v>7016</v>
      </c>
      <c r="B1279" t="s">
        <v>2557</v>
      </c>
      <c r="C1279" s="3" t="s">
        <v>2558</v>
      </c>
      <c r="D1279" s="24">
        <v>9.8862000000000005E-2</v>
      </c>
      <c r="E1279" s="25">
        <v>7.5510000000000002</v>
      </c>
      <c r="F1279" s="25">
        <v>8.4949999999999992</v>
      </c>
      <c r="G1279" s="26">
        <v>-0.94359999999999999</v>
      </c>
      <c r="H1279" s="27">
        <v>0.48349999999999999</v>
      </c>
      <c r="I1279" s="26">
        <v>1.9510000000000001</v>
      </c>
      <c r="J1279" s="28">
        <v>6</v>
      </c>
      <c r="K1279" s="27">
        <v>0.213671</v>
      </c>
      <c r="L1279" s="29">
        <f t="shared" si="76"/>
        <v>0.67025441744575209</v>
      </c>
      <c r="M1279" s="29">
        <f t="shared" si="77"/>
        <v>-0.94399999999999973</v>
      </c>
      <c r="N1279" s="30">
        <f t="shared" si="78"/>
        <v>1.0049706079134992</v>
      </c>
      <c r="O1279" s="31">
        <f t="shared" si="79"/>
        <v>0.51978971758763948</v>
      </c>
    </row>
    <row r="1280" spans="1:15" x14ac:dyDescent="0.25">
      <c r="A1280" t="s">
        <v>7017</v>
      </c>
      <c r="B1280" t="s">
        <v>2551</v>
      </c>
      <c r="C1280" s="3" t="s">
        <v>2552</v>
      </c>
      <c r="D1280" s="24">
        <v>9.8692000000000002E-2</v>
      </c>
      <c r="E1280" s="25">
        <v>11.63</v>
      </c>
      <c r="F1280" s="25">
        <v>12.15</v>
      </c>
      <c r="G1280" s="26">
        <v>-0.52170000000000005</v>
      </c>
      <c r="H1280" s="27">
        <v>0.26719999999999999</v>
      </c>
      <c r="I1280" s="26">
        <v>1.9530000000000001</v>
      </c>
      <c r="J1280" s="28">
        <v>6</v>
      </c>
      <c r="K1280" s="27">
        <v>0.213671</v>
      </c>
      <c r="L1280" s="29">
        <f t="shared" si="76"/>
        <v>0.67025441744575209</v>
      </c>
      <c r="M1280" s="29">
        <f t="shared" si="77"/>
        <v>-0.51999999999999968</v>
      </c>
      <c r="N1280" s="30">
        <f t="shared" si="78"/>
        <v>1.0057180499308447</v>
      </c>
      <c r="O1280" s="31">
        <f t="shared" si="79"/>
        <v>0.6973718331752029</v>
      </c>
    </row>
    <row r="1281" spans="1:15" x14ac:dyDescent="0.25">
      <c r="A1281" t="s">
        <v>7018</v>
      </c>
      <c r="B1281" t="s">
        <v>2563</v>
      </c>
      <c r="C1281" s="3" t="s">
        <v>2564</v>
      </c>
      <c r="D1281" s="24">
        <v>9.9030999999999994E-2</v>
      </c>
      <c r="E1281" s="25">
        <v>8.8539999999999992</v>
      </c>
      <c r="F1281" s="25">
        <v>8.6359999999999992</v>
      </c>
      <c r="G1281" s="26">
        <v>0.21790000000000001</v>
      </c>
      <c r="H1281" s="27">
        <v>0.11169999999999999</v>
      </c>
      <c r="I1281" s="26">
        <v>1.95</v>
      </c>
      <c r="J1281" s="28">
        <v>6</v>
      </c>
      <c r="K1281" s="27">
        <v>0.21371799999999999</v>
      </c>
      <c r="L1281" s="29">
        <f t="shared" si="76"/>
        <v>0.67015889865265388</v>
      </c>
      <c r="M1281" s="29">
        <f t="shared" si="77"/>
        <v>0.21799999999999997</v>
      </c>
      <c r="N1281" s="30">
        <f t="shared" si="78"/>
        <v>1.0042288354881541</v>
      </c>
      <c r="O1281" s="31">
        <f t="shared" si="79"/>
        <v>1.1631200415478509</v>
      </c>
    </row>
    <row r="1282" spans="1:15" x14ac:dyDescent="0.25">
      <c r="A1282" t="s">
        <v>7019</v>
      </c>
      <c r="B1282" t="s">
        <v>2565</v>
      </c>
      <c r="C1282" s="3" t="s">
        <v>2566</v>
      </c>
      <c r="D1282" s="24">
        <v>9.937E-2</v>
      </c>
      <c r="E1282" s="25">
        <v>10.76</v>
      </c>
      <c r="F1282" s="25">
        <v>10.42</v>
      </c>
      <c r="G1282" s="26">
        <v>0.33310000000000001</v>
      </c>
      <c r="H1282" s="27">
        <v>0.17100000000000001</v>
      </c>
      <c r="I1282" s="26">
        <v>1.948</v>
      </c>
      <c r="J1282" s="28">
        <v>6</v>
      </c>
      <c r="K1282" s="27">
        <v>0.21418000000000001</v>
      </c>
      <c r="L1282" s="29">
        <f t="shared" ref="L1282:L1345" si="80">-LOG(K1282,10)</f>
        <v>0.66922108576918193</v>
      </c>
      <c r="M1282" s="29">
        <f t="shared" ref="M1282:M1345" si="81">LOG(O1282,2)</f>
        <v>0.34000000000000025</v>
      </c>
      <c r="N1282" s="30">
        <f t="shared" ref="N1282:N1345" si="82">-LOG(D1282,10)</f>
        <v>1.0027447101798967</v>
      </c>
      <c r="O1282" s="31">
        <f t="shared" ref="O1282:O1345" si="83">((2^E1282)/(2^F1282))</f>
        <v>1.2657565939702802</v>
      </c>
    </row>
    <row r="1283" spans="1:15" x14ac:dyDescent="0.25">
      <c r="A1283" t="s">
        <v>7020</v>
      </c>
      <c r="B1283" t="s">
        <v>2567</v>
      </c>
      <c r="C1283" s="3" t="s">
        <v>2568</v>
      </c>
      <c r="D1283" s="24">
        <v>9.9400000000000002E-2</v>
      </c>
      <c r="E1283" s="25">
        <v>10.7</v>
      </c>
      <c r="F1283" s="25">
        <v>10.42</v>
      </c>
      <c r="G1283" s="26">
        <v>0.2757</v>
      </c>
      <c r="H1283" s="27">
        <v>0.1416</v>
      </c>
      <c r="I1283" s="26">
        <v>1.948</v>
      </c>
      <c r="J1283" s="28">
        <v>6</v>
      </c>
      <c r="K1283" s="27">
        <v>0.21418000000000001</v>
      </c>
      <c r="L1283" s="29">
        <f t="shared" si="80"/>
        <v>0.66922108576918193</v>
      </c>
      <c r="M1283" s="29">
        <f t="shared" si="81"/>
        <v>0.27999999999999936</v>
      </c>
      <c r="N1283" s="30">
        <f t="shared" si="82"/>
        <v>1.0026136156026866</v>
      </c>
      <c r="O1283" s="31">
        <f t="shared" si="83"/>
        <v>1.2141948843950463</v>
      </c>
    </row>
    <row r="1284" spans="1:15" x14ac:dyDescent="0.25">
      <c r="A1284" t="s">
        <v>7021</v>
      </c>
      <c r="B1284" t="s">
        <v>2569</v>
      </c>
      <c r="C1284" s="3" t="s">
        <v>2570</v>
      </c>
      <c r="D1284" s="24">
        <v>9.9639000000000005E-2</v>
      </c>
      <c r="E1284" s="25">
        <v>9.7639999999999993</v>
      </c>
      <c r="F1284" s="25">
        <v>9.4529999999999994</v>
      </c>
      <c r="G1284" s="26">
        <v>0.31059999999999999</v>
      </c>
      <c r="H1284" s="27">
        <v>0.15959999999999999</v>
      </c>
      <c r="I1284" s="26">
        <v>1.946</v>
      </c>
      <c r="J1284" s="28">
        <v>6</v>
      </c>
      <c r="K1284" s="27">
        <v>0.214527</v>
      </c>
      <c r="L1284" s="29">
        <f t="shared" si="80"/>
        <v>0.66851804048123176</v>
      </c>
      <c r="M1284" s="29">
        <f t="shared" si="81"/>
        <v>0.31099999999999955</v>
      </c>
      <c r="N1284" s="30">
        <f t="shared" si="82"/>
        <v>1.0015706397933113</v>
      </c>
      <c r="O1284" s="31">
        <f t="shared" si="83"/>
        <v>1.2405672977153885</v>
      </c>
    </row>
    <row r="1285" spans="1:15" x14ac:dyDescent="0.25">
      <c r="A1285" t="s">
        <v>7022</v>
      </c>
      <c r="B1285" t="s">
        <v>2571</v>
      </c>
      <c r="C1285" s="3" t="s">
        <v>2572</v>
      </c>
      <c r="D1285" s="24">
        <v>0.100297</v>
      </c>
      <c r="E1285" s="25">
        <v>8.1980000000000004</v>
      </c>
      <c r="F1285" s="25">
        <v>8.68</v>
      </c>
      <c r="G1285" s="26">
        <v>-0.48220000000000002</v>
      </c>
      <c r="H1285" s="27">
        <v>0.24840000000000001</v>
      </c>
      <c r="I1285" s="26">
        <v>1.9410000000000001</v>
      </c>
      <c r="J1285" s="28">
        <v>6</v>
      </c>
      <c r="K1285" s="27">
        <v>0.215776</v>
      </c>
      <c r="L1285" s="29">
        <f t="shared" si="80"/>
        <v>0.66599686200345387</v>
      </c>
      <c r="M1285" s="29">
        <f t="shared" si="81"/>
        <v>-0.48199999999999904</v>
      </c>
      <c r="N1285" s="30">
        <f t="shared" si="82"/>
        <v>0.99871205703871335</v>
      </c>
      <c r="O1285" s="31">
        <f t="shared" si="83"/>
        <v>0.7159843706005723</v>
      </c>
    </row>
    <row r="1286" spans="1:15" x14ac:dyDescent="0.25">
      <c r="A1286" t="s">
        <v>7023</v>
      </c>
      <c r="B1286" t="s">
        <v>2573</v>
      </c>
      <c r="C1286" s="3" t="s">
        <v>2574</v>
      </c>
      <c r="D1286" s="24">
        <v>0.100665</v>
      </c>
      <c r="E1286" s="25">
        <v>8.3989999999999991</v>
      </c>
      <c r="F1286" s="25">
        <v>8.9529999999999994</v>
      </c>
      <c r="G1286" s="26">
        <v>-0.55369999999999997</v>
      </c>
      <c r="H1286" s="27">
        <v>0.28560000000000002</v>
      </c>
      <c r="I1286" s="26">
        <v>1.9379999999999999</v>
      </c>
      <c r="J1286" s="28">
        <v>6</v>
      </c>
      <c r="K1286" s="27">
        <v>0.21626300000000001</v>
      </c>
      <c r="L1286" s="29">
        <f t="shared" si="80"/>
        <v>0.66501777677149332</v>
      </c>
      <c r="M1286" s="29">
        <f t="shared" si="81"/>
        <v>-0.55399999999999994</v>
      </c>
      <c r="N1286" s="30">
        <f t="shared" si="82"/>
        <v>0.99712150212802664</v>
      </c>
      <c r="O1286" s="31">
        <f t="shared" si="83"/>
        <v>0.68112901732024411</v>
      </c>
    </row>
    <row r="1287" spans="1:15" x14ac:dyDescent="0.25">
      <c r="A1287" t="s">
        <v>7024</v>
      </c>
      <c r="B1287" t="s">
        <v>2575</v>
      </c>
      <c r="C1287" s="3" t="s">
        <v>2576</v>
      </c>
      <c r="D1287" s="24">
        <v>0.10068000000000001</v>
      </c>
      <c r="E1287" s="25">
        <v>8.0570000000000004</v>
      </c>
      <c r="F1287" s="25">
        <v>7.4560000000000004</v>
      </c>
      <c r="G1287" s="26">
        <v>0.60029999999999994</v>
      </c>
      <c r="H1287" s="27">
        <v>0.30969999999999998</v>
      </c>
      <c r="I1287" s="26">
        <v>1.9379999999999999</v>
      </c>
      <c r="J1287" s="28">
        <v>6</v>
      </c>
      <c r="K1287" s="27">
        <v>0.21626300000000001</v>
      </c>
      <c r="L1287" s="29">
        <f t="shared" si="80"/>
        <v>0.66501777677149332</v>
      </c>
      <c r="M1287" s="29">
        <f t="shared" si="81"/>
        <v>0.6009999999999992</v>
      </c>
      <c r="N1287" s="30">
        <f t="shared" si="82"/>
        <v>0.99705679312367479</v>
      </c>
      <c r="O1287" s="31">
        <f t="shared" si="83"/>
        <v>1.5167675453744414</v>
      </c>
    </row>
    <row r="1288" spans="1:15" x14ac:dyDescent="0.25">
      <c r="A1288" t="s">
        <v>7025</v>
      </c>
      <c r="B1288" t="s">
        <v>2579</v>
      </c>
      <c r="C1288" s="3" t="s">
        <v>2580</v>
      </c>
      <c r="D1288" s="24">
        <v>0.100895</v>
      </c>
      <c r="E1288" s="25">
        <v>9.2080000000000002</v>
      </c>
      <c r="F1288" s="25">
        <v>9.468</v>
      </c>
      <c r="G1288" s="26">
        <v>-0.25919999999999999</v>
      </c>
      <c r="H1288" s="27">
        <v>0.1338</v>
      </c>
      <c r="I1288" s="26">
        <v>1.9370000000000001</v>
      </c>
      <c r="J1288" s="28">
        <v>6</v>
      </c>
      <c r="K1288" s="27">
        <v>0.216387</v>
      </c>
      <c r="L1288" s="29">
        <f t="shared" si="80"/>
        <v>0.66476883412856935</v>
      </c>
      <c r="M1288" s="29">
        <f t="shared" si="81"/>
        <v>-0.25999999999999962</v>
      </c>
      <c r="N1288" s="30">
        <f t="shared" si="82"/>
        <v>0.99613035533111594</v>
      </c>
      <c r="O1288" s="31">
        <f t="shared" si="83"/>
        <v>0.83508791942836957</v>
      </c>
    </row>
    <row r="1289" spans="1:15" x14ac:dyDescent="0.25">
      <c r="A1289" t="s">
        <v>7026</v>
      </c>
      <c r="B1289" t="s">
        <v>2577</v>
      </c>
      <c r="C1289" s="3" t="s">
        <v>2578</v>
      </c>
      <c r="D1289" s="24">
        <v>0.10084600000000001</v>
      </c>
      <c r="E1289" s="25">
        <v>9.5530000000000008</v>
      </c>
      <c r="F1289" s="25">
        <v>9.9179999999999993</v>
      </c>
      <c r="G1289" s="26">
        <v>-0.36499999999999999</v>
      </c>
      <c r="H1289" s="27">
        <v>0.18840000000000001</v>
      </c>
      <c r="I1289" s="26">
        <v>1.9370000000000001</v>
      </c>
      <c r="J1289" s="28">
        <v>6</v>
      </c>
      <c r="K1289" s="27">
        <v>0.216387</v>
      </c>
      <c r="L1289" s="29">
        <f t="shared" si="80"/>
        <v>0.66476883412856935</v>
      </c>
      <c r="M1289" s="29">
        <f t="shared" si="81"/>
        <v>-0.36499999999999799</v>
      </c>
      <c r="N1289" s="30">
        <f t="shared" si="82"/>
        <v>0.99634132315651303</v>
      </c>
      <c r="O1289" s="31">
        <f t="shared" si="83"/>
        <v>0.77646887500104078</v>
      </c>
    </row>
    <row r="1290" spans="1:15" x14ac:dyDescent="0.25">
      <c r="A1290" t="s">
        <v>7027</v>
      </c>
      <c r="B1290" t="s">
        <v>2581</v>
      </c>
      <c r="C1290" s="3" t="s">
        <v>2582</v>
      </c>
      <c r="D1290" s="24">
        <v>0.10147100000000001</v>
      </c>
      <c r="E1290" s="25">
        <v>8.1199999999999992</v>
      </c>
      <c r="F1290" s="25">
        <v>8.3239999999999998</v>
      </c>
      <c r="G1290" s="26">
        <v>-0.2036</v>
      </c>
      <c r="H1290" s="27">
        <v>0.10539999999999999</v>
      </c>
      <c r="I1290" s="26">
        <v>1.9330000000000001</v>
      </c>
      <c r="J1290" s="28">
        <v>6</v>
      </c>
      <c r="K1290" s="27">
        <v>0.21745500000000001</v>
      </c>
      <c r="L1290" s="29">
        <f t="shared" si="80"/>
        <v>0.66263060203660928</v>
      </c>
      <c r="M1290" s="29">
        <f t="shared" si="81"/>
        <v>-0.20400000000000024</v>
      </c>
      <c r="N1290" s="30">
        <f t="shared" si="82"/>
        <v>0.99365805961813725</v>
      </c>
      <c r="O1290" s="31">
        <f t="shared" si="83"/>
        <v>0.8681402276010427</v>
      </c>
    </row>
    <row r="1291" spans="1:15" x14ac:dyDescent="0.25">
      <c r="A1291" t="s">
        <v>7028</v>
      </c>
      <c r="B1291" t="s">
        <v>2583</v>
      </c>
      <c r="C1291" s="3" t="s">
        <v>2584</v>
      </c>
      <c r="D1291" s="24">
        <v>0.102106</v>
      </c>
      <c r="E1291" s="25">
        <v>7.1079999999999997</v>
      </c>
      <c r="F1291" s="25">
        <v>7.5759999999999996</v>
      </c>
      <c r="G1291" s="26">
        <v>-0.46750000000000003</v>
      </c>
      <c r="H1291" s="27">
        <v>0.24249999999999999</v>
      </c>
      <c r="I1291" s="26">
        <v>1.9279999999999999</v>
      </c>
      <c r="J1291" s="28">
        <v>6</v>
      </c>
      <c r="K1291" s="27">
        <v>0.218616</v>
      </c>
      <c r="L1291" s="29">
        <f t="shared" si="80"/>
        <v>0.66031805621328676</v>
      </c>
      <c r="M1291" s="29">
        <f t="shared" si="81"/>
        <v>-0.46800000000000047</v>
      </c>
      <c r="N1291" s="30">
        <f t="shared" si="82"/>
        <v>0.99094873695002117</v>
      </c>
      <c r="O1291" s="31">
        <f t="shared" si="83"/>
        <v>0.72296614727287345</v>
      </c>
    </row>
    <row r="1292" spans="1:15" x14ac:dyDescent="0.25">
      <c r="A1292" t="s">
        <v>7029</v>
      </c>
      <c r="B1292" t="s">
        <v>2585</v>
      </c>
      <c r="C1292" s="3" t="s">
        <v>2586</v>
      </c>
      <c r="D1292" s="24">
        <v>0.102172</v>
      </c>
      <c r="E1292" s="25">
        <v>10.24</v>
      </c>
      <c r="F1292" s="25">
        <v>9.859</v>
      </c>
      <c r="G1292" s="26">
        <v>0.37990000000000002</v>
      </c>
      <c r="H1292" s="27">
        <v>0.1971</v>
      </c>
      <c r="I1292" s="26">
        <v>1.9279999999999999</v>
      </c>
      <c r="J1292" s="28">
        <v>6</v>
      </c>
      <c r="K1292" s="27">
        <v>0.218616</v>
      </c>
      <c r="L1292" s="29">
        <f t="shared" si="80"/>
        <v>0.66031805621328676</v>
      </c>
      <c r="M1292" s="29">
        <f t="shared" si="81"/>
        <v>0.38100000000000078</v>
      </c>
      <c r="N1292" s="30">
        <f t="shared" si="82"/>
        <v>0.99066810529313243</v>
      </c>
      <c r="O1292" s="31">
        <f t="shared" si="83"/>
        <v>1.3022441895690291</v>
      </c>
    </row>
    <row r="1293" spans="1:15" x14ac:dyDescent="0.25">
      <c r="A1293" t="s">
        <v>7030</v>
      </c>
      <c r="B1293" t="s">
        <v>2587</v>
      </c>
      <c r="C1293" s="3" t="s">
        <v>2588</v>
      </c>
      <c r="D1293" s="24">
        <v>0.103059</v>
      </c>
      <c r="E1293" s="25">
        <v>9.7780000000000005</v>
      </c>
      <c r="F1293" s="25">
        <v>9.5340000000000007</v>
      </c>
      <c r="G1293" s="26">
        <v>0.2437</v>
      </c>
      <c r="H1293" s="27">
        <v>0.1268</v>
      </c>
      <c r="I1293" s="26">
        <v>1.921</v>
      </c>
      <c r="J1293" s="28">
        <v>6</v>
      </c>
      <c r="K1293" s="27">
        <v>0.22034400000000001</v>
      </c>
      <c r="L1293" s="29">
        <f t="shared" si="80"/>
        <v>0.65689877089660265</v>
      </c>
      <c r="M1293" s="29">
        <f t="shared" si="81"/>
        <v>0.2439999999999993</v>
      </c>
      <c r="N1293" s="30">
        <f t="shared" si="82"/>
        <v>0.98691407589191393</v>
      </c>
      <c r="O1293" s="31">
        <f t="shared" si="83"/>
        <v>1.1842716118536321</v>
      </c>
    </row>
    <row r="1294" spans="1:15" x14ac:dyDescent="0.25">
      <c r="A1294" t="s">
        <v>7031</v>
      </c>
      <c r="B1294" t="s">
        <v>2589</v>
      </c>
      <c r="C1294" s="3" t="s">
        <v>2590</v>
      </c>
      <c r="D1294" s="24">
        <v>0.103216</v>
      </c>
      <c r="E1294" s="25">
        <v>6.8860000000000001</v>
      </c>
      <c r="F1294" s="25">
        <v>6.3630000000000004</v>
      </c>
      <c r="G1294" s="26">
        <v>0.52359999999999995</v>
      </c>
      <c r="H1294" s="27">
        <v>0.27260000000000001</v>
      </c>
      <c r="I1294" s="26">
        <v>1.92</v>
      </c>
      <c r="J1294" s="28">
        <v>6</v>
      </c>
      <c r="K1294" s="27">
        <v>0.22050900000000001</v>
      </c>
      <c r="L1294" s="29">
        <f t="shared" si="80"/>
        <v>0.65657368025251028</v>
      </c>
      <c r="M1294" s="29">
        <f t="shared" si="81"/>
        <v>0.52299999999999958</v>
      </c>
      <c r="N1294" s="30">
        <f t="shared" si="82"/>
        <v>0.98625297545002544</v>
      </c>
      <c r="O1294" s="31">
        <f t="shared" si="83"/>
        <v>1.4369401765440628</v>
      </c>
    </row>
    <row r="1295" spans="1:15" x14ac:dyDescent="0.25">
      <c r="A1295" t="s">
        <v>7032</v>
      </c>
      <c r="B1295" t="s">
        <v>2601</v>
      </c>
      <c r="C1295" s="3" t="s">
        <v>2602</v>
      </c>
      <c r="D1295" s="24">
        <v>0.104584</v>
      </c>
      <c r="E1295" s="25">
        <v>11.96</v>
      </c>
      <c r="F1295" s="25">
        <v>11.54</v>
      </c>
      <c r="G1295" s="26">
        <v>0.4133</v>
      </c>
      <c r="H1295" s="27">
        <v>0.21629999999999999</v>
      </c>
      <c r="I1295" s="26">
        <v>1.911</v>
      </c>
      <c r="J1295" s="28">
        <v>6</v>
      </c>
      <c r="K1295" s="27">
        <v>0.22239999999999999</v>
      </c>
      <c r="L1295" s="29">
        <f t="shared" si="80"/>
        <v>0.65286521708998013</v>
      </c>
      <c r="M1295" s="29">
        <f t="shared" si="81"/>
        <v>0.42000000000000065</v>
      </c>
      <c r="N1295" s="30">
        <f t="shared" si="82"/>
        <v>0.98053475182835137</v>
      </c>
      <c r="O1295" s="31">
        <f t="shared" si="83"/>
        <v>1.3379275547861127</v>
      </c>
    </row>
    <row r="1296" spans="1:15" x14ac:dyDescent="0.25">
      <c r="A1296" t="s">
        <v>7033</v>
      </c>
      <c r="B1296" t="s">
        <v>2599</v>
      </c>
      <c r="C1296" s="3" t="s">
        <v>2600</v>
      </c>
      <c r="D1296" s="24">
        <v>0.104504</v>
      </c>
      <c r="E1296" s="25">
        <v>7.9320000000000004</v>
      </c>
      <c r="F1296" s="25">
        <v>7.59</v>
      </c>
      <c r="G1296" s="26">
        <v>0.34210000000000002</v>
      </c>
      <c r="H1296" s="27">
        <v>0.17269999999999999</v>
      </c>
      <c r="I1296" s="26">
        <v>1.9810000000000001</v>
      </c>
      <c r="J1296" s="28">
        <v>5</v>
      </c>
      <c r="K1296" s="27">
        <v>0.22239999999999999</v>
      </c>
      <c r="L1296" s="29">
        <f t="shared" si="80"/>
        <v>0.65286521708998013</v>
      </c>
      <c r="M1296" s="29">
        <f t="shared" si="81"/>
        <v>0.34200000000000125</v>
      </c>
      <c r="N1296" s="30">
        <f t="shared" si="82"/>
        <v>0.98086708615885021</v>
      </c>
      <c r="O1296" s="31">
        <f t="shared" si="83"/>
        <v>1.2675125220344257</v>
      </c>
    </row>
    <row r="1297" spans="1:15" x14ac:dyDescent="0.25">
      <c r="A1297" t="s">
        <v>7034</v>
      </c>
      <c r="B1297" t="s">
        <v>2597</v>
      </c>
      <c r="C1297" s="3" t="s">
        <v>2598</v>
      </c>
      <c r="D1297" s="24">
        <v>0.104472</v>
      </c>
      <c r="E1297" s="25">
        <v>11.93</v>
      </c>
      <c r="F1297" s="25">
        <v>11.48</v>
      </c>
      <c r="G1297" s="26">
        <v>0.44230000000000003</v>
      </c>
      <c r="H1297" s="27">
        <v>0.23139999999999999</v>
      </c>
      <c r="I1297" s="26">
        <v>1.9119999999999999</v>
      </c>
      <c r="J1297" s="28">
        <v>6</v>
      </c>
      <c r="K1297" s="27">
        <v>0.22239999999999999</v>
      </c>
      <c r="L1297" s="29">
        <f t="shared" si="80"/>
        <v>0.65286521708998013</v>
      </c>
      <c r="M1297" s="29">
        <f t="shared" si="81"/>
        <v>0.45000000000000062</v>
      </c>
      <c r="N1297" s="30">
        <f t="shared" si="82"/>
        <v>0.98100009113099551</v>
      </c>
      <c r="O1297" s="31">
        <f t="shared" si="83"/>
        <v>1.3660402567543961</v>
      </c>
    </row>
    <row r="1298" spans="1:15" x14ac:dyDescent="0.25">
      <c r="A1298" t="s">
        <v>7035</v>
      </c>
      <c r="B1298" t="s">
        <v>2591</v>
      </c>
      <c r="C1298" s="3" t="s">
        <v>2592</v>
      </c>
      <c r="D1298" s="24">
        <v>0.104319</v>
      </c>
      <c r="E1298" s="25">
        <v>8.0660000000000007</v>
      </c>
      <c r="F1298" s="25">
        <v>7.6870000000000003</v>
      </c>
      <c r="G1298" s="26">
        <v>0.37919999999999998</v>
      </c>
      <c r="H1298" s="27">
        <v>0.19819999999999999</v>
      </c>
      <c r="I1298" s="26">
        <v>1.913</v>
      </c>
      <c r="J1298" s="28">
        <v>6</v>
      </c>
      <c r="K1298" s="27">
        <v>0.22239999999999999</v>
      </c>
      <c r="L1298" s="29">
        <f t="shared" si="80"/>
        <v>0.65286521708998013</v>
      </c>
      <c r="M1298" s="29">
        <f t="shared" si="81"/>
        <v>0.37900000000000023</v>
      </c>
      <c r="N1298" s="30">
        <f t="shared" si="82"/>
        <v>0.98163658473105331</v>
      </c>
      <c r="O1298" s="31">
        <f t="shared" si="83"/>
        <v>1.3004401465484805</v>
      </c>
    </row>
    <row r="1299" spans="1:15" x14ac:dyDescent="0.25">
      <c r="A1299" t="s">
        <v>7036</v>
      </c>
      <c r="B1299" t="s">
        <v>2593</v>
      </c>
      <c r="C1299" s="3" t="s">
        <v>2594</v>
      </c>
      <c r="D1299" s="24">
        <v>0.10434400000000001</v>
      </c>
      <c r="E1299" s="25">
        <v>9.2590000000000003</v>
      </c>
      <c r="F1299" s="25">
        <v>9.0180000000000007</v>
      </c>
      <c r="G1299" s="26">
        <v>0.2407</v>
      </c>
      <c r="H1299" s="27">
        <v>0.12590000000000001</v>
      </c>
      <c r="I1299" s="26">
        <v>1.913</v>
      </c>
      <c r="J1299" s="28">
        <v>6</v>
      </c>
      <c r="K1299" s="27">
        <v>0.22239999999999999</v>
      </c>
      <c r="L1299" s="29">
        <f t="shared" si="80"/>
        <v>0.65286521708998013</v>
      </c>
      <c r="M1299" s="29">
        <f t="shared" si="81"/>
        <v>0.24100000000000046</v>
      </c>
      <c r="N1299" s="30">
        <f t="shared" si="82"/>
        <v>0.98153251872893943</v>
      </c>
      <c r="O1299" s="31">
        <f t="shared" si="83"/>
        <v>1.1818115469343657</v>
      </c>
    </row>
    <row r="1300" spans="1:15" x14ac:dyDescent="0.25">
      <c r="A1300" t="s">
        <v>7037</v>
      </c>
      <c r="B1300" t="s">
        <v>2595</v>
      </c>
      <c r="C1300" s="3" t="s">
        <v>2596</v>
      </c>
      <c r="D1300" s="24">
        <v>0.104393</v>
      </c>
      <c r="E1300" s="25">
        <v>8.1219999999999999</v>
      </c>
      <c r="F1300" s="25">
        <v>8.3719999999999999</v>
      </c>
      <c r="G1300" s="26">
        <v>-0.24929999999999999</v>
      </c>
      <c r="H1300" s="27">
        <v>0.13039999999999999</v>
      </c>
      <c r="I1300" s="26">
        <v>1.9119999999999999</v>
      </c>
      <c r="J1300" s="28">
        <v>6</v>
      </c>
      <c r="K1300" s="27">
        <v>0.22239999999999999</v>
      </c>
      <c r="L1300" s="29">
        <f t="shared" si="80"/>
        <v>0.65286521708998013</v>
      </c>
      <c r="M1300" s="29">
        <f t="shared" si="81"/>
        <v>-0.24999999999999911</v>
      </c>
      <c r="N1300" s="30">
        <f t="shared" si="82"/>
        <v>0.98132862167183743</v>
      </c>
      <c r="O1300" s="31">
        <f t="shared" si="83"/>
        <v>0.84089641525371506</v>
      </c>
    </row>
    <row r="1301" spans="1:15" x14ac:dyDescent="0.25">
      <c r="A1301" t="s">
        <v>7038</v>
      </c>
      <c r="B1301" t="s">
        <v>2603</v>
      </c>
      <c r="C1301" s="3" t="s">
        <v>2604</v>
      </c>
      <c r="D1301" s="24">
        <v>0.104849</v>
      </c>
      <c r="E1301" s="25">
        <v>9.0489999999999995</v>
      </c>
      <c r="F1301" s="25">
        <v>8.5210000000000008</v>
      </c>
      <c r="G1301" s="26">
        <v>0.52849999999999997</v>
      </c>
      <c r="H1301" s="27">
        <v>0.27679999999999999</v>
      </c>
      <c r="I1301" s="26">
        <v>1.909</v>
      </c>
      <c r="J1301" s="28">
        <v>6</v>
      </c>
      <c r="K1301" s="27">
        <v>0.22279199999999999</v>
      </c>
      <c r="L1301" s="29">
        <f t="shared" si="80"/>
        <v>0.65210040783508139</v>
      </c>
      <c r="M1301" s="29">
        <f t="shared" si="81"/>
        <v>0.5279999999999978</v>
      </c>
      <c r="N1301" s="30">
        <f t="shared" si="82"/>
        <v>0.97943570727353424</v>
      </c>
      <c r="O1301" s="31">
        <f t="shared" si="83"/>
        <v>1.4419288714602225</v>
      </c>
    </row>
    <row r="1302" spans="1:15" x14ac:dyDescent="0.25">
      <c r="A1302" t="s">
        <v>7039</v>
      </c>
      <c r="B1302" t="s">
        <v>2605</v>
      </c>
      <c r="C1302" s="3" t="s">
        <v>2606</v>
      </c>
      <c r="D1302" s="24">
        <v>0.105362</v>
      </c>
      <c r="E1302" s="25">
        <v>9.2309999999999999</v>
      </c>
      <c r="F1302" s="25">
        <v>9.4719999999999995</v>
      </c>
      <c r="G1302" s="26">
        <v>-0.24129999999999999</v>
      </c>
      <c r="H1302" s="27">
        <v>0.12659999999999999</v>
      </c>
      <c r="I1302" s="26">
        <v>1.9059999999999999</v>
      </c>
      <c r="J1302" s="28">
        <v>6</v>
      </c>
      <c r="K1302" s="27">
        <v>0.22370999999999999</v>
      </c>
      <c r="L1302" s="29">
        <f t="shared" si="80"/>
        <v>0.65031460218968595</v>
      </c>
      <c r="M1302" s="29">
        <f t="shared" si="81"/>
        <v>-0.24099999999999927</v>
      </c>
      <c r="N1302" s="30">
        <f t="shared" si="82"/>
        <v>0.97731599411385139</v>
      </c>
      <c r="O1302" s="31">
        <f t="shared" si="83"/>
        <v>0.84615859660029014</v>
      </c>
    </row>
    <row r="1303" spans="1:15" x14ac:dyDescent="0.25">
      <c r="A1303" t="s">
        <v>7040</v>
      </c>
      <c r="B1303" t="s">
        <v>2607</v>
      </c>
      <c r="C1303" s="3" t="s">
        <v>2608</v>
      </c>
      <c r="D1303" s="24">
        <v>0.10589700000000001</v>
      </c>
      <c r="E1303" s="25">
        <v>8.1690000000000005</v>
      </c>
      <c r="F1303" s="25">
        <v>8.5129999999999999</v>
      </c>
      <c r="G1303" s="26">
        <v>-0.34420000000000001</v>
      </c>
      <c r="H1303" s="27">
        <v>0.18099999999999999</v>
      </c>
      <c r="I1303" s="26">
        <v>1.9019999999999999</v>
      </c>
      <c r="J1303" s="28">
        <v>6</v>
      </c>
      <c r="K1303" s="27">
        <v>0.22467400000000001</v>
      </c>
      <c r="L1303" s="29">
        <f t="shared" si="80"/>
        <v>0.64844718263141721</v>
      </c>
      <c r="M1303" s="29">
        <f t="shared" si="81"/>
        <v>-0.34399999999999969</v>
      </c>
      <c r="N1303" s="30">
        <f t="shared" si="82"/>
        <v>0.97511634302660832</v>
      </c>
      <c r="O1303" s="31">
        <f t="shared" si="83"/>
        <v>0.78785388604934636</v>
      </c>
    </row>
    <row r="1304" spans="1:15" x14ac:dyDescent="0.25">
      <c r="A1304" t="s">
        <v>7041</v>
      </c>
      <c r="B1304" t="s">
        <v>2609</v>
      </c>
      <c r="C1304" s="3" t="s">
        <v>2610</v>
      </c>
      <c r="D1304" s="24">
        <v>0.107045</v>
      </c>
      <c r="E1304" s="25">
        <v>11.33</v>
      </c>
      <c r="F1304" s="25">
        <v>11.21</v>
      </c>
      <c r="G1304" s="26">
        <v>0.1137</v>
      </c>
      <c r="H1304" s="27">
        <v>6.003E-2</v>
      </c>
      <c r="I1304" s="26">
        <v>1.8939999999999999</v>
      </c>
      <c r="J1304" s="28">
        <v>6</v>
      </c>
      <c r="K1304" s="27">
        <v>0.226935</v>
      </c>
      <c r="L1304" s="29">
        <f t="shared" si="80"/>
        <v>0.64409851806552276</v>
      </c>
      <c r="M1304" s="29">
        <f t="shared" si="81"/>
        <v>0.11999999999999957</v>
      </c>
      <c r="N1304" s="30">
        <f t="shared" si="82"/>
        <v>0.97043361349913404</v>
      </c>
      <c r="O1304" s="31">
        <f t="shared" si="83"/>
        <v>1.0867348625260578</v>
      </c>
    </row>
    <row r="1305" spans="1:15" x14ac:dyDescent="0.25">
      <c r="A1305" t="s">
        <v>7042</v>
      </c>
      <c r="B1305" t="s">
        <v>2611</v>
      </c>
      <c r="C1305" s="3" t="s">
        <v>2612</v>
      </c>
      <c r="D1305" s="24">
        <v>0.107475</v>
      </c>
      <c r="E1305" s="25">
        <v>10.039999999999999</v>
      </c>
      <c r="F1305" s="25">
        <v>9.8249999999999993</v>
      </c>
      <c r="G1305" s="26">
        <v>0.21709999999999999</v>
      </c>
      <c r="H1305" s="27">
        <v>0.1148</v>
      </c>
      <c r="I1305" s="26">
        <v>1.891</v>
      </c>
      <c r="J1305" s="28">
        <v>6</v>
      </c>
      <c r="K1305" s="27">
        <v>0.22767100000000001</v>
      </c>
      <c r="L1305" s="29">
        <f t="shared" si="80"/>
        <v>0.64269228489679009</v>
      </c>
      <c r="M1305" s="29">
        <f t="shared" si="81"/>
        <v>0.215</v>
      </c>
      <c r="N1305" s="30">
        <f t="shared" si="82"/>
        <v>0.96869254621095546</v>
      </c>
      <c r="O1305" s="31">
        <f t="shared" si="83"/>
        <v>1.1607039143837201</v>
      </c>
    </row>
    <row r="1306" spans="1:15" x14ac:dyDescent="0.25">
      <c r="A1306" t="s">
        <v>7043</v>
      </c>
      <c r="B1306" t="s">
        <v>2613</v>
      </c>
      <c r="C1306" s="3" t="s">
        <v>2614</v>
      </c>
      <c r="D1306" s="24">
        <v>0.107629</v>
      </c>
      <c r="E1306" s="25">
        <v>8.5730000000000004</v>
      </c>
      <c r="F1306" s="25">
        <v>8.0860000000000003</v>
      </c>
      <c r="G1306" s="26">
        <v>0.48659999999999998</v>
      </c>
      <c r="H1306" s="27">
        <v>0.25740000000000002</v>
      </c>
      <c r="I1306" s="26">
        <v>1.89</v>
      </c>
      <c r="J1306" s="28">
        <v>6</v>
      </c>
      <c r="K1306" s="27">
        <v>0.227822</v>
      </c>
      <c r="L1306" s="29">
        <f t="shared" si="80"/>
        <v>0.64240433988262002</v>
      </c>
      <c r="M1306" s="29">
        <f t="shared" si="81"/>
        <v>0.48699999999999977</v>
      </c>
      <c r="N1306" s="30">
        <f t="shared" si="82"/>
        <v>0.96807069481219021</v>
      </c>
      <c r="O1306" s="31">
        <f t="shared" si="83"/>
        <v>1.4015274490807457</v>
      </c>
    </row>
    <row r="1307" spans="1:15" x14ac:dyDescent="0.25">
      <c r="A1307" t="s">
        <v>7044</v>
      </c>
      <c r="B1307" t="s">
        <v>2615</v>
      </c>
      <c r="C1307" s="3" t="s">
        <v>2616</v>
      </c>
      <c r="D1307" s="24">
        <v>0.107755</v>
      </c>
      <c r="E1307" s="25">
        <v>10.19</v>
      </c>
      <c r="F1307" s="25">
        <v>9.7420000000000009</v>
      </c>
      <c r="G1307" s="26">
        <v>0.45169999999999999</v>
      </c>
      <c r="H1307" s="27">
        <v>0.23910000000000001</v>
      </c>
      <c r="I1307" s="26">
        <v>1.889</v>
      </c>
      <c r="J1307" s="28">
        <v>6</v>
      </c>
      <c r="K1307" s="27">
        <v>0.22791500000000001</v>
      </c>
      <c r="L1307" s="29">
        <f t="shared" si="80"/>
        <v>0.6422270912178083</v>
      </c>
      <c r="M1307" s="29">
        <f t="shared" si="81"/>
        <v>0.44799999999999868</v>
      </c>
      <c r="N1307" s="30">
        <f t="shared" si="82"/>
        <v>0.96756256875861002</v>
      </c>
      <c r="O1307" s="31">
        <f t="shared" si="83"/>
        <v>1.3641478348793532</v>
      </c>
    </row>
    <row r="1308" spans="1:15" x14ac:dyDescent="0.25">
      <c r="A1308" t="s">
        <v>7045</v>
      </c>
      <c r="B1308" t="s">
        <v>2617</v>
      </c>
      <c r="C1308" s="3" t="s">
        <v>2618</v>
      </c>
      <c r="D1308" s="24">
        <v>0.107956</v>
      </c>
      <c r="E1308" s="25">
        <v>9.0850000000000009</v>
      </c>
      <c r="F1308" s="25">
        <v>8.8070000000000004</v>
      </c>
      <c r="G1308" s="26">
        <v>0.2787</v>
      </c>
      <c r="H1308" s="27">
        <v>0.14760000000000001</v>
      </c>
      <c r="I1308" s="26">
        <v>1.8879999999999999</v>
      </c>
      <c r="J1308" s="28">
        <v>6</v>
      </c>
      <c r="K1308" s="27">
        <v>0.22816600000000001</v>
      </c>
      <c r="L1308" s="29">
        <f t="shared" si="80"/>
        <v>0.64174907119082636</v>
      </c>
      <c r="M1308" s="29">
        <f t="shared" si="81"/>
        <v>0.27799999999999947</v>
      </c>
      <c r="N1308" s="30">
        <f t="shared" si="82"/>
        <v>0.96675321535403791</v>
      </c>
      <c r="O1308" s="31">
        <f t="shared" si="83"/>
        <v>1.2125128190617367</v>
      </c>
    </row>
    <row r="1309" spans="1:15" x14ac:dyDescent="0.25">
      <c r="A1309" t="s">
        <v>7046</v>
      </c>
      <c r="B1309" t="s">
        <v>2623</v>
      </c>
      <c r="C1309" s="3" t="s">
        <v>2624</v>
      </c>
      <c r="D1309" s="24">
        <v>0.10829900000000001</v>
      </c>
      <c r="E1309" s="25">
        <v>9.7330000000000005</v>
      </c>
      <c r="F1309" s="25">
        <v>10.15</v>
      </c>
      <c r="G1309" s="26">
        <v>-0.41649999999999998</v>
      </c>
      <c r="H1309" s="27">
        <v>0.22090000000000001</v>
      </c>
      <c r="I1309" s="26">
        <v>1.8859999999999999</v>
      </c>
      <c r="J1309" s="28">
        <v>6</v>
      </c>
      <c r="K1309" s="27">
        <v>0.22817299999999999</v>
      </c>
      <c r="L1309" s="29">
        <f t="shared" si="80"/>
        <v>0.64173574749342788</v>
      </c>
      <c r="M1309" s="29">
        <f t="shared" si="81"/>
        <v>-0.41700000000000087</v>
      </c>
      <c r="N1309" s="30">
        <f t="shared" si="82"/>
        <v>0.96537555349921289</v>
      </c>
      <c r="O1309" s="31">
        <f t="shared" si="83"/>
        <v>0.74898046721209066</v>
      </c>
    </row>
    <row r="1310" spans="1:15" x14ac:dyDescent="0.25">
      <c r="A1310" t="s">
        <v>7047</v>
      </c>
      <c r="B1310" t="s">
        <v>2631</v>
      </c>
      <c r="C1310" s="3" t="s">
        <v>2632</v>
      </c>
      <c r="D1310" s="24">
        <v>0.108538</v>
      </c>
      <c r="E1310" s="25">
        <v>11.3</v>
      </c>
      <c r="F1310" s="25">
        <v>11.46</v>
      </c>
      <c r="G1310" s="26">
        <v>-0.159</v>
      </c>
      <c r="H1310" s="27">
        <v>8.4370000000000001E-2</v>
      </c>
      <c r="I1310" s="26">
        <v>1.8839999999999999</v>
      </c>
      <c r="J1310" s="28">
        <v>6</v>
      </c>
      <c r="K1310" s="27">
        <v>0.22817299999999999</v>
      </c>
      <c r="L1310" s="29">
        <f t="shared" si="80"/>
        <v>0.64173574749342788</v>
      </c>
      <c r="M1310" s="29">
        <f t="shared" si="81"/>
        <v>-0.15999999999999978</v>
      </c>
      <c r="N1310" s="30">
        <f t="shared" si="82"/>
        <v>0.96441818530828738</v>
      </c>
      <c r="O1310" s="31">
        <f t="shared" si="83"/>
        <v>0.89502507092797257</v>
      </c>
    </row>
    <row r="1311" spans="1:15" x14ac:dyDescent="0.25">
      <c r="A1311" t="s">
        <v>7048</v>
      </c>
      <c r="B1311" t="s">
        <v>2619</v>
      </c>
      <c r="C1311" s="3" t="s">
        <v>2620</v>
      </c>
      <c r="D1311" s="24">
        <v>0.108043</v>
      </c>
      <c r="E1311" s="25">
        <v>8.4250000000000007</v>
      </c>
      <c r="F1311" s="25">
        <v>7.83</v>
      </c>
      <c r="G1311" s="26">
        <v>0.59460000000000002</v>
      </c>
      <c r="H1311" s="27">
        <v>0.315</v>
      </c>
      <c r="I1311" s="26">
        <v>1.887</v>
      </c>
      <c r="J1311" s="28">
        <v>6</v>
      </c>
      <c r="K1311" s="27">
        <v>0.22817299999999999</v>
      </c>
      <c r="L1311" s="29">
        <f t="shared" si="80"/>
        <v>0.64173574749342788</v>
      </c>
      <c r="M1311" s="29">
        <f t="shared" si="81"/>
        <v>0.59500000000000053</v>
      </c>
      <c r="N1311" s="30">
        <f t="shared" si="82"/>
        <v>0.96640336538279892</v>
      </c>
      <c r="O1311" s="31">
        <f t="shared" si="83"/>
        <v>1.510472585562826</v>
      </c>
    </row>
    <row r="1312" spans="1:15" x14ac:dyDescent="0.25">
      <c r="A1312" t="s">
        <v>7049</v>
      </c>
      <c r="B1312" t="s">
        <v>2625</v>
      </c>
      <c r="C1312" s="3" t="s">
        <v>2626</v>
      </c>
      <c r="D1312" s="24">
        <v>0.108372</v>
      </c>
      <c r="E1312" s="25">
        <v>8.4469999999999992</v>
      </c>
      <c r="F1312" s="25">
        <v>8.6929999999999996</v>
      </c>
      <c r="G1312" s="26">
        <v>-0.24579999999999999</v>
      </c>
      <c r="H1312" s="27">
        <v>0.13039999999999999</v>
      </c>
      <c r="I1312" s="26">
        <v>1.885</v>
      </c>
      <c r="J1312" s="28">
        <v>6</v>
      </c>
      <c r="K1312" s="27">
        <v>0.22817299999999999</v>
      </c>
      <c r="L1312" s="29">
        <f t="shared" si="80"/>
        <v>0.64173574749342788</v>
      </c>
      <c r="M1312" s="29">
        <f t="shared" si="81"/>
        <v>-0.24600000000000027</v>
      </c>
      <c r="N1312" s="30">
        <f t="shared" si="82"/>
        <v>0.96508291167470939</v>
      </c>
      <c r="O1312" s="31">
        <f t="shared" si="83"/>
        <v>0.84323111025011233</v>
      </c>
    </row>
    <row r="1313" spans="1:15" x14ac:dyDescent="0.25">
      <c r="A1313" t="s">
        <v>7050</v>
      </c>
      <c r="B1313" t="s">
        <v>2621</v>
      </c>
      <c r="C1313" s="3" t="s">
        <v>2622</v>
      </c>
      <c r="D1313" s="24">
        <v>0.108149</v>
      </c>
      <c r="E1313" s="25">
        <v>9.0570000000000004</v>
      </c>
      <c r="F1313" s="25">
        <v>8.6110000000000007</v>
      </c>
      <c r="G1313" s="26">
        <v>0.4461</v>
      </c>
      <c r="H1313" s="27">
        <v>0.2364</v>
      </c>
      <c r="I1313" s="26">
        <v>1.887</v>
      </c>
      <c r="J1313" s="28">
        <v>6</v>
      </c>
      <c r="K1313" s="27">
        <v>0.22817299999999999</v>
      </c>
      <c r="L1313" s="29">
        <f t="shared" si="80"/>
        <v>0.64173574749342788</v>
      </c>
      <c r="M1313" s="29">
        <f t="shared" si="81"/>
        <v>0.44599999999999917</v>
      </c>
      <c r="N1313" s="30">
        <f t="shared" si="82"/>
        <v>0.9659774919113413</v>
      </c>
      <c r="O1313" s="31">
        <f t="shared" si="83"/>
        <v>1.3622580346404873</v>
      </c>
    </row>
    <row r="1314" spans="1:15" x14ac:dyDescent="0.25">
      <c r="A1314" t="s">
        <v>7051</v>
      </c>
      <c r="B1314" t="s">
        <v>2629</v>
      </c>
      <c r="C1314" s="3" t="s">
        <v>2630</v>
      </c>
      <c r="D1314" s="24">
        <v>0.108515</v>
      </c>
      <c r="E1314" s="25">
        <v>8.9670000000000005</v>
      </c>
      <c r="F1314" s="25">
        <v>8.7240000000000002</v>
      </c>
      <c r="G1314" s="26">
        <v>0.24299999999999999</v>
      </c>
      <c r="H1314" s="27">
        <v>0.129</v>
      </c>
      <c r="I1314" s="26">
        <v>1.8839999999999999</v>
      </c>
      <c r="J1314" s="28">
        <v>6</v>
      </c>
      <c r="K1314" s="27">
        <v>0.22817299999999999</v>
      </c>
      <c r="L1314" s="29">
        <f t="shared" si="80"/>
        <v>0.64173574749342788</v>
      </c>
      <c r="M1314" s="29">
        <f t="shared" si="81"/>
        <v>0.24300000000000022</v>
      </c>
      <c r="N1314" s="30">
        <f t="shared" si="82"/>
        <v>0.96451022525356489</v>
      </c>
      <c r="O1314" s="31">
        <f t="shared" si="83"/>
        <v>1.1834510217525713</v>
      </c>
    </row>
    <row r="1315" spans="1:15" x14ac:dyDescent="0.25">
      <c r="A1315" t="s">
        <v>7052</v>
      </c>
      <c r="B1315" t="s">
        <v>2627</v>
      </c>
      <c r="C1315" s="3" t="s">
        <v>2628</v>
      </c>
      <c r="D1315" s="24">
        <v>0.108442</v>
      </c>
      <c r="E1315" s="25">
        <v>13.79</v>
      </c>
      <c r="F1315" s="25">
        <v>14.26</v>
      </c>
      <c r="G1315" s="26">
        <v>-0.46989999999999998</v>
      </c>
      <c r="H1315" s="27">
        <v>0.24929999999999999</v>
      </c>
      <c r="I1315" s="26">
        <v>1.885</v>
      </c>
      <c r="J1315" s="28">
        <v>6</v>
      </c>
      <c r="K1315" s="27">
        <v>0.22817299999999999</v>
      </c>
      <c r="L1315" s="29">
        <f t="shared" si="80"/>
        <v>0.64173574749342788</v>
      </c>
      <c r="M1315" s="29">
        <f t="shared" si="81"/>
        <v>-0.47000000000000147</v>
      </c>
      <c r="N1315" s="30">
        <f t="shared" si="82"/>
        <v>0.96480248130776336</v>
      </c>
      <c r="O1315" s="31">
        <f t="shared" si="83"/>
        <v>0.72196459776124733</v>
      </c>
    </row>
    <row r="1316" spans="1:15" x14ac:dyDescent="0.25">
      <c r="A1316" t="s">
        <v>7053</v>
      </c>
      <c r="B1316" t="s">
        <v>2633</v>
      </c>
      <c r="C1316" s="3" t="s">
        <v>2634</v>
      </c>
      <c r="D1316" s="24">
        <v>0.108802</v>
      </c>
      <c r="E1316" s="25">
        <v>13.41</v>
      </c>
      <c r="F1316" s="25">
        <v>13.65</v>
      </c>
      <c r="G1316" s="26">
        <v>-0.2414</v>
      </c>
      <c r="H1316" s="27">
        <v>0.12820000000000001</v>
      </c>
      <c r="I1316" s="26">
        <v>1.8819999999999999</v>
      </c>
      <c r="J1316" s="28">
        <v>6</v>
      </c>
      <c r="K1316" s="27">
        <v>0.22855500000000001</v>
      </c>
      <c r="L1316" s="29">
        <f t="shared" si="80"/>
        <v>0.64100927339605851</v>
      </c>
      <c r="M1316" s="29">
        <f t="shared" si="81"/>
        <v>-0.2399999999999991</v>
      </c>
      <c r="N1316" s="30">
        <f t="shared" si="82"/>
        <v>0.96336312135676772</v>
      </c>
      <c r="O1316" s="31">
        <f t="shared" si="83"/>
        <v>0.8467453123625277</v>
      </c>
    </row>
    <row r="1317" spans="1:15" x14ac:dyDescent="0.25">
      <c r="A1317" t="s">
        <v>7054</v>
      </c>
      <c r="B1317" t="s">
        <v>2635</v>
      </c>
      <c r="C1317" s="3" t="s">
        <v>2636</v>
      </c>
      <c r="D1317" s="24">
        <v>0.10946</v>
      </c>
      <c r="E1317" s="25">
        <v>10.34</v>
      </c>
      <c r="F1317" s="25">
        <v>10.09</v>
      </c>
      <c r="G1317" s="26">
        <v>0.25109999999999999</v>
      </c>
      <c r="H1317" s="27">
        <v>0.13370000000000001</v>
      </c>
      <c r="I1317" s="26">
        <v>1.8779999999999999</v>
      </c>
      <c r="J1317" s="28">
        <v>6</v>
      </c>
      <c r="K1317" s="27">
        <v>0.22976199999999999</v>
      </c>
      <c r="L1317" s="29">
        <f t="shared" si="80"/>
        <v>0.63872179703570708</v>
      </c>
      <c r="M1317" s="29">
        <f t="shared" si="81"/>
        <v>0.24999999999999944</v>
      </c>
      <c r="N1317" s="30">
        <f t="shared" si="82"/>
        <v>0.96074455619351362</v>
      </c>
      <c r="O1317" s="31">
        <f t="shared" si="83"/>
        <v>1.1892071150027206</v>
      </c>
    </row>
    <row r="1318" spans="1:15" x14ac:dyDescent="0.25">
      <c r="A1318" t="s">
        <v>7055</v>
      </c>
      <c r="B1318" t="s">
        <v>2637</v>
      </c>
      <c r="C1318" s="3" t="s">
        <v>2638</v>
      </c>
      <c r="D1318" s="24">
        <v>0.10965900000000001</v>
      </c>
      <c r="E1318" s="25">
        <v>14.86</v>
      </c>
      <c r="F1318" s="25">
        <v>15.22</v>
      </c>
      <c r="G1318" s="26">
        <v>-0.35220000000000001</v>
      </c>
      <c r="H1318" s="27">
        <v>0.18770000000000001</v>
      </c>
      <c r="I1318" s="26">
        <v>1.877</v>
      </c>
      <c r="J1318" s="28">
        <v>6</v>
      </c>
      <c r="K1318" s="27">
        <v>0.23000599999999999</v>
      </c>
      <c r="L1318" s="29">
        <f t="shared" si="80"/>
        <v>0.63826083470891259</v>
      </c>
      <c r="M1318" s="29">
        <f t="shared" si="81"/>
        <v>-0.36000000000000115</v>
      </c>
      <c r="N1318" s="30">
        <f t="shared" si="82"/>
        <v>0.95995571884340136</v>
      </c>
      <c r="O1318" s="31">
        <f t="shared" si="83"/>
        <v>0.77916457966049923</v>
      </c>
    </row>
    <row r="1319" spans="1:15" x14ac:dyDescent="0.25">
      <c r="A1319" t="s">
        <v>7056</v>
      </c>
      <c r="B1319" t="s">
        <v>2641</v>
      </c>
      <c r="C1319" s="3" t="s">
        <v>2642</v>
      </c>
      <c r="D1319" s="24">
        <v>0.10999399999999999</v>
      </c>
      <c r="E1319" s="25">
        <v>7.3819999999999997</v>
      </c>
      <c r="F1319" s="25">
        <v>7.7220000000000004</v>
      </c>
      <c r="G1319" s="26">
        <v>-0.34</v>
      </c>
      <c r="H1319" s="27">
        <v>0.18140000000000001</v>
      </c>
      <c r="I1319" s="26">
        <v>1.8740000000000001</v>
      </c>
      <c r="J1319" s="28">
        <v>6</v>
      </c>
      <c r="K1319" s="27">
        <v>0.23035700000000001</v>
      </c>
      <c r="L1319" s="29">
        <f t="shared" si="80"/>
        <v>0.63759858603694619</v>
      </c>
      <c r="M1319" s="29">
        <f t="shared" si="81"/>
        <v>-0.34000000000000025</v>
      </c>
      <c r="N1319" s="30">
        <f t="shared" si="82"/>
        <v>0.95863100427777825</v>
      </c>
      <c r="O1319" s="31">
        <f t="shared" si="83"/>
        <v>0.790041311863377</v>
      </c>
    </row>
    <row r="1320" spans="1:15" x14ac:dyDescent="0.25">
      <c r="A1320" t="s">
        <v>7057</v>
      </c>
      <c r="B1320" t="s">
        <v>2639</v>
      </c>
      <c r="C1320" s="3" t="s">
        <v>2640</v>
      </c>
      <c r="D1320" s="24">
        <v>0.109957</v>
      </c>
      <c r="E1320" s="25">
        <v>12.03</v>
      </c>
      <c r="F1320" s="25">
        <v>12.39</v>
      </c>
      <c r="G1320" s="26">
        <v>-0.36130000000000001</v>
      </c>
      <c r="H1320" s="27">
        <v>0.19270000000000001</v>
      </c>
      <c r="I1320" s="26">
        <v>1.875</v>
      </c>
      <c r="J1320" s="28">
        <v>6</v>
      </c>
      <c r="K1320" s="27">
        <v>0.23035700000000001</v>
      </c>
      <c r="L1320" s="29">
        <f t="shared" si="80"/>
        <v>0.63759858603694619</v>
      </c>
      <c r="M1320" s="29">
        <f t="shared" si="81"/>
        <v>-0.36000000000000099</v>
      </c>
      <c r="N1320" s="30">
        <f t="shared" si="82"/>
        <v>0.95877711769378449</v>
      </c>
      <c r="O1320" s="31">
        <f t="shared" si="83"/>
        <v>0.77916457966049935</v>
      </c>
    </row>
    <row r="1321" spans="1:15" x14ac:dyDescent="0.25">
      <c r="A1321" t="s">
        <v>7058</v>
      </c>
      <c r="B1321" t="s">
        <v>2643</v>
      </c>
      <c r="C1321" s="3" t="s">
        <v>2644</v>
      </c>
      <c r="D1321" s="24">
        <v>0.110239</v>
      </c>
      <c r="E1321" s="25">
        <v>10.31</v>
      </c>
      <c r="F1321" s="25">
        <v>9.5690000000000008</v>
      </c>
      <c r="G1321" s="26">
        <v>0.73960000000000004</v>
      </c>
      <c r="H1321" s="27">
        <v>0.39489999999999997</v>
      </c>
      <c r="I1321" s="26">
        <v>1.873</v>
      </c>
      <c r="J1321" s="28">
        <v>6</v>
      </c>
      <c r="K1321" s="27">
        <v>0.23069500000000001</v>
      </c>
      <c r="L1321" s="29">
        <f t="shared" si="80"/>
        <v>0.63696181811844343</v>
      </c>
      <c r="M1321" s="29">
        <f t="shared" si="81"/>
        <v>0.74099999999999955</v>
      </c>
      <c r="N1321" s="30">
        <f t="shared" si="82"/>
        <v>0.9576647349906191</v>
      </c>
      <c r="O1321" s="31">
        <f t="shared" si="83"/>
        <v>1.6713339178437066</v>
      </c>
    </row>
    <row r="1322" spans="1:15" x14ac:dyDescent="0.25">
      <c r="A1322" t="s">
        <v>7059</v>
      </c>
      <c r="B1322" t="s">
        <v>2645</v>
      </c>
      <c r="C1322" s="3" t="s">
        <v>2646</v>
      </c>
      <c r="D1322" s="24">
        <v>0.11053200000000001</v>
      </c>
      <c r="E1322" s="25">
        <v>11.75</v>
      </c>
      <c r="F1322" s="25">
        <v>11.27</v>
      </c>
      <c r="G1322" s="26">
        <v>0.48309999999999997</v>
      </c>
      <c r="H1322" s="27">
        <v>0.25819999999999999</v>
      </c>
      <c r="I1322" s="26">
        <v>1.871</v>
      </c>
      <c r="J1322" s="28">
        <v>6</v>
      </c>
      <c r="K1322" s="27">
        <v>0.23113400000000001</v>
      </c>
      <c r="L1322" s="29">
        <f t="shared" si="80"/>
        <v>0.63613616474899437</v>
      </c>
      <c r="M1322" s="29">
        <f t="shared" si="81"/>
        <v>0.48000000000000204</v>
      </c>
      <c r="N1322" s="30">
        <f t="shared" si="82"/>
        <v>0.9565119716484386</v>
      </c>
      <c r="O1322" s="31">
        <f t="shared" si="83"/>
        <v>1.3947436663504074</v>
      </c>
    </row>
    <row r="1323" spans="1:15" x14ac:dyDescent="0.25">
      <c r="A1323" t="s">
        <v>7060</v>
      </c>
      <c r="B1323" t="s">
        <v>2647</v>
      </c>
      <c r="C1323" s="3" t="s">
        <v>2648</v>
      </c>
      <c r="D1323" s="24">
        <v>0.110871</v>
      </c>
      <c r="E1323" s="25">
        <v>9.8710000000000004</v>
      </c>
      <c r="F1323" s="25">
        <v>9.5589999999999993</v>
      </c>
      <c r="G1323" s="26">
        <v>0.31209999999999999</v>
      </c>
      <c r="H1323" s="27">
        <v>0.16700000000000001</v>
      </c>
      <c r="I1323" s="26">
        <v>1.869</v>
      </c>
      <c r="J1323" s="28">
        <v>6</v>
      </c>
      <c r="K1323" s="27">
        <v>0.23166800000000001</v>
      </c>
      <c r="L1323" s="29">
        <f t="shared" si="80"/>
        <v>0.63513395060015487</v>
      </c>
      <c r="M1323" s="29">
        <f t="shared" si="81"/>
        <v>0.31200000000000133</v>
      </c>
      <c r="N1323" s="30">
        <f t="shared" si="82"/>
        <v>0.95518203533847323</v>
      </c>
      <c r="O1323" s="31">
        <f t="shared" si="83"/>
        <v>1.2414274915261134</v>
      </c>
    </row>
    <row r="1324" spans="1:15" x14ac:dyDescent="0.25">
      <c r="A1324" t="s">
        <v>7061</v>
      </c>
      <c r="B1324" t="s">
        <v>2651</v>
      </c>
      <c r="C1324" s="3" t="s">
        <v>2652</v>
      </c>
      <c r="D1324" s="24">
        <v>0.111344</v>
      </c>
      <c r="E1324" s="25">
        <v>11.78</v>
      </c>
      <c r="F1324" s="25">
        <v>11.46</v>
      </c>
      <c r="G1324" s="26">
        <v>0.31580000000000003</v>
      </c>
      <c r="H1324" s="27">
        <v>0.16930000000000001</v>
      </c>
      <c r="I1324" s="26">
        <v>1.8660000000000001</v>
      </c>
      <c r="J1324" s="28">
        <v>6</v>
      </c>
      <c r="K1324" s="27">
        <v>0.23230500000000001</v>
      </c>
      <c r="L1324" s="29">
        <f t="shared" si="80"/>
        <v>0.63394144259304652</v>
      </c>
      <c r="M1324" s="29">
        <f t="shared" si="81"/>
        <v>0.31999999999999817</v>
      </c>
      <c r="N1324" s="30">
        <f t="shared" si="82"/>
        <v>0.95333318084906027</v>
      </c>
      <c r="O1324" s="31">
        <f t="shared" si="83"/>
        <v>1.2483305489016103</v>
      </c>
    </row>
    <row r="1325" spans="1:15" x14ac:dyDescent="0.25">
      <c r="A1325" t="s">
        <v>7062</v>
      </c>
      <c r="B1325" t="s">
        <v>2649</v>
      </c>
      <c r="C1325" s="3" t="s">
        <v>2650</v>
      </c>
      <c r="D1325" s="24">
        <v>0.111344</v>
      </c>
      <c r="E1325" s="25">
        <v>11.78</v>
      </c>
      <c r="F1325" s="25">
        <v>11.46</v>
      </c>
      <c r="G1325" s="26">
        <v>0.31580000000000003</v>
      </c>
      <c r="H1325" s="27">
        <v>0.16930000000000001</v>
      </c>
      <c r="I1325" s="26">
        <v>1.8660000000000001</v>
      </c>
      <c r="J1325" s="28">
        <v>6</v>
      </c>
      <c r="K1325" s="27">
        <v>0.23230500000000001</v>
      </c>
      <c r="L1325" s="29">
        <f t="shared" si="80"/>
        <v>0.63394144259304652</v>
      </c>
      <c r="M1325" s="29">
        <f t="shared" si="81"/>
        <v>0.31999999999999817</v>
      </c>
      <c r="N1325" s="30">
        <f t="shared" si="82"/>
        <v>0.95333318084906027</v>
      </c>
      <c r="O1325" s="31">
        <f t="shared" si="83"/>
        <v>1.2483305489016103</v>
      </c>
    </row>
    <row r="1326" spans="1:15" x14ac:dyDescent="0.25">
      <c r="A1326" t="s">
        <v>7063</v>
      </c>
      <c r="B1326" t="s">
        <v>2653</v>
      </c>
      <c r="C1326" s="3" t="s">
        <v>2654</v>
      </c>
      <c r="D1326" s="24">
        <v>0.111943</v>
      </c>
      <c r="E1326" s="25">
        <v>7.9720000000000004</v>
      </c>
      <c r="F1326" s="25">
        <v>7.7590000000000003</v>
      </c>
      <c r="G1326" s="26">
        <v>0.21340000000000001</v>
      </c>
      <c r="H1326" s="27">
        <v>0.11459999999999999</v>
      </c>
      <c r="I1326" s="26">
        <v>1.8620000000000001</v>
      </c>
      <c r="J1326" s="28">
        <v>6</v>
      </c>
      <c r="K1326" s="27">
        <v>0.233379</v>
      </c>
      <c r="L1326" s="29">
        <f t="shared" si="80"/>
        <v>0.63193822538763078</v>
      </c>
      <c r="M1326" s="29">
        <f t="shared" si="81"/>
        <v>0.21300000000000027</v>
      </c>
      <c r="N1326" s="30">
        <f t="shared" si="82"/>
        <v>0.95100305846209821</v>
      </c>
      <c r="O1326" s="31">
        <f t="shared" si="83"/>
        <v>1.1590959519044561</v>
      </c>
    </row>
    <row r="1327" spans="1:15" x14ac:dyDescent="0.25">
      <c r="A1327" t="s">
        <v>7064</v>
      </c>
      <c r="B1327" t="s">
        <v>2655</v>
      </c>
      <c r="C1327" s="3" t="s">
        <v>2656</v>
      </c>
      <c r="D1327" s="24">
        <v>0.112137</v>
      </c>
      <c r="E1327" s="25">
        <v>16.03</v>
      </c>
      <c r="F1327" s="25">
        <v>15.05</v>
      </c>
      <c r="G1327" s="26">
        <v>0.98560000000000003</v>
      </c>
      <c r="H1327" s="27">
        <v>0.52969999999999995</v>
      </c>
      <c r="I1327" s="26">
        <v>1.861</v>
      </c>
      <c r="J1327" s="28">
        <v>6</v>
      </c>
      <c r="K1327" s="27">
        <v>0.23360700000000001</v>
      </c>
      <c r="L1327" s="29">
        <f t="shared" si="80"/>
        <v>0.63151414779326231</v>
      </c>
      <c r="M1327" s="29">
        <f t="shared" si="81"/>
        <v>0.97999999999999909</v>
      </c>
      <c r="N1327" s="30">
        <f t="shared" si="82"/>
        <v>0.95025106675788773</v>
      </c>
      <c r="O1327" s="31">
        <f t="shared" si="83"/>
        <v>1.9724654089867171</v>
      </c>
    </row>
    <row r="1328" spans="1:15" x14ac:dyDescent="0.25">
      <c r="A1328" t="s">
        <v>7065</v>
      </c>
      <c r="B1328" t="s">
        <v>2657</v>
      </c>
      <c r="C1328" s="3" t="s">
        <v>2658</v>
      </c>
      <c r="D1328" s="24">
        <v>0.112444</v>
      </c>
      <c r="E1328" s="25">
        <v>8.8249999999999993</v>
      </c>
      <c r="F1328" s="25">
        <v>8.7010000000000005</v>
      </c>
      <c r="G1328" s="26">
        <v>0.1235</v>
      </c>
      <c r="H1328" s="27">
        <v>6.6460000000000005E-2</v>
      </c>
      <c r="I1328" s="26">
        <v>1.859</v>
      </c>
      <c r="J1328" s="28">
        <v>6</v>
      </c>
      <c r="K1328" s="27">
        <v>0.234069</v>
      </c>
      <c r="L1328" s="29">
        <f t="shared" si="80"/>
        <v>0.63065610027358154</v>
      </c>
      <c r="M1328" s="29">
        <f t="shared" si="81"/>
        <v>0.12399999999999861</v>
      </c>
      <c r="N1328" s="30">
        <f t="shared" si="82"/>
        <v>0.94906371351791674</v>
      </c>
      <c r="O1328" s="31">
        <f t="shared" si="83"/>
        <v>1.0897521122133271</v>
      </c>
    </row>
    <row r="1329" spans="1:15" x14ac:dyDescent="0.25">
      <c r="A1329" t="s">
        <v>7066</v>
      </c>
      <c r="B1329" t="s">
        <v>2661</v>
      </c>
      <c r="C1329" s="3" t="s">
        <v>2662</v>
      </c>
      <c r="D1329" s="24">
        <v>0.11283899999999999</v>
      </c>
      <c r="E1329" s="25">
        <v>9</v>
      </c>
      <c r="F1329" s="25">
        <v>9.4749999999999996</v>
      </c>
      <c r="G1329" s="26">
        <v>-0.47520000000000001</v>
      </c>
      <c r="H1329" s="27">
        <v>0.25600000000000001</v>
      </c>
      <c r="I1329" s="26">
        <v>1.8560000000000001</v>
      </c>
      <c r="J1329" s="28">
        <v>6</v>
      </c>
      <c r="K1329" s="27">
        <v>0.23451</v>
      </c>
      <c r="L1329" s="29">
        <f t="shared" si="80"/>
        <v>0.62983863332321954</v>
      </c>
      <c r="M1329" s="29">
        <f t="shared" si="81"/>
        <v>-0.47499999999999953</v>
      </c>
      <c r="N1329" s="30">
        <f t="shared" si="82"/>
        <v>0.9475407712973013</v>
      </c>
      <c r="O1329" s="31">
        <f t="shared" si="83"/>
        <v>0.71946679000541025</v>
      </c>
    </row>
    <row r="1330" spans="1:15" x14ac:dyDescent="0.25">
      <c r="A1330" t="s">
        <v>7067</v>
      </c>
      <c r="B1330" t="s">
        <v>2663</v>
      </c>
      <c r="C1330" s="3" t="s">
        <v>2664</v>
      </c>
      <c r="D1330" s="24">
        <v>0.112969</v>
      </c>
      <c r="E1330" s="25">
        <v>10.029999999999999</v>
      </c>
      <c r="F1330" s="25">
        <v>9.8209999999999997</v>
      </c>
      <c r="G1330" s="26">
        <v>0.21260000000000001</v>
      </c>
      <c r="H1330" s="27">
        <v>0.11459999999999999</v>
      </c>
      <c r="I1330" s="26">
        <v>1.855</v>
      </c>
      <c r="J1330" s="28">
        <v>6</v>
      </c>
      <c r="K1330" s="27">
        <v>0.23451</v>
      </c>
      <c r="L1330" s="29">
        <f t="shared" si="80"/>
        <v>0.62983863332321954</v>
      </c>
      <c r="M1330" s="29">
        <f t="shared" si="81"/>
        <v>0.2089999999999988</v>
      </c>
      <c r="N1330" s="30">
        <f t="shared" si="82"/>
        <v>0.94704071559613057</v>
      </c>
      <c r="O1330" s="31">
        <f t="shared" si="83"/>
        <v>1.1558867065547977</v>
      </c>
    </row>
    <row r="1331" spans="1:15" x14ac:dyDescent="0.25">
      <c r="A1331" t="s">
        <v>7068</v>
      </c>
      <c r="B1331" t="s">
        <v>2659</v>
      </c>
      <c r="C1331" s="3" t="s">
        <v>2660</v>
      </c>
      <c r="D1331" s="24">
        <v>0.11282499999999999</v>
      </c>
      <c r="E1331" s="25">
        <v>9.3119999999999994</v>
      </c>
      <c r="F1331" s="25">
        <v>9.5440000000000005</v>
      </c>
      <c r="G1331" s="26">
        <v>-0.2316</v>
      </c>
      <c r="H1331" s="27">
        <v>0.12479999999999999</v>
      </c>
      <c r="I1331" s="26">
        <v>1.8560000000000001</v>
      </c>
      <c r="J1331" s="28">
        <v>6</v>
      </c>
      <c r="K1331" s="27">
        <v>0.23451</v>
      </c>
      <c r="L1331" s="29">
        <f t="shared" si="80"/>
        <v>0.62983863332321954</v>
      </c>
      <c r="M1331" s="29">
        <f t="shared" si="81"/>
        <v>-0.23200000000000212</v>
      </c>
      <c r="N1331" s="30">
        <f t="shared" si="82"/>
        <v>0.94759465780781649</v>
      </c>
      <c r="O1331" s="31">
        <f t="shared" si="83"/>
        <v>0.8514537077489438</v>
      </c>
    </row>
    <row r="1332" spans="1:15" x14ac:dyDescent="0.25">
      <c r="A1332" t="s">
        <v>7069</v>
      </c>
      <c r="B1332" t="s">
        <v>2665</v>
      </c>
      <c r="C1332" s="3" t="s">
        <v>2666</v>
      </c>
      <c r="D1332" s="24">
        <v>0.112995</v>
      </c>
      <c r="E1332" s="25">
        <v>10.68</v>
      </c>
      <c r="F1332" s="25">
        <v>10.08</v>
      </c>
      <c r="G1332" s="26">
        <v>0.60040000000000004</v>
      </c>
      <c r="H1332" s="27">
        <v>0.32369999999999999</v>
      </c>
      <c r="I1332" s="26">
        <v>1.855</v>
      </c>
      <c r="J1332" s="28">
        <v>6</v>
      </c>
      <c r="K1332" s="27">
        <v>0.23451</v>
      </c>
      <c r="L1332" s="29">
        <f t="shared" si="80"/>
        <v>0.62983863332321954</v>
      </c>
      <c r="M1332" s="29">
        <f t="shared" si="81"/>
        <v>0.6000000000000002</v>
      </c>
      <c r="N1332" s="30">
        <f t="shared" si="82"/>
        <v>0.94694077351173389</v>
      </c>
      <c r="O1332" s="31">
        <f t="shared" si="83"/>
        <v>1.5157165665103982</v>
      </c>
    </row>
    <row r="1333" spans="1:15" x14ac:dyDescent="0.25">
      <c r="A1333" t="s">
        <v>7070</v>
      </c>
      <c r="B1333" t="s">
        <v>2669</v>
      </c>
      <c r="C1333" s="3" t="s">
        <v>2670</v>
      </c>
      <c r="D1333" s="24">
        <v>0.11362700000000001</v>
      </c>
      <c r="E1333" s="25">
        <v>9.1319999999999997</v>
      </c>
      <c r="F1333" s="25">
        <v>8.343</v>
      </c>
      <c r="G1333" s="26">
        <v>0.78900000000000003</v>
      </c>
      <c r="H1333" s="27">
        <v>0.42630000000000001</v>
      </c>
      <c r="I1333" s="26">
        <v>1.851</v>
      </c>
      <c r="J1333" s="28">
        <v>6</v>
      </c>
      <c r="K1333" s="27">
        <v>0.23546700000000001</v>
      </c>
      <c r="L1333" s="29">
        <f t="shared" si="80"/>
        <v>0.62806994935092242</v>
      </c>
      <c r="M1333" s="29">
        <f t="shared" si="81"/>
        <v>0.78899999999999904</v>
      </c>
      <c r="N1333" s="30">
        <f t="shared" si="82"/>
        <v>0.94451845948993596</v>
      </c>
      <c r="O1333" s="31">
        <f t="shared" si="83"/>
        <v>1.7278763748005532</v>
      </c>
    </row>
    <row r="1334" spans="1:15" x14ac:dyDescent="0.25">
      <c r="A1334" t="s">
        <v>7071</v>
      </c>
      <c r="B1334" t="s">
        <v>2667</v>
      </c>
      <c r="C1334" s="3" t="s">
        <v>2668</v>
      </c>
      <c r="D1334" s="24">
        <v>0.11354599999999999</v>
      </c>
      <c r="E1334" s="25">
        <v>7.14</v>
      </c>
      <c r="F1334" s="25">
        <v>6.6680000000000001</v>
      </c>
      <c r="G1334" s="26">
        <v>0.47239999999999999</v>
      </c>
      <c r="H1334" s="27">
        <v>0.25519999999999998</v>
      </c>
      <c r="I1334" s="26">
        <v>1.8520000000000001</v>
      </c>
      <c r="J1334" s="28">
        <v>6</v>
      </c>
      <c r="K1334" s="27">
        <v>0.23546700000000001</v>
      </c>
      <c r="L1334" s="29">
        <f t="shared" si="80"/>
        <v>0.62806994935092242</v>
      </c>
      <c r="M1334" s="29">
        <f t="shared" si="81"/>
        <v>0.47199999999999975</v>
      </c>
      <c r="N1334" s="30">
        <f t="shared" si="82"/>
        <v>0.94482816050656127</v>
      </c>
      <c r="O1334" s="31">
        <f t="shared" si="83"/>
        <v>1.3870309691313849</v>
      </c>
    </row>
    <row r="1335" spans="1:15" x14ac:dyDescent="0.25">
      <c r="A1335" t="s">
        <v>7072</v>
      </c>
      <c r="B1335" t="s">
        <v>2671</v>
      </c>
      <c r="C1335" s="3" t="s">
        <v>2672</v>
      </c>
      <c r="D1335" s="24">
        <v>0.11387899999999999</v>
      </c>
      <c r="E1335" s="25">
        <v>8.6419999999999995</v>
      </c>
      <c r="F1335" s="25">
        <v>8.3109999999999999</v>
      </c>
      <c r="G1335" s="26">
        <v>0.33090000000000003</v>
      </c>
      <c r="H1335" s="27">
        <v>0.1789</v>
      </c>
      <c r="I1335" s="26">
        <v>1.849</v>
      </c>
      <c r="J1335" s="28">
        <v>6</v>
      </c>
      <c r="K1335" s="27">
        <v>0.23581299999999999</v>
      </c>
      <c r="L1335" s="29">
        <f t="shared" si="80"/>
        <v>0.62743225660887247</v>
      </c>
      <c r="M1335" s="29">
        <f t="shared" si="81"/>
        <v>0.33100000000000018</v>
      </c>
      <c r="N1335" s="30">
        <f t="shared" si="82"/>
        <v>0.94355635515687664</v>
      </c>
      <c r="O1335" s="31">
        <f t="shared" si="83"/>
        <v>1.2578849718360181</v>
      </c>
    </row>
    <row r="1336" spans="1:15" x14ac:dyDescent="0.25">
      <c r="A1336" t="s">
        <v>7073</v>
      </c>
      <c r="B1336" t="s">
        <v>2675</v>
      </c>
      <c r="C1336" s="3" t="s">
        <v>2676</v>
      </c>
      <c r="D1336" s="24">
        <v>0.11411399999999999</v>
      </c>
      <c r="E1336" s="25">
        <v>9.8840000000000003</v>
      </c>
      <c r="F1336" s="25">
        <v>9.7430000000000003</v>
      </c>
      <c r="G1336" s="26">
        <v>0.14130000000000001</v>
      </c>
      <c r="H1336" s="27">
        <v>7.646E-2</v>
      </c>
      <c r="I1336" s="26">
        <v>1.8480000000000001</v>
      </c>
      <c r="J1336" s="28">
        <v>6</v>
      </c>
      <c r="K1336" s="27">
        <v>0.23594499999999999</v>
      </c>
      <c r="L1336" s="29">
        <f t="shared" si="80"/>
        <v>0.62718922152263223</v>
      </c>
      <c r="M1336" s="29">
        <f t="shared" si="81"/>
        <v>0.14099999999999935</v>
      </c>
      <c r="N1336" s="30">
        <f t="shared" si="82"/>
        <v>0.94266107118420861</v>
      </c>
      <c r="O1336" s="31">
        <f t="shared" si="83"/>
        <v>1.1026691630689125</v>
      </c>
    </row>
    <row r="1337" spans="1:15" x14ac:dyDescent="0.25">
      <c r="A1337" t="s">
        <v>7074</v>
      </c>
      <c r="B1337" t="s">
        <v>2673</v>
      </c>
      <c r="C1337" s="3" t="s">
        <v>2674</v>
      </c>
      <c r="D1337" s="24">
        <v>0.11409</v>
      </c>
      <c r="E1337" s="25">
        <v>11.25</v>
      </c>
      <c r="F1337" s="25">
        <v>11.11</v>
      </c>
      <c r="G1337" s="26">
        <v>0.13719999999999999</v>
      </c>
      <c r="H1337" s="27">
        <v>7.424E-2</v>
      </c>
      <c r="I1337" s="26">
        <v>1.8480000000000001</v>
      </c>
      <c r="J1337" s="28">
        <v>6</v>
      </c>
      <c r="K1337" s="27">
        <v>0.23594499999999999</v>
      </c>
      <c r="L1337" s="29">
        <f t="shared" si="80"/>
        <v>0.62718922152263223</v>
      </c>
      <c r="M1337" s="29">
        <f t="shared" si="81"/>
        <v>0.14000000000000024</v>
      </c>
      <c r="N1337" s="30">
        <f t="shared" si="82"/>
        <v>0.94275241986875502</v>
      </c>
      <c r="O1337" s="31">
        <f t="shared" si="83"/>
        <v>1.1019051158766109</v>
      </c>
    </row>
    <row r="1338" spans="1:15" x14ac:dyDescent="0.25">
      <c r="A1338" t="s">
        <v>7075</v>
      </c>
      <c r="B1338" t="s">
        <v>2679</v>
      </c>
      <c r="C1338" s="3" t="s">
        <v>2680</v>
      </c>
      <c r="D1338" s="24">
        <v>0.114409</v>
      </c>
      <c r="E1338" s="25">
        <v>8.9689999999999994</v>
      </c>
      <c r="F1338" s="25">
        <v>8.73</v>
      </c>
      <c r="G1338" s="26">
        <v>0.23949999999999999</v>
      </c>
      <c r="H1338" s="27">
        <v>0.1298</v>
      </c>
      <c r="I1338" s="26">
        <v>1.8460000000000001</v>
      </c>
      <c r="J1338" s="28">
        <v>6</v>
      </c>
      <c r="K1338" s="27">
        <v>0.23620099999999999</v>
      </c>
      <c r="L1338" s="29">
        <f t="shared" si="80"/>
        <v>0.62671826805373776</v>
      </c>
      <c r="M1338" s="29">
        <f t="shared" si="81"/>
        <v>0.23899999999999974</v>
      </c>
      <c r="N1338" s="30">
        <f t="shared" si="82"/>
        <v>0.94153981036296097</v>
      </c>
      <c r="O1338" s="31">
        <f t="shared" si="83"/>
        <v>1.1801743433362015</v>
      </c>
    </row>
    <row r="1339" spans="1:15" x14ac:dyDescent="0.25">
      <c r="A1339" t="s">
        <v>7076</v>
      </c>
      <c r="B1339" t="s">
        <v>2677</v>
      </c>
      <c r="C1339" s="3" t="s">
        <v>2678</v>
      </c>
      <c r="D1339" s="24">
        <v>0.114398</v>
      </c>
      <c r="E1339" s="25">
        <v>10.36</v>
      </c>
      <c r="F1339" s="25">
        <v>10.210000000000001</v>
      </c>
      <c r="G1339" s="26">
        <v>0.14610000000000001</v>
      </c>
      <c r="H1339" s="27">
        <v>7.9159999999999994E-2</v>
      </c>
      <c r="I1339" s="26">
        <v>1.8460000000000001</v>
      </c>
      <c r="J1339" s="28">
        <v>6</v>
      </c>
      <c r="K1339" s="27">
        <v>0.23620099999999999</v>
      </c>
      <c r="L1339" s="29">
        <f t="shared" si="80"/>
        <v>0.62671826805373776</v>
      </c>
      <c r="M1339" s="29">
        <f t="shared" si="81"/>
        <v>0.14999999999999805</v>
      </c>
      <c r="N1339" s="30">
        <f t="shared" si="82"/>
        <v>0.94158156817023619</v>
      </c>
      <c r="O1339" s="31">
        <f t="shared" si="83"/>
        <v>1.1095694720678435</v>
      </c>
    </row>
    <row r="1340" spans="1:15" x14ac:dyDescent="0.25">
      <c r="A1340" t="s">
        <v>7077</v>
      </c>
      <c r="B1340" t="s">
        <v>2681</v>
      </c>
      <c r="C1340" s="3" t="s">
        <v>2682</v>
      </c>
      <c r="D1340" s="24">
        <v>0.114679</v>
      </c>
      <c r="E1340" s="25">
        <v>8.9760000000000009</v>
      </c>
      <c r="F1340" s="25">
        <v>8.7149999999999999</v>
      </c>
      <c r="G1340" s="26">
        <v>0.26069999999999999</v>
      </c>
      <c r="H1340" s="27">
        <v>0.14130000000000001</v>
      </c>
      <c r="I1340" s="26">
        <v>1.8440000000000001</v>
      </c>
      <c r="J1340" s="28">
        <v>6</v>
      </c>
      <c r="K1340" s="27">
        <v>0.23658199999999999</v>
      </c>
      <c r="L1340" s="29">
        <f t="shared" si="80"/>
        <v>0.62601830111996815</v>
      </c>
      <c r="M1340" s="29">
        <f t="shared" si="81"/>
        <v>0.26100000000000034</v>
      </c>
      <c r="N1340" s="30">
        <f t="shared" si="82"/>
        <v>0.94051610275359121</v>
      </c>
      <c r="O1340" s="31">
        <f t="shared" si="83"/>
        <v>1.198309021339419</v>
      </c>
    </row>
    <row r="1341" spans="1:15" x14ac:dyDescent="0.25">
      <c r="A1341" t="s">
        <v>7078</v>
      </c>
      <c r="B1341" t="s">
        <v>2691</v>
      </c>
      <c r="C1341" s="3" t="s">
        <v>2692</v>
      </c>
      <c r="D1341" s="24">
        <v>0.115551</v>
      </c>
      <c r="E1341" s="25">
        <v>9.3989999999999991</v>
      </c>
      <c r="F1341" s="25">
        <v>9.6</v>
      </c>
      <c r="G1341" s="26">
        <v>-0.2006</v>
      </c>
      <c r="H1341" s="27">
        <v>0.1091</v>
      </c>
      <c r="I1341" s="26">
        <v>1.839</v>
      </c>
      <c r="J1341" s="28">
        <v>6</v>
      </c>
      <c r="K1341" s="27">
        <v>0.23735700000000001</v>
      </c>
      <c r="L1341" s="29">
        <f t="shared" si="80"/>
        <v>0.62459795578659438</v>
      </c>
      <c r="M1341" s="29">
        <f t="shared" si="81"/>
        <v>-0.20100000000000182</v>
      </c>
      <c r="N1341" s="30">
        <f t="shared" si="82"/>
        <v>0.93722629170280625</v>
      </c>
      <c r="O1341" s="31">
        <f t="shared" si="83"/>
        <v>0.86994735270864965</v>
      </c>
    </row>
    <row r="1342" spans="1:15" x14ac:dyDescent="0.25">
      <c r="A1342" t="s">
        <v>7079</v>
      </c>
      <c r="B1342" t="s">
        <v>2687</v>
      </c>
      <c r="C1342" s="3" t="s">
        <v>2688</v>
      </c>
      <c r="D1342" s="24">
        <v>0.115428</v>
      </c>
      <c r="E1342" s="25">
        <v>10.29</v>
      </c>
      <c r="F1342" s="25">
        <v>10.17</v>
      </c>
      <c r="G1342" s="26">
        <v>0.1196</v>
      </c>
      <c r="H1342" s="27">
        <v>6.5030000000000004E-2</v>
      </c>
      <c r="I1342" s="26">
        <v>1.84</v>
      </c>
      <c r="J1342" s="28">
        <v>6</v>
      </c>
      <c r="K1342" s="27">
        <v>0.23735700000000001</v>
      </c>
      <c r="L1342" s="29">
        <f t="shared" si="80"/>
        <v>0.62459795578659438</v>
      </c>
      <c r="M1342" s="29">
        <f t="shared" si="81"/>
        <v>0.11999999999999839</v>
      </c>
      <c r="N1342" s="30">
        <f t="shared" si="82"/>
        <v>0.93768882921767494</v>
      </c>
      <c r="O1342" s="31">
        <f t="shared" si="83"/>
        <v>1.0867348625260569</v>
      </c>
    </row>
    <row r="1343" spans="1:15" x14ac:dyDescent="0.25">
      <c r="A1343" t="s">
        <v>7080</v>
      </c>
      <c r="B1343" t="s">
        <v>2685</v>
      </c>
      <c r="C1343" s="3" t="s">
        <v>2686</v>
      </c>
      <c r="D1343" s="24">
        <v>0.115428</v>
      </c>
      <c r="E1343" s="25">
        <v>10.29</v>
      </c>
      <c r="F1343" s="25">
        <v>10.17</v>
      </c>
      <c r="G1343" s="26">
        <v>0.1196</v>
      </c>
      <c r="H1343" s="27">
        <v>6.5030000000000004E-2</v>
      </c>
      <c r="I1343" s="26">
        <v>1.84</v>
      </c>
      <c r="J1343" s="28">
        <v>6</v>
      </c>
      <c r="K1343" s="27">
        <v>0.23735700000000001</v>
      </c>
      <c r="L1343" s="29">
        <f t="shared" si="80"/>
        <v>0.62459795578659438</v>
      </c>
      <c r="M1343" s="29">
        <f t="shared" si="81"/>
        <v>0.11999999999999839</v>
      </c>
      <c r="N1343" s="30">
        <f t="shared" si="82"/>
        <v>0.93768882921767494</v>
      </c>
      <c r="O1343" s="31">
        <f t="shared" si="83"/>
        <v>1.0867348625260569</v>
      </c>
    </row>
    <row r="1344" spans="1:15" x14ac:dyDescent="0.25">
      <c r="A1344" t="s">
        <v>7081</v>
      </c>
      <c r="B1344" t="s">
        <v>2683</v>
      </c>
      <c r="C1344" s="3" t="s">
        <v>2684</v>
      </c>
      <c r="D1344" s="24">
        <v>0.11523</v>
      </c>
      <c r="E1344" s="25">
        <v>9.31</v>
      </c>
      <c r="F1344" s="25">
        <v>8.2720000000000002</v>
      </c>
      <c r="G1344" s="26">
        <v>1.038</v>
      </c>
      <c r="H1344" s="27">
        <v>0.56359999999999999</v>
      </c>
      <c r="I1344" s="26">
        <v>1.841</v>
      </c>
      <c r="J1344" s="28">
        <v>6</v>
      </c>
      <c r="K1344" s="27">
        <v>0.23735700000000001</v>
      </c>
      <c r="L1344" s="29">
        <f t="shared" si="80"/>
        <v>0.62459795578659438</v>
      </c>
      <c r="M1344" s="29">
        <f t="shared" si="81"/>
        <v>1.0380000000000009</v>
      </c>
      <c r="N1344" s="30">
        <f t="shared" si="82"/>
        <v>0.93843443811516136</v>
      </c>
      <c r="O1344" s="31">
        <f t="shared" si="83"/>
        <v>2.0533790914399992</v>
      </c>
    </row>
    <row r="1345" spans="1:15" x14ac:dyDescent="0.25">
      <c r="A1345" t="s">
        <v>7082</v>
      </c>
      <c r="B1345" t="s">
        <v>2693</v>
      </c>
      <c r="C1345" s="3" t="s">
        <v>2694</v>
      </c>
      <c r="D1345" s="24">
        <v>0.11557000000000001</v>
      </c>
      <c r="E1345" s="25">
        <v>10.039999999999999</v>
      </c>
      <c r="F1345" s="25">
        <v>9.5589999999999993</v>
      </c>
      <c r="G1345" s="26">
        <v>0.47870000000000001</v>
      </c>
      <c r="H1345" s="27">
        <v>0.26029999999999998</v>
      </c>
      <c r="I1345" s="26">
        <v>1.839</v>
      </c>
      <c r="J1345" s="28">
        <v>6</v>
      </c>
      <c r="K1345" s="27">
        <v>0.23735700000000001</v>
      </c>
      <c r="L1345" s="29">
        <f t="shared" si="80"/>
        <v>0.62459795578659438</v>
      </c>
      <c r="M1345" s="29">
        <f t="shared" si="81"/>
        <v>0.48099999999999987</v>
      </c>
      <c r="N1345" s="30">
        <f t="shared" si="82"/>
        <v>0.93715488672294955</v>
      </c>
      <c r="O1345" s="31">
        <f t="shared" si="83"/>
        <v>1.3957107641221664</v>
      </c>
    </row>
    <row r="1346" spans="1:15" x14ac:dyDescent="0.25">
      <c r="A1346" t="s">
        <v>7083</v>
      </c>
      <c r="B1346" t="s">
        <v>2689</v>
      </c>
      <c r="C1346" s="3" t="s">
        <v>2690</v>
      </c>
      <c r="D1346" s="24">
        <v>0.115539</v>
      </c>
      <c r="E1346" s="25">
        <v>8.61</v>
      </c>
      <c r="F1346" s="25">
        <v>8.8089999999999993</v>
      </c>
      <c r="G1346" s="26">
        <v>-0.1991</v>
      </c>
      <c r="H1346" s="27">
        <v>0.10829999999999999</v>
      </c>
      <c r="I1346" s="26">
        <v>1.839</v>
      </c>
      <c r="J1346" s="28">
        <v>6</v>
      </c>
      <c r="K1346" s="27">
        <v>0.23735700000000001</v>
      </c>
      <c r="L1346" s="29">
        <f t="shared" ref="L1346:L1409" si="84">-LOG(K1346,10)</f>
        <v>0.62459795578659438</v>
      </c>
      <c r="M1346" s="29">
        <f t="shared" ref="M1346:M1409" si="85">LOG(O1346,2)</f>
        <v>-0.19899999999999962</v>
      </c>
      <c r="N1346" s="30">
        <f t="shared" ref="N1346:N1409" si="86">-LOG(D1346,10)</f>
        <v>0.93727139563449979</v>
      </c>
      <c r="O1346" s="31">
        <f t="shared" ref="O1346:O1409" si="87">((2^E1346)/(2^F1346))</f>
        <v>0.87115419214225642</v>
      </c>
    </row>
    <row r="1347" spans="1:15" x14ac:dyDescent="0.25">
      <c r="A1347" t="s">
        <v>7084</v>
      </c>
      <c r="B1347" t="s">
        <v>2695</v>
      </c>
      <c r="C1347" s="3" t="s">
        <v>2696</v>
      </c>
      <c r="D1347" s="24">
        <v>0.115798</v>
      </c>
      <c r="E1347" s="25">
        <v>8.8569999999999993</v>
      </c>
      <c r="F1347" s="25">
        <v>8.6240000000000006</v>
      </c>
      <c r="G1347" s="26">
        <v>0.23330000000000001</v>
      </c>
      <c r="H1347" s="27">
        <v>0.12690000000000001</v>
      </c>
      <c r="I1347" s="26">
        <v>1.837</v>
      </c>
      <c r="J1347" s="28">
        <v>6</v>
      </c>
      <c r="K1347" s="27">
        <v>0.237648</v>
      </c>
      <c r="L1347" s="29">
        <f t="shared" si="84"/>
        <v>0.62406583629292867</v>
      </c>
      <c r="M1347" s="29">
        <f t="shared" si="85"/>
        <v>0.23299999999999993</v>
      </c>
      <c r="N1347" s="30">
        <f t="shared" si="86"/>
        <v>0.93629894144161074</v>
      </c>
      <c r="O1347" s="31">
        <f t="shared" si="87"/>
        <v>1.1752763284197707</v>
      </c>
    </row>
    <row r="1348" spans="1:15" x14ac:dyDescent="0.25">
      <c r="A1348" t="s">
        <v>7085</v>
      </c>
      <c r="B1348" t="s">
        <v>2697</v>
      </c>
      <c r="C1348" s="3" t="s">
        <v>2698</v>
      </c>
      <c r="D1348" s="24">
        <v>0.116392</v>
      </c>
      <c r="E1348" s="25">
        <v>9.3719999999999999</v>
      </c>
      <c r="F1348" s="25">
        <v>9.1920000000000002</v>
      </c>
      <c r="G1348" s="26">
        <v>0.1802</v>
      </c>
      <c r="H1348" s="27">
        <v>9.826E-2</v>
      </c>
      <c r="I1348" s="26">
        <v>1.8340000000000001</v>
      </c>
      <c r="J1348" s="28">
        <v>6</v>
      </c>
      <c r="K1348" s="27">
        <v>0.23869099999999999</v>
      </c>
      <c r="L1348" s="29">
        <f t="shared" si="84"/>
        <v>0.62216395604152908</v>
      </c>
      <c r="M1348" s="29">
        <f t="shared" si="85"/>
        <v>0.17999999999999905</v>
      </c>
      <c r="N1348" s="30">
        <f t="shared" si="86"/>
        <v>0.9340768691298964</v>
      </c>
      <c r="O1348" s="31">
        <f t="shared" si="87"/>
        <v>1.1328838852957979</v>
      </c>
    </row>
    <row r="1349" spans="1:15" x14ac:dyDescent="0.25">
      <c r="A1349" t="s">
        <v>7086</v>
      </c>
      <c r="B1349" t="s">
        <v>2701</v>
      </c>
      <c r="C1349" s="3" t="s">
        <v>2702</v>
      </c>
      <c r="D1349" s="24">
        <v>0.116803</v>
      </c>
      <c r="E1349" s="25">
        <v>9.2319999999999993</v>
      </c>
      <c r="F1349" s="25">
        <v>9.0139999999999993</v>
      </c>
      <c r="G1349" s="26">
        <v>0.21829999999999999</v>
      </c>
      <c r="H1349" s="27">
        <v>0.1192</v>
      </c>
      <c r="I1349" s="26">
        <v>1.831</v>
      </c>
      <c r="J1349" s="28">
        <v>6</v>
      </c>
      <c r="K1349" s="27">
        <v>0.239178</v>
      </c>
      <c r="L1349" s="29">
        <f t="shared" si="84"/>
        <v>0.62127876999302056</v>
      </c>
      <c r="M1349" s="29">
        <f t="shared" si="85"/>
        <v>0.21799999999999967</v>
      </c>
      <c r="N1349" s="30">
        <f t="shared" si="86"/>
        <v>0.93254600254285069</v>
      </c>
      <c r="O1349" s="31">
        <f t="shared" si="87"/>
        <v>1.1631200415478506</v>
      </c>
    </row>
    <row r="1350" spans="1:15" x14ac:dyDescent="0.25">
      <c r="A1350" t="s">
        <v>7087</v>
      </c>
      <c r="B1350" t="s">
        <v>2699</v>
      </c>
      <c r="C1350" s="3" t="s">
        <v>2700</v>
      </c>
      <c r="D1350" s="24">
        <v>0.116787</v>
      </c>
      <c r="E1350" s="25">
        <v>9.7360000000000007</v>
      </c>
      <c r="F1350" s="25">
        <v>9.9390000000000001</v>
      </c>
      <c r="G1350" s="26">
        <v>-0.20300000000000001</v>
      </c>
      <c r="H1350" s="27">
        <v>0.1109</v>
      </c>
      <c r="I1350" s="26">
        <v>1.831</v>
      </c>
      <c r="J1350" s="28">
        <v>6</v>
      </c>
      <c r="K1350" s="27">
        <v>0.239178</v>
      </c>
      <c r="L1350" s="29">
        <f t="shared" si="84"/>
        <v>0.62127876999302056</v>
      </c>
      <c r="M1350" s="29">
        <f t="shared" si="85"/>
        <v>-0.20299999999999985</v>
      </c>
      <c r="N1350" s="30">
        <f t="shared" si="86"/>
        <v>0.93260549748459753</v>
      </c>
      <c r="O1350" s="31">
        <f t="shared" si="87"/>
        <v>0.8687421851506234</v>
      </c>
    </row>
    <row r="1351" spans="1:15" x14ac:dyDescent="0.25">
      <c r="A1351" t="s">
        <v>7088</v>
      </c>
      <c r="B1351" t="s">
        <v>2705</v>
      </c>
      <c r="C1351" s="3" t="s">
        <v>2706</v>
      </c>
      <c r="D1351" s="24">
        <v>0.117063</v>
      </c>
      <c r="E1351" s="25">
        <v>10.29</v>
      </c>
      <c r="F1351" s="25">
        <v>10.11</v>
      </c>
      <c r="G1351" s="26">
        <v>0.17460000000000001</v>
      </c>
      <c r="H1351" s="27">
        <v>9.5430000000000001E-2</v>
      </c>
      <c r="I1351" s="26">
        <v>1.83</v>
      </c>
      <c r="J1351" s="28">
        <v>6</v>
      </c>
      <c r="K1351" s="27">
        <v>0.23935600000000001</v>
      </c>
      <c r="L1351" s="29">
        <f t="shared" si="84"/>
        <v>0.62095568147122648</v>
      </c>
      <c r="M1351" s="29">
        <f t="shared" si="85"/>
        <v>0.17999999999999905</v>
      </c>
      <c r="N1351" s="30">
        <f t="shared" si="86"/>
        <v>0.93158035031622632</v>
      </c>
      <c r="O1351" s="31">
        <f t="shared" si="87"/>
        <v>1.1328838852957979</v>
      </c>
    </row>
    <row r="1352" spans="1:15" x14ac:dyDescent="0.25">
      <c r="A1352" t="s">
        <v>7089</v>
      </c>
      <c r="B1352" t="s">
        <v>2703</v>
      </c>
      <c r="C1352" s="3" t="s">
        <v>2704</v>
      </c>
      <c r="D1352" s="24">
        <v>0.117025</v>
      </c>
      <c r="E1352" s="25">
        <v>9.5779999999999994</v>
      </c>
      <c r="F1352" s="25">
        <v>9.4309999999999992</v>
      </c>
      <c r="G1352" s="26">
        <v>0.1477</v>
      </c>
      <c r="H1352" s="27">
        <v>8.0699999999999994E-2</v>
      </c>
      <c r="I1352" s="26">
        <v>1.83</v>
      </c>
      <c r="J1352" s="28">
        <v>6</v>
      </c>
      <c r="K1352" s="27">
        <v>0.23935600000000001</v>
      </c>
      <c r="L1352" s="29">
        <f t="shared" si="84"/>
        <v>0.62095568147122648</v>
      </c>
      <c r="M1352" s="29">
        <f t="shared" si="85"/>
        <v>0.14700000000000082</v>
      </c>
      <c r="N1352" s="30">
        <f t="shared" si="86"/>
        <v>0.93172135020052027</v>
      </c>
      <c r="O1352" s="31">
        <f t="shared" si="87"/>
        <v>1.1072645844842857</v>
      </c>
    </row>
    <row r="1353" spans="1:15" x14ac:dyDescent="0.25">
      <c r="A1353" t="s">
        <v>7090</v>
      </c>
      <c r="B1353" t="s">
        <v>2707</v>
      </c>
      <c r="C1353" s="3" t="s">
        <v>2708</v>
      </c>
      <c r="D1353" s="24">
        <v>0.117239</v>
      </c>
      <c r="E1353" s="25">
        <v>6.702</v>
      </c>
      <c r="F1353" s="25">
        <v>7.4409999999999998</v>
      </c>
      <c r="G1353" s="26">
        <v>-0.7389</v>
      </c>
      <c r="H1353" s="27">
        <v>0.40410000000000001</v>
      </c>
      <c r="I1353" s="26">
        <v>1.8280000000000001</v>
      </c>
      <c r="J1353" s="28">
        <v>6</v>
      </c>
      <c r="K1353" s="27">
        <v>0.239538</v>
      </c>
      <c r="L1353" s="29">
        <f t="shared" si="84"/>
        <v>0.62062558086645059</v>
      </c>
      <c r="M1353" s="29">
        <f t="shared" si="85"/>
        <v>-0.73899999999999999</v>
      </c>
      <c r="N1353" s="30">
        <f t="shared" si="86"/>
        <v>0.93092789456944369</v>
      </c>
      <c r="O1353" s="31">
        <f t="shared" si="87"/>
        <v>0.59915451066970937</v>
      </c>
    </row>
    <row r="1354" spans="1:15" x14ac:dyDescent="0.25">
      <c r="A1354" t="s">
        <v>7091</v>
      </c>
      <c r="B1354" t="s">
        <v>2709</v>
      </c>
      <c r="C1354" s="3" t="s">
        <v>2710</v>
      </c>
      <c r="D1354" s="24">
        <v>0.117502</v>
      </c>
      <c r="E1354" s="25">
        <v>10.86</v>
      </c>
      <c r="F1354" s="25">
        <v>10.67</v>
      </c>
      <c r="G1354" s="26">
        <v>0.18740000000000001</v>
      </c>
      <c r="H1354" s="27">
        <v>0.1026</v>
      </c>
      <c r="I1354" s="26">
        <v>1.827</v>
      </c>
      <c r="J1354" s="28">
        <v>6</v>
      </c>
      <c r="K1354" s="27">
        <v>0.239898</v>
      </c>
      <c r="L1354" s="29">
        <f t="shared" si="84"/>
        <v>0.61997337267653974</v>
      </c>
      <c r="M1354" s="29">
        <f t="shared" si="85"/>
        <v>0.18999999999999834</v>
      </c>
      <c r="N1354" s="30">
        <f t="shared" si="86"/>
        <v>0.9299547412086564</v>
      </c>
      <c r="O1354" s="31">
        <f t="shared" si="87"/>
        <v>1.1407637158684223</v>
      </c>
    </row>
    <row r="1355" spans="1:15" x14ac:dyDescent="0.25">
      <c r="A1355" t="s">
        <v>7092</v>
      </c>
      <c r="B1355" t="s">
        <v>2711</v>
      </c>
      <c r="C1355" s="3" t="s">
        <v>2712</v>
      </c>
      <c r="D1355" s="24">
        <v>0.117671</v>
      </c>
      <c r="E1355" s="25">
        <v>8.2949999999999999</v>
      </c>
      <c r="F1355" s="25">
        <v>8.06</v>
      </c>
      <c r="G1355" s="26">
        <v>0.23530000000000001</v>
      </c>
      <c r="H1355" s="27">
        <v>0.12889999999999999</v>
      </c>
      <c r="I1355" s="26">
        <v>1.8260000000000001</v>
      </c>
      <c r="J1355" s="28">
        <v>6</v>
      </c>
      <c r="K1355" s="27">
        <v>0.240066</v>
      </c>
      <c r="L1355" s="29">
        <f t="shared" si="84"/>
        <v>0.61966934372462057</v>
      </c>
      <c r="M1355" s="29">
        <f t="shared" si="85"/>
        <v>0.23499999999999951</v>
      </c>
      <c r="N1355" s="30">
        <f t="shared" si="86"/>
        <v>0.92933055577856138</v>
      </c>
      <c r="O1355" s="31">
        <f t="shared" si="87"/>
        <v>1.1769067372187669</v>
      </c>
    </row>
    <row r="1356" spans="1:15" x14ac:dyDescent="0.25">
      <c r="A1356" t="s">
        <v>7093</v>
      </c>
      <c r="B1356" t="s">
        <v>2713</v>
      </c>
      <c r="C1356" s="3" t="s">
        <v>2714</v>
      </c>
      <c r="D1356" s="24">
        <v>0.117809</v>
      </c>
      <c r="E1356" s="25">
        <v>10.44</v>
      </c>
      <c r="F1356" s="25">
        <v>10.69</v>
      </c>
      <c r="G1356" s="26">
        <v>-0.24679999999999999</v>
      </c>
      <c r="H1356" s="27">
        <v>0.1353</v>
      </c>
      <c r="I1356" s="26">
        <v>1.825</v>
      </c>
      <c r="J1356" s="28">
        <v>6</v>
      </c>
      <c r="K1356" s="27">
        <v>0.24016999999999999</v>
      </c>
      <c r="L1356" s="29">
        <f t="shared" si="84"/>
        <v>0.61948124192956977</v>
      </c>
      <c r="M1356" s="29">
        <f t="shared" si="85"/>
        <v>-0.25000000000000067</v>
      </c>
      <c r="N1356" s="30">
        <f t="shared" si="86"/>
        <v>0.92882153042300053</v>
      </c>
      <c r="O1356" s="31">
        <f t="shared" si="87"/>
        <v>0.84089641525371417</v>
      </c>
    </row>
    <row r="1357" spans="1:15" x14ac:dyDescent="0.25">
      <c r="A1357" t="s">
        <v>7094</v>
      </c>
      <c r="B1357" t="s">
        <v>2715</v>
      </c>
      <c r="C1357" s="3" t="s">
        <v>2716</v>
      </c>
      <c r="D1357" s="24">
        <v>0.118004</v>
      </c>
      <c r="E1357" s="25">
        <v>8.8840000000000003</v>
      </c>
      <c r="F1357" s="25">
        <v>7.8540000000000001</v>
      </c>
      <c r="G1357" s="26">
        <v>1.03</v>
      </c>
      <c r="H1357" s="27">
        <v>0.56479999999999997</v>
      </c>
      <c r="I1357" s="26">
        <v>1.8240000000000001</v>
      </c>
      <c r="J1357" s="28">
        <v>6</v>
      </c>
      <c r="K1357" s="27">
        <v>0.24038999999999999</v>
      </c>
      <c r="L1357" s="29">
        <f t="shared" si="84"/>
        <v>0.61908360253930217</v>
      </c>
      <c r="M1357" s="29">
        <f t="shared" si="85"/>
        <v>1.0300000000000002</v>
      </c>
      <c r="N1357" s="30">
        <f t="shared" si="86"/>
        <v>0.92810327109654756</v>
      </c>
      <c r="O1357" s="31">
        <f t="shared" si="87"/>
        <v>2.0420242514143867</v>
      </c>
    </row>
    <row r="1358" spans="1:15" x14ac:dyDescent="0.25">
      <c r="A1358" t="s">
        <v>7095</v>
      </c>
      <c r="B1358" t="s">
        <v>2719</v>
      </c>
      <c r="C1358" s="3" t="s">
        <v>2720</v>
      </c>
      <c r="D1358" s="24">
        <v>0.118368</v>
      </c>
      <c r="E1358" s="25">
        <v>8.8130000000000006</v>
      </c>
      <c r="F1358" s="25">
        <v>9.1280000000000001</v>
      </c>
      <c r="G1358" s="26">
        <v>-0.31490000000000001</v>
      </c>
      <c r="H1358" s="27">
        <v>0.1729</v>
      </c>
      <c r="I1358" s="26">
        <v>1.8220000000000001</v>
      </c>
      <c r="J1358" s="28">
        <v>6</v>
      </c>
      <c r="K1358" s="27">
        <v>0.24077599999999999</v>
      </c>
      <c r="L1358" s="29">
        <f t="shared" si="84"/>
        <v>0.6183868047357336</v>
      </c>
      <c r="M1358" s="29">
        <f t="shared" si="85"/>
        <v>-0.31499999999999995</v>
      </c>
      <c r="N1358" s="30">
        <f t="shared" si="86"/>
        <v>0.92676569036469991</v>
      </c>
      <c r="O1358" s="31">
        <f t="shared" si="87"/>
        <v>0.80385099074315147</v>
      </c>
    </row>
    <row r="1359" spans="1:15" x14ac:dyDescent="0.25">
      <c r="A1359" t="s">
        <v>7096</v>
      </c>
      <c r="B1359" t="s">
        <v>2717</v>
      </c>
      <c r="C1359" s="3" t="s">
        <v>2718</v>
      </c>
      <c r="D1359" s="24">
        <v>0.118342</v>
      </c>
      <c r="E1359" s="25">
        <v>8.8529999999999998</v>
      </c>
      <c r="F1359" s="25">
        <v>8.3160000000000007</v>
      </c>
      <c r="G1359" s="26">
        <v>0.53620000000000001</v>
      </c>
      <c r="H1359" s="27">
        <v>0.2944</v>
      </c>
      <c r="I1359" s="26">
        <v>1.8220000000000001</v>
      </c>
      <c r="J1359" s="28">
        <v>6</v>
      </c>
      <c r="K1359" s="27">
        <v>0.24077599999999999</v>
      </c>
      <c r="L1359" s="29">
        <f t="shared" si="84"/>
        <v>0.6183868047357336</v>
      </c>
      <c r="M1359" s="29">
        <f t="shared" si="85"/>
        <v>0.53699999999999914</v>
      </c>
      <c r="N1359" s="30">
        <f t="shared" si="86"/>
        <v>0.92686109534611083</v>
      </c>
      <c r="O1359" s="31">
        <f t="shared" si="87"/>
        <v>1.4509522078341777</v>
      </c>
    </row>
    <row r="1360" spans="1:15" x14ac:dyDescent="0.25">
      <c r="A1360" t="s">
        <v>7097</v>
      </c>
      <c r="B1360" t="s">
        <v>2721</v>
      </c>
      <c r="C1360" s="3" t="s">
        <v>2722</v>
      </c>
      <c r="D1360" s="24">
        <v>0.118628</v>
      </c>
      <c r="E1360" s="25">
        <v>11.75</v>
      </c>
      <c r="F1360" s="25">
        <v>11.46</v>
      </c>
      <c r="G1360" s="26">
        <v>0.2838</v>
      </c>
      <c r="H1360" s="27">
        <v>0.156</v>
      </c>
      <c r="I1360" s="26">
        <v>1.82</v>
      </c>
      <c r="J1360" s="28">
        <v>6</v>
      </c>
      <c r="K1360" s="27">
        <v>0.24112800000000001</v>
      </c>
      <c r="L1360" s="29">
        <f t="shared" si="84"/>
        <v>0.61775235602886458</v>
      </c>
      <c r="M1360" s="29">
        <f t="shared" si="85"/>
        <v>0.29000000000000092</v>
      </c>
      <c r="N1360" s="30">
        <f t="shared" si="86"/>
        <v>0.92581279149218576</v>
      </c>
      <c r="O1360" s="31">
        <f t="shared" si="87"/>
        <v>1.2226402776920693</v>
      </c>
    </row>
    <row r="1361" spans="1:15" x14ac:dyDescent="0.25">
      <c r="A1361" t="s">
        <v>7098</v>
      </c>
      <c r="B1361" t="s">
        <v>2723</v>
      </c>
      <c r="C1361" s="3" t="s">
        <v>2724</v>
      </c>
      <c r="D1361" s="24">
        <v>0.118967</v>
      </c>
      <c r="E1361" s="25">
        <v>9.593</v>
      </c>
      <c r="F1361" s="25">
        <v>9.8170000000000002</v>
      </c>
      <c r="G1361" s="26">
        <v>-0.224</v>
      </c>
      <c r="H1361" s="27">
        <v>0.1232</v>
      </c>
      <c r="I1361" s="26">
        <v>1.8180000000000001</v>
      </c>
      <c r="J1361" s="28">
        <v>6</v>
      </c>
      <c r="K1361" s="27">
        <v>0.24163799999999999</v>
      </c>
      <c r="L1361" s="29">
        <f t="shared" si="84"/>
        <v>0.61683476751531729</v>
      </c>
      <c r="M1361" s="29">
        <f t="shared" si="85"/>
        <v>-0.22399999999999978</v>
      </c>
      <c r="N1361" s="30">
        <f t="shared" si="86"/>
        <v>0.92457348991369792</v>
      </c>
      <c r="O1361" s="31">
        <f t="shared" si="87"/>
        <v>0.85618828454645701</v>
      </c>
    </row>
    <row r="1362" spans="1:15" x14ac:dyDescent="0.25">
      <c r="A1362" t="s">
        <v>7099</v>
      </c>
      <c r="B1362" t="s">
        <v>2725</v>
      </c>
      <c r="C1362" s="3" t="s">
        <v>2726</v>
      </c>
      <c r="D1362" s="24">
        <v>0.11921900000000001</v>
      </c>
      <c r="E1362" s="25">
        <v>9.798</v>
      </c>
      <c r="F1362" s="25">
        <v>9.6340000000000003</v>
      </c>
      <c r="G1362" s="26">
        <v>0.16389999999999999</v>
      </c>
      <c r="H1362" s="27">
        <v>9.0240000000000001E-2</v>
      </c>
      <c r="I1362" s="26">
        <v>1.8160000000000001</v>
      </c>
      <c r="J1362" s="28">
        <v>6</v>
      </c>
      <c r="K1362" s="27">
        <v>0.24197199999999999</v>
      </c>
      <c r="L1362" s="29">
        <f t="shared" si="84"/>
        <v>0.61623488587507624</v>
      </c>
      <c r="M1362" s="29">
        <f t="shared" si="85"/>
        <v>0.16399999999999887</v>
      </c>
      <c r="N1362" s="30">
        <f t="shared" si="86"/>
        <v>0.92365452532069403</v>
      </c>
      <c r="O1362" s="31">
        <f t="shared" si="87"/>
        <v>1.1203892141941751</v>
      </c>
    </row>
    <row r="1363" spans="1:15" x14ac:dyDescent="0.25">
      <c r="A1363" t="s">
        <v>7100</v>
      </c>
      <c r="B1363" t="s">
        <v>2727</v>
      </c>
      <c r="C1363" s="3" t="s">
        <v>2728</v>
      </c>
      <c r="D1363" s="24">
        <v>0.119362</v>
      </c>
      <c r="E1363" s="25">
        <v>8.2910000000000004</v>
      </c>
      <c r="F1363" s="25">
        <v>8.1159999999999997</v>
      </c>
      <c r="G1363" s="26">
        <v>0.17519999999999999</v>
      </c>
      <c r="H1363" s="27">
        <v>9.6490000000000006E-2</v>
      </c>
      <c r="I1363" s="26">
        <v>1.8160000000000001</v>
      </c>
      <c r="J1363" s="28">
        <v>6</v>
      </c>
      <c r="K1363" s="27">
        <v>0.24208499999999999</v>
      </c>
      <c r="L1363" s="29">
        <f t="shared" si="84"/>
        <v>0.61603211935234636</v>
      </c>
      <c r="M1363" s="29">
        <f t="shared" si="85"/>
        <v>0.17500000000000102</v>
      </c>
      <c r="N1363" s="30">
        <f t="shared" si="86"/>
        <v>0.9231339128800623</v>
      </c>
      <c r="O1363" s="31">
        <f t="shared" si="87"/>
        <v>1.128964404806132</v>
      </c>
    </row>
    <row r="1364" spans="1:15" x14ac:dyDescent="0.25">
      <c r="A1364" t="s">
        <v>7101</v>
      </c>
      <c r="B1364" t="s">
        <v>2729</v>
      </c>
      <c r="C1364" s="3" t="s">
        <v>2730</v>
      </c>
      <c r="D1364" s="24">
        <v>0.119556</v>
      </c>
      <c r="E1364" s="25">
        <v>8.0679999999999996</v>
      </c>
      <c r="F1364" s="25">
        <v>7.7510000000000003</v>
      </c>
      <c r="G1364" s="26">
        <v>0.31709999999999999</v>
      </c>
      <c r="H1364" s="27">
        <v>0.17480000000000001</v>
      </c>
      <c r="I1364" s="26">
        <v>1.8140000000000001</v>
      </c>
      <c r="J1364" s="28">
        <v>6</v>
      </c>
      <c r="K1364" s="27">
        <v>0.24229999999999999</v>
      </c>
      <c r="L1364" s="29">
        <f t="shared" si="84"/>
        <v>0.61564658586249377</v>
      </c>
      <c r="M1364" s="29">
        <f t="shared" si="85"/>
        <v>0.31699999999999967</v>
      </c>
      <c r="N1364" s="30">
        <f t="shared" si="86"/>
        <v>0.92242862363432743</v>
      </c>
      <c r="O1364" s="31">
        <f t="shared" si="87"/>
        <v>1.2457374155694736</v>
      </c>
    </row>
    <row r="1365" spans="1:15" x14ac:dyDescent="0.25">
      <c r="A1365" t="s">
        <v>7102</v>
      </c>
      <c r="B1365" t="s">
        <v>2731</v>
      </c>
      <c r="C1365" s="3" t="s">
        <v>2732</v>
      </c>
      <c r="D1365" s="24">
        <v>0.119656</v>
      </c>
      <c r="E1365" s="25">
        <v>10.210000000000001</v>
      </c>
      <c r="F1365" s="25">
        <v>10.48</v>
      </c>
      <c r="G1365" s="26">
        <v>-0.26750000000000002</v>
      </c>
      <c r="H1365" s="27">
        <v>0.14749999999999999</v>
      </c>
      <c r="I1365" s="26">
        <v>1.8140000000000001</v>
      </c>
      <c r="J1365" s="28">
        <v>6</v>
      </c>
      <c r="K1365" s="27">
        <v>0.24232600000000001</v>
      </c>
      <c r="L1365" s="29">
        <f t="shared" si="84"/>
        <v>0.61559998639593472</v>
      </c>
      <c r="M1365" s="29">
        <f t="shared" si="85"/>
        <v>-0.27000000000000024</v>
      </c>
      <c r="N1365" s="30">
        <f t="shared" si="86"/>
        <v>0.92206551935260084</v>
      </c>
      <c r="O1365" s="31">
        <f t="shared" si="87"/>
        <v>0.82931954581444156</v>
      </c>
    </row>
    <row r="1366" spans="1:15" x14ac:dyDescent="0.25">
      <c r="A1366" t="s">
        <v>7103</v>
      </c>
      <c r="B1366" t="s">
        <v>2733</v>
      </c>
      <c r="C1366" s="3" t="s">
        <v>2734</v>
      </c>
      <c r="D1366" s="24">
        <v>0.119795</v>
      </c>
      <c r="E1366" s="25">
        <v>8.7729999999999997</v>
      </c>
      <c r="F1366" s="25">
        <v>8.3290000000000006</v>
      </c>
      <c r="G1366" s="26">
        <v>0.44429999999999997</v>
      </c>
      <c r="H1366" s="27">
        <v>0.24510000000000001</v>
      </c>
      <c r="I1366" s="26">
        <v>1.8129999999999999</v>
      </c>
      <c r="J1366" s="28">
        <v>6</v>
      </c>
      <c r="K1366" s="27">
        <v>0.24238199999999999</v>
      </c>
      <c r="L1366" s="29">
        <f t="shared" si="84"/>
        <v>0.61549963529343676</v>
      </c>
      <c r="M1366" s="29">
        <f t="shared" si="85"/>
        <v>0.4439999999999994</v>
      </c>
      <c r="N1366" s="30">
        <f t="shared" si="86"/>
        <v>0.92156130813807058</v>
      </c>
      <c r="O1366" s="31">
        <f t="shared" si="87"/>
        <v>1.3603708524059543</v>
      </c>
    </row>
    <row r="1367" spans="1:15" x14ac:dyDescent="0.25">
      <c r="A1367" t="s">
        <v>7104</v>
      </c>
      <c r="B1367" t="s">
        <v>2735</v>
      </c>
      <c r="C1367" s="3" t="s">
        <v>2736</v>
      </c>
      <c r="D1367" s="24">
        <v>0.11985999999999999</v>
      </c>
      <c r="E1367" s="25">
        <v>10.06</v>
      </c>
      <c r="F1367" s="25">
        <v>9.9039999999999999</v>
      </c>
      <c r="G1367" s="26">
        <v>0.1515</v>
      </c>
      <c r="H1367" s="27">
        <v>8.3580000000000002E-2</v>
      </c>
      <c r="I1367" s="26">
        <v>1.8120000000000001</v>
      </c>
      <c r="J1367" s="28">
        <v>6</v>
      </c>
      <c r="K1367" s="27">
        <v>0.24238199999999999</v>
      </c>
      <c r="L1367" s="29">
        <f t="shared" si="84"/>
        <v>0.61549963529343676</v>
      </c>
      <c r="M1367" s="29">
        <f t="shared" si="85"/>
        <v>0.15600000000000067</v>
      </c>
      <c r="N1367" s="30">
        <f t="shared" si="86"/>
        <v>0.92132572663953383</v>
      </c>
      <c r="O1367" s="31">
        <f t="shared" si="87"/>
        <v>1.1141936508193329</v>
      </c>
    </row>
    <row r="1368" spans="1:15" x14ac:dyDescent="0.25">
      <c r="A1368" t="s">
        <v>7105</v>
      </c>
      <c r="B1368" t="s">
        <v>2737</v>
      </c>
      <c r="C1368" s="3" t="s">
        <v>2738</v>
      </c>
      <c r="D1368" s="24">
        <v>0.11995599999999999</v>
      </c>
      <c r="E1368" s="25">
        <v>10.89</v>
      </c>
      <c r="F1368" s="25">
        <v>11.09</v>
      </c>
      <c r="G1368" s="26">
        <v>-0.19109999999999999</v>
      </c>
      <c r="H1368" s="27">
        <v>0.1055</v>
      </c>
      <c r="I1368" s="26">
        <v>1.8120000000000001</v>
      </c>
      <c r="J1368" s="28">
        <v>6</v>
      </c>
      <c r="K1368" s="27">
        <v>0.2424</v>
      </c>
      <c r="L1368" s="29">
        <f t="shared" si="84"/>
        <v>0.61546738450575134</v>
      </c>
      <c r="M1368" s="29">
        <f t="shared" si="85"/>
        <v>-0.20000000000000023</v>
      </c>
      <c r="N1368" s="30">
        <f t="shared" si="86"/>
        <v>0.92097802446378474</v>
      </c>
      <c r="O1368" s="31">
        <f t="shared" si="87"/>
        <v>0.87055056329612401</v>
      </c>
    </row>
    <row r="1369" spans="1:15" x14ac:dyDescent="0.25">
      <c r="A1369" t="s">
        <v>7106</v>
      </c>
      <c r="B1369" t="s">
        <v>2739</v>
      </c>
      <c r="C1369" s="3" t="s">
        <v>2740</v>
      </c>
      <c r="D1369" s="24">
        <v>0.120162</v>
      </c>
      <c r="E1369" s="25">
        <v>10.7</v>
      </c>
      <c r="F1369" s="25">
        <v>9.5280000000000005</v>
      </c>
      <c r="G1369" s="26">
        <v>1.171</v>
      </c>
      <c r="H1369" s="27">
        <v>0.64649999999999996</v>
      </c>
      <c r="I1369" s="26">
        <v>1.8109999999999999</v>
      </c>
      <c r="J1369" s="28">
        <v>6</v>
      </c>
      <c r="K1369" s="27">
        <v>0.24243400000000001</v>
      </c>
      <c r="L1369" s="29">
        <f t="shared" si="84"/>
        <v>0.61540647288482986</v>
      </c>
      <c r="M1369" s="29">
        <f t="shared" si="85"/>
        <v>1.1719999999999986</v>
      </c>
      <c r="N1369" s="30">
        <f t="shared" si="86"/>
        <v>0.92023285179683689</v>
      </c>
      <c r="O1369" s="31">
        <f t="shared" si="87"/>
        <v>2.2532384569945565</v>
      </c>
    </row>
    <row r="1370" spans="1:15" x14ac:dyDescent="0.25">
      <c r="A1370" t="s">
        <v>7107</v>
      </c>
      <c r="B1370" t="s">
        <v>2743</v>
      </c>
      <c r="C1370" s="3" t="s">
        <v>2744</v>
      </c>
      <c r="D1370" s="24">
        <v>0.120236</v>
      </c>
      <c r="E1370" s="25">
        <v>8.7520000000000007</v>
      </c>
      <c r="F1370" s="25">
        <v>8.5079999999999991</v>
      </c>
      <c r="G1370" s="26">
        <v>0.2437</v>
      </c>
      <c r="H1370" s="27">
        <v>0.1346</v>
      </c>
      <c r="I1370" s="26">
        <v>1.81</v>
      </c>
      <c r="J1370" s="28">
        <v>6</v>
      </c>
      <c r="K1370" s="27">
        <v>0.24243400000000001</v>
      </c>
      <c r="L1370" s="29">
        <f t="shared" si="84"/>
        <v>0.61540647288482986</v>
      </c>
      <c r="M1370" s="29">
        <f t="shared" si="85"/>
        <v>0.24400000000000066</v>
      </c>
      <c r="N1370" s="30">
        <f t="shared" si="86"/>
        <v>0.91996548024902114</v>
      </c>
      <c r="O1370" s="31">
        <f t="shared" si="87"/>
        <v>1.1842716118536332</v>
      </c>
    </row>
    <row r="1371" spans="1:15" x14ac:dyDescent="0.25">
      <c r="A1371" t="s">
        <v>7108</v>
      </c>
      <c r="B1371" t="s">
        <v>2741</v>
      </c>
      <c r="C1371" s="3" t="s">
        <v>2742</v>
      </c>
      <c r="D1371" s="24">
        <v>0.120188</v>
      </c>
      <c r="E1371" s="25">
        <v>8.9670000000000005</v>
      </c>
      <c r="F1371" s="25">
        <v>9.1980000000000004</v>
      </c>
      <c r="G1371" s="26">
        <v>-0.23169999999999999</v>
      </c>
      <c r="H1371" s="27">
        <v>0.128</v>
      </c>
      <c r="I1371" s="26">
        <v>1.8109999999999999</v>
      </c>
      <c r="J1371" s="28">
        <v>6</v>
      </c>
      <c r="K1371" s="27">
        <v>0.24243400000000001</v>
      </c>
      <c r="L1371" s="29">
        <f t="shared" si="84"/>
        <v>0.61540647288482986</v>
      </c>
      <c r="M1371" s="29">
        <f t="shared" si="85"/>
        <v>-0.23100000000000048</v>
      </c>
      <c r="N1371" s="30">
        <f t="shared" si="86"/>
        <v>0.92013889168388863</v>
      </c>
      <c r="O1371" s="31">
        <f t="shared" si="87"/>
        <v>0.85204409507486567</v>
      </c>
    </row>
    <row r="1372" spans="1:15" x14ac:dyDescent="0.25">
      <c r="A1372" t="s">
        <v>7109</v>
      </c>
      <c r="B1372" t="s">
        <v>2745</v>
      </c>
      <c r="C1372" s="3" t="s">
        <v>2746</v>
      </c>
      <c r="D1372" s="24">
        <v>0.120561</v>
      </c>
      <c r="E1372" s="25">
        <v>9.6259999999999994</v>
      </c>
      <c r="F1372" s="25">
        <v>9.3940000000000001</v>
      </c>
      <c r="G1372" s="26">
        <v>0.23169999999999999</v>
      </c>
      <c r="H1372" s="27">
        <v>0.12809999999999999</v>
      </c>
      <c r="I1372" s="26">
        <v>1.8080000000000001</v>
      </c>
      <c r="J1372" s="28">
        <v>6</v>
      </c>
      <c r="K1372" s="27">
        <v>0.24291099999999999</v>
      </c>
      <c r="L1372" s="29">
        <f t="shared" si="84"/>
        <v>0.61455281812556983</v>
      </c>
      <c r="M1372" s="29">
        <f t="shared" si="85"/>
        <v>0.23199999999999948</v>
      </c>
      <c r="N1372" s="30">
        <f t="shared" si="86"/>
        <v>0.91879315839846143</v>
      </c>
      <c r="O1372" s="31">
        <f t="shared" si="87"/>
        <v>1.174461971213653</v>
      </c>
    </row>
    <row r="1373" spans="1:15" x14ac:dyDescent="0.25">
      <c r="A1373" t="s">
        <v>7110</v>
      </c>
      <c r="B1373" t="s">
        <v>2747</v>
      </c>
      <c r="C1373" s="3" t="s">
        <v>2748</v>
      </c>
      <c r="D1373" s="24">
        <v>0.120699</v>
      </c>
      <c r="E1373" s="25">
        <v>8.4580000000000002</v>
      </c>
      <c r="F1373" s="25">
        <v>8.7119999999999997</v>
      </c>
      <c r="G1373" s="26">
        <v>-0.25369999999999998</v>
      </c>
      <c r="H1373" s="27">
        <v>0.1404</v>
      </c>
      <c r="I1373" s="26">
        <v>1.8069999999999999</v>
      </c>
      <c r="J1373" s="28">
        <v>6</v>
      </c>
      <c r="K1373" s="27">
        <v>0.243011</v>
      </c>
      <c r="L1373" s="29">
        <f t="shared" si="84"/>
        <v>0.61437406742564915</v>
      </c>
      <c r="M1373" s="29">
        <f t="shared" si="85"/>
        <v>-0.25399999999999984</v>
      </c>
      <c r="N1373" s="30">
        <f t="shared" si="86"/>
        <v>0.91829632804913763</v>
      </c>
      <c r="O1373" s="31">
        <f t="shared" si="87"/>
        <v>0.83856818444093129</v>
      </c>
    </row>
    <row r="1374" spans="1:15" x14ac:dyDescent="0.25">
      <c r="A1374" t="s">
        <v>7111</v>
      </c>
      <c r="B1374" t="s">
        <v>2749</v>
      </c>
      <c r="C1374" s="3" t="s">
        <v>2750</v>
      </c>
      <c r="D1374" s="24">
        <v>0.12096700000000001</v>
      </c>
      <c r="E1374" s="25">
        <v>10.49</v>
      </c>
      <c r="F1374" s="25">
        <v>10.210000000000001</v>
      </c>
      <c r="G1374" s="26">
        <v>0.27389999999999998</v>
      </c>
      <c r="H1374" s="27">
        <v>0.1517</v>
      </c>
      <c r="I1374" s="26">
        <v>1.806</v>
      </c>
      <c r="J1374" s="28">
        <v>6</v>
      </c>
      <c r="K1374" s="27">
        <v>0.24337400000000001</v>
      </c>
      <c r="L1374" s="29">
        <f t="shared" si="84"/>
        <v>0.61372581994186204</v>
      </c>
      <c r="M1374" s="29">
        <f t="shared" si="85"/>
        <v>0.27999999999999908</v>
      </c>
      <c r="N1374" s="30">
        <f t="shared" si="86"/>
        <v>0.9173330897875448</v>
      </c>
      <c r="O1374" s="31">
        <f t="shared" si="87"/>
        <v>1.2141948843950461</v>
      </c>
    </row>
    <row r="1375" spans="1:15" x14ac:dyDescent="0.25">
      <c r="A1375" t="s">
        <v>7112</v>
      </c>
      <c r="B1375" t="s">
        <v>2751</v>
      </c>
      <c r="C1375" s="3" t="s">
        <v>2752</v>
      </c>
      <c r="D1375" s="24">
        <v>0.121201</v>
      </c>
      <c r="E1375" s="25">
        <v>8.8659999999999997</v>
      </c>
      <c r="F1375" s="25">
        <v>8.3529999999999998</v>
      </c>
      <c r="G1375" s="26">
        <v>0.51300000000000001</v>
      </c>
      <c r="H1375" s="27">
        <v>0.2843</v>
      </c>
      <c r="I1375" s="26">
        <v>1.804</v>
      </c>
      <c r="J1375" s="28">
        <v>6</v>
      </c>
      <c r="K1375" s="27">
        <v>0.24366699999999999</v>
      </c>
      <c r="L1375" s="29">
        <f t="shared" si="84"/>
        <v>0.61320328365210997</v>
      </c>
      <c r="M1375" s="29">
        <f t="shared" si="85"/>
        <v>0.51300000000000046</v>
      </c>
      <c r="N1375" s="30">
        <f t="shared" si="86"/>
        <v>0.91649379689671062</v>
      </c>
      <c r="O1375" s="31">
        <f t="shared" si="87"/>
        <v>1.4270145057178791</v>
      </c>
    </row>
    <row r="1376" spans="1:15" x14ac:dyDescent="0.25">
      <c r="A1376" t="s">
        <v>7113</v>
      </c>
      <c r="B1376" t="s">
        <v>2753</v>
      </c>
      <c r="C1376" s="3" t="s">
        <v>2754</v>
      </c>
      <c r="D1376" s="24">
        <v>0.121932</v>
      </c>
      <c r="E1376" s="25">
        <v>14.32</v>
      </c>
      <c r="F1376" s="25">
        <v>14.57</v>
      </c>
      <c r="G1376" s="26">
        <v>-0.2495</v>
      </c>
      <c r="H1376" s="27">
        <v>0.1386</v>
      </c>
      <c r="I1376" s="26">
        <v>1.8</v>
      </c>
      <c r="J1376" s="28">
        <v>6</v>
      </c>
      <c r="K1376" s="27">
        <v>0.24496000000000001</v>
      </c>
      <c r="L1376" s="29">
        <f t="shared" si="84"/>
        <v>0.61090482664581414</v>
      </c>
      <c r="M1376" s="29">
        <f t="shared" si="85"/>
        <v>-0.25000000000000067</v>
      </c>
      <c r="N1376" s="30">
        <f t="shared" si="86"/>
        <v>0.91388230258808234</v>
      </c>
      <c r="O1376" s="31">
        <f t="shared" si="87"/>
        <v>0.84089641525371417</v>
      </c>
    </row>
    <row r="1377" spans="1:15" x14ac:dyDescent="0.25">
      <c r="A1377" t="s">
        <v>7114</v>
      </c>
      <c r="B1377" t="s">
        <v>2755</v>
      </c>
      <c r="C1377" s="3" t="s">
        <v>2756</v>
      </c>
      <c r="D1377" s="24">
        <v>0.122709</v>
      </c>
      <c r="E1377" s="25">
        <v>9.9390000000000001</v>
      </c>
      <c r="F1377" s="25">
        <v>9.6999999999999993</v>
      </c>
      <c r="G1377" s="26">
        <v>0.2389</v>
      </c>
      <c r="H1377" s="27">
        <v>0.1331</v>
      </c>
      <c r="I1377" s="26">
        <v>1.796</v>
      </c>
      <c r="J1377" s="28">
        <v>6</v>
      </c>
      <c r="K1377" s="27">
        <v>0.24634</v>
      </c>
      <c r="L1377" s="29">
        <f t="shared" si="84"/>
        <v>0.60846506291197533</v>
      </c>
      <c r="M1377" s="29">
        <f t="shared" si="85"/>
        <v>0.2390000000000011</v>
      </c>
      <c r="N1377" s="30">
        <f t="shared" si="86"/>
        <v>0.91112358310025654</v>
      </c>
      <c r="O1377" s="31">
        <f t="shared" si="87"/>
        <v>1.1801743433362026</v>
      </c>
    </row>
    <row r="1378" spans="1:15" x14ac:dyDescent="0.25">
      <c r="A1378" t="s">
        <v>7115</v>
      </c>
      <c r="B1378" t="s">
        <v>2759</v>
      </c>
      <c r="C1378" s="3" t="s">
        <v>2760</v>
      </c>
      <c r="D1378" s="24">
        <v>0.12322900000000001</v>
      </c>
      <c r="E1378" s="25">
        <v>13.72</v>
      </c>
      <c r="F1378" s="25">
        <v>14.06</v>
      </c>
      <c r="G1378" s="26">
        <v>-0.33989999999999998</v>
      </c>
      <c r="H1378" s="27">
        <v>0.18959999999999999</v>
      </c>
      <c r="I1378" s="26">
        <v>1.792</v>
      </c>
      <c r="J1378" s="28">
        <v>6</v>
      </c>
      <c r="K1378" s="27">
        <v>0.24702499999999999</v>
      </c>
      <c r="L1378" s="29">
        <f t="shared" si="84"/>
        <v>0.60725909203335848</v>
      </c>
      <c r="M1378" s="29">
        <f t="shared" si="85"/>
        <v>-0.33999999999999808</v>
      </c>
      <c r="N1378" s="30">
        <f t="shared" si="86"/>
        <v>0.90928707579256851</v>
      </c>
      <c r="O1378" s="31">
        <f t="shared" si="87"/>
        <v>0.79004131186337823</v>
      </c>
    </row>
    <row r="1379" spans="1:15" x14ac:dyDescent="0.25">
      <c r="A1379" t="s">
        <v>7116</v>
      </c>
      <c r="B1379" t="s">
        <v>2757</v>
      </c>
      <c r="C1379" s="3" t="s">
        <v>2758</v>
      </c>
      <c r="D1379" s="24">
        <v>0.123144</v>
      </c>
      <c r="E1379" s="25">
        <v>8.1660000000000004</v>
      </c>
      <c r="F1379" s="25">
        <v>8.9090000000000007</v>
      </c>
      <c r="G1379" s="26">
        <v>-0.74329999999999996</v>
      </c>
      <c r="H1379" s="27">
        <v>0.41449999999999998</v>
      </c>
      <c r="I1379" s="26">
        <v>1.7929999999999999</v>
      </c>
      <c r="J1379" s="28">
        <v>6</v>
      </c>
      <c r="K1379" s="27">
        <v>0.24702499999999999</v>
      </c>
      <c r="L1379" s="29">
        <f t="shared" si="84"/>
        <v>0.60725909203335848</v>
      </c>
      <c r="M1379" s="29">
        <f t="shared" si="85"/>
        <v>-0.74300000000000055</v>
      </c>
      <c r="N1379" s="30">
        <f t="shared" si="86"/>
        <v>0.90958674363300906</v>
      </c>
      <c r="O1379" s="31">
        <f t="shared" si="87"/>
        <v>0.59749560242839095</v>
      </c>
    </row>
    <row r="1380" spans="1:15" x14ac:dyDescent="0.25">
      <c r="A1380" t="s">
        <v>7117</v>
      </c>
      <c r="B1380" t="s">
        <v>2761</v>
      </c>
      <c r="C1380" s="3" t="s">
        <v>2762</v>
      </c>
      <c r="D1380" s="24">
        <v>0.123405</v>
      </c>
      <c r="E1380" s="25">
        <v>12.78</v>
      </c>
      <c r="F1380" s="25">
        <v>12.53</v>
      </c>
      <c r="G1380" s="26">
        <v>0.246</v>
      </c>
      <c r="H1380" s="27">
        <v>0.13730000000000001</v>
      </c>
      <c r="I1380" s="26">
        <v>1.7909999999999999</v>
      </c>
      <c r="J1380" s="28">
        <v>6</v>
      </c>
      <c r="K1380" s="27">
        <v>0.247081</v>
      </c>
      <c r="L1380" s="29">
        <f t="shared" si="84"/>
        <v>0.60716064962994409</v>
      </c>
      <c r="M1380" s="29">
        <f t="shared" si="85"/>
        <v>0.24999999999999808</v>
      </c>
      <c r="N1380" s="30">
        <f t="shared" si="86"/>
        <v>0.90866724363812423</v>
      </c>
      <c r="O1380" s="31">
        <f t="shared" si="87"/>
        <v>1.1892071150027195</v>
      </c>
    </row>
    <row r="1381" spans="1:15" x14ac:dyDescent="0.25">
      <c r="A1381" t="s">
        <v>7118</v>
      </c>
      <c r="B1381" t="s">
        <v>2763</v>
      </c>
      <c r="C1381" s="3" t="s">
        <v>2764</v>
      </c>
      <c r="D1381" s="24">
        <v>0.123436</v>
      </c>
      <c r="E1381" s="25">
        <v>9.4719999999999995</v>
      </c>
      <c r="F1381" s="25">
        <v>9.58</v>
      </c>
      <c r="G1381" s="26">
        <v>-0.1082</v>
      </c>
      <c r="H1381" s="27">
        <v>6.0409999999999998E-2</v>
      </c>
      <c r="I1381" s="26">
        <v>1.7909999999999999</v>
      </c>
      <c r="J1381" s="28">
        <v>6</v>
      </c>
      <c r="K1381" s="27">
        <v>0.247081</v>
      </c>
      <c r="L1381" s="29">
        <f t="shared" si="84"/>
        <v>0.60716064962994409</v>
      </c>
      <c r="M1381" s="29">
        <f t="shared" si="85"/>
        <v>-0.10799999999999961</v>
      </c>
      <c r="N1381" s="30">
        <f t="shared" si="86"/>
        <v>0.90855816022807656</v>
      </c>
      <c r="O1381" s="31">
        <f t="shared" si="87"/>
        <v>0.92787347647128293</v>
      </c>
    </row>
    <row r="1382" spans="1:15" x14ac:dyDescent="0.25">
      <c r="A1382" t="s">
        <v>7119</v>
      </c>
      <c r="B1382" t="s">
        <v>2765</v>
      </c>
      <c r="C1382" s="3" t="s">
        <v>2766</v>
      </c>
      <c r="D1382" s="24">
        <v>0.123706</v>
      </c>
      <c r="E1382" s="25">
        <v>8.8539999999999992</v>
      </c>
      <c r="F1382" s="25">
        <v>8.7210000000000001</v>
      </c>
      <c r="G1382" s="26">
        <v>0.13320000000000001</v>
      </c>
      <c r="H1382" s="27">
        <v>7.4429999999999996E-2</v>
      </c>
      <c r="I1382" s="26">
        <v>1.79</v>
      </c>
      <c r="J1382" s="28">
        <v>6</v>
      </c>
      <c r="K1382" s="27">
        <v>0.247443</v>
      </c>
      <c r="L1382" s="29">
        <f t="shared" si="84"/>
        <v>0.60652482758478521</v>
      </c>
      <c r="M1382" s="29">
        <f t="shared" si="85"/>
        <v>0.1329999999999984</v>
      </c>
      <c r="N1382" s="30">
        <f t="shared" si="86"/>
        <v>0.9076092356683908</v>
      </c>
      <c r="O1382" s="31">
        <f t="shared" si="87"/>
        <v>1.0965715885878928</v>
      </c>
    </row>
    <row r="1383" spans="1:15" x14ac:dyDescent="0.25">
      <c r="A1383" t="s">
        <v>7120</v>
      </c>
      <c r="B1383" t="s">
        <v>2769</v>
      </c>
      <c r="C1383" s="3" t="s">
        <v>2770</v>
      </c>
      <c r="D1383" s="24">
        <v>0.12403</v>
      </c>
      <c r="E1383" s="25">
        <v>9.6929999999999996</v>
      </c>
      <c r="F1383" s="25">
        <v>9.2769999999999992</v>
      </c>
      <c r="G1383" s="26">
        <v>0.41620000000000001</v>
      </c>
      <c r="H1383" s="27">
        <v>0.23280000000000001</v>
      </c>
      <c r="I1383" s="26">
        <v>1.788</v>
      </c>
      <c r="J1383" s="28">
        <v>6</v>
      </c>
      <c r="K1383" s="27">
        <v>0.247553</v>
      </c>
      <c r="L1383" s="29">
        <f t="shared" si="84"/>
        <v>0.60633180625210481</v>
      </c>
      <c r="M1383" s="29">
        <f t="shared" si="85"/>
        <v>0.41600000000000037</v>
      </c>
      <c r="N1383" s="30">
        <f t="shared" si="86"/>
        <v>0.90647325630032483</v>
      </c>
      <c r="O1383" s="31">
        <f t="shared" si="87"/>
        <v>1.3342231696777693</v>
      </c>
    </row>
    <row r="1384" spans="1:15" x14ac:dyDescent="0.25">
      <c r="A1384" t="s">
        <v>7121</v>
      </c>
      <c r="B1384" t="s">
        <v>2771</v>
      </c>
      <c r="C1384" s="3" t="s">
        <v>2772</v>
      </c>
      <c r="D1384" s="24">
        <v>0.12403</v>
      </c>
      <c r="E1384" s="25">
        <v>9.6929999999999996</v>
      </c>
      <c r="F1384" s="25">
        <v>9.2769999999999992</v>
      </c>
      <c r="G1384" s="26">
        <v>0.41620000000000001</v>
      </c>
      <c r="H1384" s="27">
        <v>0.23280000000000001</v>
      </c>
      <c r="I1384" s="26">
        <v>1.788</v>
      </c>
      <c r="J1384" s="28">
        <v>6</v>
      </c>
      <c r="K1384" s="27">
        <v>0.247553</v>
      </c>
      <c r="L1384" s="29">
        <f t="shared" si="84"/>
        <v>0.60633180625210481</v>
      </c>
      <c r="M1384" s="29">
        <f t="shared" si="85"/>
        <v>0.41600000000000037</v>
      </c>
      <c r="N1384" s="30">
        <f t="shared" si="86"/>
        <v>0.90647325630032483</v>
      </c>
      <c r="O1384" s="31">
        <f t="shared" si="87"/>
        <v>1.3342231696777693</v>
      </c>
    </row>
    <row r="1385" spans="1:15" x14ac:dyDescent="0.25">
      <c r="A1385" t="s">
        <v>7122</v>
      </c>
      <c r="B1385" t="s">
        <v>2767</v>
      </c>
      <c r="C1385" s="3" t="s">
        <v>2768</v>
      </c>
      <c r="D1385" s="24">
        <v>0.123893</v>
      </c>
      <c r="E1385" s="25">
        <v>8.3889999999999993</v>
      </c>
      <c r="F1385" s="25">
        <v>8.0630000000000006</v>
      </c>
      <c r="G1385" s="26">
        <v>0.3261</v>
      </c>
      <c r="H1385" s="27">
        <v>0.18229999999999999</v>
      </c>
      <c r="I1385" s="26">
        <v>1.7889999999999999</v>
      </c>
      <c r="J1385" s="28">
        <v>6</v>
      </c>
      <c r="K1385" s="27">
        <v>0.247553</v>
      </c>
      <c r="L1385" s="29">
        <f t="shared" si="84"/>
        <v>0.60633180625210481</v>
      </c>
      <c r="M1385" s="29">
        <f t="shared" si="85"/>
        <v>0.32599999999999851</v>
      </c>
      <c r="N1385" s="30">
        <f t="shared" si="86"/>
        <v>0.90695323072848844</v>
      </c>
      <c r="O1385" s="31">
        <f t="shared" si="87"/>
        <v>1.2535330204406891</v>
      </c>
    </row>
    <row r="1386" spans="1:15" x14ac:dyDescent="0.25">
      <c r="A1386" t="s">
        <v>7123</v>
      </c>
      <c r="B1386" t="s">
        <v>2773</v>
      </c>
      <c r="C1386" s="3" t="s">
        <v>2774</v>
      </c>
      <c r="D1386" s="24">
        <v>0.12532699999999999</v>
      </c>
      <c r="E1386" s="25">
        <v>8.8450000000000006</v>
      </c>
      <c r="F1386" s="25">
        <v>8.5519999999999996</v>
      </c>
      <c r="G1386" s="26">
        <v>0.29289999999999999</v>
      </c>
      <c r="H1386" s="27">
        <v>0.16450000000000001</v>
      </c>
      <c r="I1386" s="26">
        <v>1.78</v>
      </c>
      <c r="J1386" s="28">
        <v>6</v>
      </c>
      <c r="K1386" s="27">
        <v>0.24996199999999999</v>
      </c>
      <c r="L1386" s="29">
        <f t="shared" si="84"/>
        <v>0.6021260091066899</v>
      </c>
      <c r="M1386" s="29">
        <f t="shared" si="85"/>
        <v>0.29300000000000204</v>
      </c>
      <c r="N1386" s="30">
        <f t="shared" si="86"/>
        <v>0.90195535607829813</v>
      </c>
      <c r="O1386" s="31">
        <f t="shared" si="87"/>
        <v>1.2251853319046777</v>
      </c>
    </row>
    <row r="1387" spans="1:15" x14ac:dyDescent="0.25">
      <c r="A1387" t="s">
        <v>7124</v>
      </c>
      <c r="B1387" t="s">
        <v>2775</v>
      </c>
      <c r="C1387" s="3" t="s">
        <v>2776</v>
      </c>
      <c r="D1387" s="24">
        <v>0.125613</v>
      </c>
      <c r="E1387" s="25">
        <v>9.1920000000000002</v>
      </c>
      <c r="F1387" s="25">
        <v>8.9920000000000009</v>
      </c>
      <c r="G1387" s="26">
        <v>0.1996</v>
      </c>
      <c r="H1387" s="27">
        <v>0.11219999999999999</v>
      </c>
      <c r="I1387" s="26">
        <v>1.7789999999999999</v>
      </c>
      <c r="J1387" s="28">
        <v>6</v>
      </c>
      <c r="K1387" s="27">
        <v>0.25035200000000002</v>
      </c>
      <c r="L1387" s="29">
        <f t="shared" si="84"/>
        <v>0.6014489347803732</v>
      </c>
      <c r="M1387" s="29">
        <f t="shared" si="85"/>
        <v>0.20000000000000012</v>
      </c>
      <c r="N1387" s="30">
        <f t="shared" si="86"/>
        <v>0.90096541206296044</v>
      </c>
      <c r="O1387" s="31">
        <f t="shared" si="87"/>
        <v>1.1486983549970351</v>
      </c>
    </row>
    <row r="1388" spans="1:15" x14ac:dyDescent="0.25">
      <c r="A1388" t="s">
        <v>7125</v>
      </c>
      <c r="B1388" t="s">
        <v>2777</v>
      </c>
      <c r="C1388" s="3" t="s">
        <v>2778</v>
      </c>
      <c r="D1388" s="24">
        <v>0.126197</v>
      </c>
      <c r="E1388" s="25">
        <v>7.5659999999999998</v>
      </c>
      <c r="F1388" s="25">
        <v>7.9740000000000002</v>
      </c>
      <c r="G1388" s="26">
        <v>-0.40770000000000001</v>
      </c>
      <c r="H1388" s="27">
        <v>0.22969999999999999</v>
      </c>
      <c r="I1388" s="26">
        <v>1.7749999999999999</v>
      </c>
      <c r="J1388" s="28">
        <v>6</v>
      </c>
      <c r="K1388" s="27">
        <v>0.25133299999999997</v>
      </c>
      <c r="L1388" s="29">
        <f t="shared" si="84"/>
        <v>0.59975048483764692</v>
      </c>
      <c r="M1388" s="29">
        <f t="shared" si="85"/>
        <v>-0.40800000000000081</v>
      </c>
      <c r="N1388" s="30">
        <f t="shared" si="86"/>
        <v>0.89895096917216877</v>
      </c>
      <c r="O1388" s="31">
        <f t="shared" si="87"/>
        <v>0.75366745477919006</v>
      </c>
    </row>
    <row r="1389" spans="1:15" x14ac:dyDescent="0.25">
      <c r="A1389" t="s">
        <v>7126</v>
      </c>
      <c r="B1389" t="s">
        <v>2779</v>
      </c>
      <c r="C1389" s="3" t="s">
        <v>2780</v>
      </c>
      <c r="D1389" s="24">
        <v>0.12690499999999999</v>
      </c>
      <c r="E1389" s="25">
        <v>9.1440000000000001</v>
      </c>
      <c r="F1389" s="25">
        <v>9.3480000000000008</v>
      </c>
      <c r="G1389" s="26">
        <v>-0.20330000000000001</v>
      </c>
      <c r="H1389" s="27">
        <v>0.1148</v>
      </c>
      <c r="I1389" s="26">
        <v>1.7709999999999999</v>
      </c>
      <c r="J1389" s="28">
        <v>6</v>
      </c>
      <c r="K1389" s="27">
        <v>0.25256099999999998</v>
      </c>
      <c r="L1389" s="29">
        <f t="shared" si="84"/>
        <v>0.59763371154970768</v>
      </c>
      <c r="M1389" s="29">
        <f t="shared" si="85"/>
        <v>-0.20400000000000174</v>
      </c>
      <c r="N1389" s="30">
        <f t="shared" si="86"/>
        <v>0.89652126656068187</v>
      </c>
      <c r="O1389" s="31">
        <f t="shared" si="87"/>
        <v>0.86814022760104181</v>
      </c>
    </row>
    <row r="1390" spans="1:15" x14ac:dyDescent="0.25">
      <c r="A1390" t="s">
        <v>7127</v>
      </c>
      <c r="B1390" t="s">
        <v>2781</v>
      </c>
      <c r="C1390" s="3" t="s">
        <v>2782</v>
      </c>
      <c r="D1390" s="24">
        <v>0.127439</v>
      </c>
      <c r="E1390" s="25">
        <v>8.5079999999999991</v>
      </c>
      <c r="F1390" s="25">
        <v>8.0839999999999996</v>
      </c>
      <c r="G1390" s="26">
        <v>0.42409999999999998</v>
      </c>
      <c r="H1390" s="27">
        <v>0.23980000000000001</v>
      </c>
      <c r="I1390" s="26">
        <v>1.768</v>
      </c>
      <c r="J1390" s="28">
        <v>6</v>
      </c>
      <c r="K1390" s="27">
        <v>0.253442</v>
      </c>
      <c r="L1390" s="29">
        <f t="shared" si="84"/>
        <v>0.59612141290650711</v>
      </c>
      <c r="M1390" s="29">
        <f t="shared" si="85"/>
        <v>0.42399999999999999</v>
      </c>
      <c r="N1390" s="30">
        <f t="shared" si="86"/>
        <v>0.89469764505521276</v>
      </c>
      <c r="O1390" s="31">
        <f t="shared" si="87"/>
        <v>1.3416422248822613</v>
      </c>
    </row>
    <row r="1391" spans="1:15" x14ac:dyDescent="0.25">
      <c r="A1391" t="s">
        <v>7128</v>
      </c>
      <c r="B1391" t="s">
        <v>2783</v>
      </c>
      <c r="C1391" s="3" t="s">
        <v>2784</v>
      </c>
      <c r="D1391" s="24">
        <v>0.12765599999999999</v>
      </c>
      <c r="E1391" s="25">
        <v>8.64</v>
      </c>
      <c r="F1391" s="25">
        <v>7.8049999999999997</v>
      </c>
      <c r="G1391" s="26">
        <v>0.83440000000000003</v>
      </c>
      <c r="H1391" s="27">
        <v>0.47220000000000001</v>
      </c>
      <c r="I1391" s="26">
        <v>1.7669999999999999</v>
      </c>
      <c r="J1391" s="28">
        <v>6</v>
      </c>
      <c r="K1391" s="27">
        <v>0.253691</v>
      </c>
      <c r="L1391" s="29">
        <f t="shared" si="84"/>
        <v>0.5956949396354565</v>
      </c>
      <c r="M1391" s="29">
        <f t="shared" si="85"/>
        <v>0.83500000000000085</v>
      </c>
      <c r="N1391" s="30">
        <f t="shared" si="86"/>
        <v>0.89395876796781371</v>
      </c>
      <c r="O1391" s="31">
        <f t="shared" si="87"/>
        <v>1.7838570388401864</v>
      </c>
    </row>
    <row r="1392" spans="1:15" x14ac:dyDescent="0.25">
      <c r="A1392" t="s">
        <v>7129</v>
      </c>
      <c r="B1392" t="s">
        <v>2785</v>
      </c>
      <c r="C1392" s="3" t="s">
        <v>2786</v>
      </c>
      <c r="D1392" s="24">
        <v>0.127857</v>
      </c>
      <c r="E1392" s="25">
        <v>7.9</v>
      </c>
      <c r="F1392" s="25">
        <v>8.1310000000000002</v>
      </c>
      <c r="G1392" s="26">
        <v>-0.2306</v>
      </c>
      <c r="H1392" s="27">
        <v>0.13059999999999999</v>
      </c>
      <c r="I1392" s="26">
        <v>1.766</v>
      </c>
      <c r="J1392" s="28">
        <v>6</v>
      </c>
      <c r="K1392" s="27">
        <v>0.25390699999999999</v>
      </c>
      <c r="L1392" s="29">
        <f t="shared" si="84"/>
        <v>0.59532532583180353</v>
      </c>
      <c r="M1392" s="29">
        <f t="shared" si="85"/>
        <v>-0.23100000000000048</v>
      </c>
      <c r="N1392" s="30">
        <f t="shared" si="86"/>
        <v>0.89327548994384698</v>
      </c>
      <c r="O1392" s="31">
        <f t="shared" si="87"/>
        <v>0.85204409507486567</v>
      </c>
    </row>
    <row r="1393" spans="1:15" x14ac:dyDescent="0.25">
      <c r="A1393" t="s">
        <v>7130</v>
      </c>
      <c r="B1393" t="s">
        <v>2787</v>
      </c>
      <c r="C1393" s="3" t="s">
        <v>2788</v>
      </c>
      <c r="D1393" s="24">
        <v>0.12794900000000001</v>
      </c>
      <c r="E1393" s="25">
        <v>7.9989999999999997</v>
      </c>
      <c r="F1393" s="25">
        <v>7.6959999999999997</v>
      </c>
      <c r="G1393" s="26">
        <v>0.30330000000000001</v>
      </c>
      <c r="H1393" s="27">
        <v>0.17180000000000001</v>
      </c>
      <c r="I1393" s="26">
        <v>1.7649999999999999</v>
      </c>
      <c r="J1393" s="28">
        <v>6</v>
      </c>
      <c r="K1393" s="27">
        <v>0.25390800000000002</v>
      </c>
      <c r="L1393" s="29">
        <f t="shared" si="84"/>
        <v>0.59532361538811085</v>
      </c>
      <c r="M1393" s="29">
        <f t="shared" si="85"/>
        <v>0.30299999999999999</v>
      </c>
      <c r="N1393" s="30">
        <f t="shared" si="86"/>
        <v>0.89296310404157908</v>
      </c>
      <c r="O1393" s="31">
        <f t="shared" si="87"/>
        <v>1.2337071698094966</v>
      </c>
    </row>
    <row r="1394" spans="1:15" x14ac:dyDescent="0.25">
      <c r="A1394" t="s">
        <v>7131</v>
      </c>
      <c r="B1394" t="s">
        <v>2793</v>
      </c>
      <c r="C1394" s="3" t="s">
        <v>2794</v>
      </c>
      <c r="D1394" s="24">
        <v>0.12850800000000001</v>
      </c>
      <c r="E1394" s="25">
        <v>6.9569999999999999</v>
      </c>
      <c r="F1394" s="25">
        <v>7.2519999999999998</v>
      </c>
      <c r="G1394" s="26">
        <v>-0.2949</v>
      </c>
      <c r="H1394" s="27">
        <v>0.16739999999999999</v>
      </c>
      <c r="I1394" s="26">
        <v>1.762</v>
      </c>
      <c r="J1394" s="28">
        <v>6</v>
      </c>
      <c r="K1394" s="27">
        <v>0.25446800000000003</v>
      </c>
      <c r="L1394" s="29">
        <f t="shared" si="84"/>
        <v>0.59436682353234016</v>
      </c>
      <c r="M1394" s="29">
        <f t="shared" si="85"/>
        <v>-0.29500000000000043</v>
      </c>
      <c r="N1394" s="30">
        <f t="shared" si="86"/>
        <v>0.8910698353855383</v>
      </c>
      <c r="O1394" s="31">
        <f t="shared" si="87"/>
        <v>0.81507233240262511</v>
      </c>
    </row>
    <row r="1395" spans="1:15" x14ac:dyDescent="0.25">
      <c r="A1395" t="s">
        <v>7132</v>
      </c>
      <c r="B1395" t="s">
        <v>2791</v>
      </c>
      <c r="C1395" s="3" t="s">
        <v>2792</v>
      </c>
      <c r="D1395" s="24">
        <v>0.12847900000000001</v>
      </c>
      <c r="E1395" s="25">
        <v>10.9</v>
      </c>
      <c r="F1395" s="25">
        <v>11.09</v>
      </c>
      <c r="G1395" s="26">
        <v>-0.18890000000000001</v>
      </c>
      <c r="H1395" s="27">
        <v>0.1072</v>
      </c>
      <c r="I1395" s="26">
        <v>1.762</v>
      </c>
      <c r="J1395" s="28">
        <v>6</v>
      </c>
      <c r="K1395" s="27">
        <v>0.25446800000000003</v>
      </c>
      <c r="L1395" s="29">
        <f t="shared" si="84"/>
        <v>0.59436682353234016</v>
      </c>
      <c r="M1395" s="29">
        <f t="shared" si="85"/>
        <v>-0.18999999999999964</v>
      </c>
      <c r="N1395" s="30">
        <f t="shared" si="86"/>
        <v>0.89116785232825246</v>
      </c>
      <c r="O1395" s="31">
        <f t="shared" si="87"/>
        <v>0.87660572131603531</v>
      </c>
    </row>
    <row r="1396" spans="1:15" x14ac:dyDescent="0.25">
      <c r="A1396" t="s">
        <v>7133</v>
      </c>
      <c r="B1396" t="s">
        <v>2789</v>
      </c>
      <c r="C1396" s="3" t="s">
        <v>2790</v>
      </c>
      <c r="D1396" s="24">
        <v>0.128437</v>
      </c>
      <c r="E1396" s="25">
        <v>9.5850000000000009</v>
      </c>
      <c r="F1396" s="25">
        <v>9.4480000000000004</v>
      </c>
      <c r="G1396" s="26">
        <v>0.13669999999999999</v>
      </c>
      <c r="H1396" s="27">
        <v>7.7549999999999994E-2</v>
      </c>
      <c r="I1396" s="26">
        <v>1.7629999999999999</v>
      </c>
      <c r="J1396" s="28">
        <v>6</v>
      </c>
      <c r="K1396" s="27">
        <v>0.25446800000000003</v>
      </c>
      <c r="L1396" s="29">
        <f t="shared" si="84"/>
        <v>0.59436682353234016</v>
      </c>
      <c r="M1396" s="29">
        <f t="shared" si="85"/>
        <v>0.13700000000000034</v>
      </c>
      <c r="N1396" s="30">
        <f t="shared" si="86"/>
        <v>0.89130984713124206</v>
      </c>
      <c r="O1396" s="31">
        <f t="shared" si="87"/>
        <v>1.0996161493145515</v>
      </c>
    </row>
    <row r="1397" spans="1:15" x14ac:dyDescent="0.25">
      <c r="A1397" t="s">
        <v>7134</v>
      </c>
      <c r="B1397" t="s">
        <v>2797</v>
      </c>
      <c r="C1397" s="3" t="s">
        <v>2798</v>
      </c>
      <c r="D1397" s="24">
        <v>0.128833</v>
      </c>
      <c r="E1397" s="25">
        <v>9.4209999999999994</v>
      </c>
      <c r="F1397" s="25">
        <v>9.1129999999999995</v>
      </c>
      <c r="G1397" s="26">
        <v>0.30840000000000001</v>
      </c>
      <c r="H1397" s="27">
        <v>0.17519999999999999</v>
      </c>
      <c r="I1397" s="26">
        <v>1.76</v>
      </c>
      <c r="J1397" s="28">
        <v>6</v>
      </c>
      <c r="K1397" s="27">
        <v>0.254747</v>
      </c>
      <c r="L1397" s="29">
        <f t="shared" si="84"/>
        <v>0.59389092171257551</v>
      </c>
      <c r="M1397" s="29">
        <f t="shared" si="85"/>
        <v>0.30799999999999944</v>
      </c>
      <c r="N1397" s="30">
        <f t="shared" si="86"/>
        <v>0.88997288012649256</v>
      </c>
      <c r="O1397" s="31">
        <f t="shared" si="87"/>
        <v>1.2379902908374452</v>
      </c>
    </row>
    <row r="1398" spans="1:15" x14ac:dyDescent="0.25">
      <c r="A1398" t="s">
        <v>7135</v>
      </c>
      <c r="B1398" t="s">
        <v>2795</v>
      </c>
      <c r="C1398" s="3" t="s">
        <v>2796</v>
      </c>
      <c r="D1398" s="24">
        <v>0.128828</v>
      </c>
      <c r="E1398" s="25">
        <v>8.8320000000000007</v>
      </c>
      <c r="F1398" s="25">
        <v>8.6509999999999998</v>
      </c>
      <c r="G1398" s="26">
        <v>0.18110000000000001</v>
      </c>
      <c r="H1398" s="27">
        <v>0.10290000000000001</v>
      </c>
      <c r="I1398" s="26">
        <v>1.76</v>
      </c>
      <c r="J1398" s="28">
        <v>6</v>
      </c>
      <c r="K1398" s="27">
        <v>0.254747</v>
      </c>
      <c r="L1398" s="29">
        <f t="shared" si="84"/>
        <v>0.59389092171257551</v>
      </c>
      <c r="M1398" s="29">
        <f t="shared" si="85"/>
        <v>0.18100000000000116</v>
      </c>
      <c r="N1398" s="30">
        <f t="shared" si="86"/>
        <v>0.88998973539298454</v>
      </c>
      <c r="O1398" s="31">
        <f t="shared" si="87"/>
        <v>1.1336694127784233</v>
      </c>
    </row>
    <row r="1399" spans="1:15" x14ac:dyDescent="0.25">
      <c r="A1399" t="s">
        <v>7136</v>
      </c>
      <c r="B1399" t="s">
        <v>2799</v>
      </c>
      <c r="C1399" s="3" t="s">
        <v>2800</v>
      </c>
      <c r="D1399" s="24">
        <v>0.12896199999999999</v>
      </c>
      <c r="E1399" s="25">
        <v>9.282</v>
      </c>
      <c r="F1399" s="25">
        <v>9.7230000000000008</v>
      </c>
      <c r="G1399" s="26">
        <v>-0.44040000000000001</v>
      </c>
      <c r="H1399" s="27">
        <v>0.25030000000000002</v>
      </c>
      <c r="I1399" s="26">
        <v>1.76</v>
      </c>
      <c r="J1399" s="28">
        <v>6</v>
      </c>
      <c r="K1399" s="27">
        <v>0.25481999999999999</v>
      </c>
      <c r="L1399" s="29">
        <f t="shared" si="84"/>
        <v>0.59376648862567694</v>
      </c>
      <c r="M1399" s="29">
        <f t="shared" si="85"/>
        <v>-0.44100000000000061</v>
      </c>
      <c r="N1399" s="30">
        <f t="shared" si="86"/>
        <v>0.8895382402549542</v>
      </c>
      <c r="O1399" s="31">
        <f t="shared" si="87"/>
        <v>0.73662384290823979</v>
      </c>
    </row>
    <row r="1400" spans="1:15" x14ac:dyDescent="0.25">
      <c r="A1400" t="s">
        <v>7137</v>
      </c>
      <c r="B1400" t="s">
        <v>2801</v>
      </c>
      <c r="C1400" s="3" t="s">
        <v>2802</v>
      </c>
      <c r="D1400" s="24">
        <v>0.129187</v>
      </c>
      <c r="E1400" s="25">
        <v>13.9</v>
      </c>
      <c r="F1400" s="25">
        <v>14.17</v>
      </c>
      <c r="G1400" s="26">
        <v>-0.26219999999999999</v>
      </c>
      <c r="H1400" s="27">
        <v>0.14910000000000001</v>
      </c>
      <c r="I1400" s="26">
        <v>1.758</v>
      </c>
      <c r="J1400" s="28">
        <v>6</v>
      </c>
      <c r="K1400" s="27">
        <v>0.25508199999999998</v>
      </c>
      <c r="L1400" s="29">
        <f t="shared" si="84"/>
        <v>0.59332018653518759</v>
      </c>
      <c r="M1400" s="29">
        <f t="shared" si="85"/>
        <v>-0.26999999999999891</v>
      </c>
      <c r="N1400" s="30">
        <f t="shared" si="86"/>
        <v>0.8887811869007114</v>
      </c>
      <c r="O1400" s="31">
        <f t="shared" si="87"/>
        <v>0.82931954581444234</v>
      </c>
    </row>
    <row r="1401" spans="1:15" x14ac:dyDescent="0.25">
      <c r="A1401" t="s">
        <v>7138</v>
      </c>
      <c r="B1401" t="s">
        <v>2803</v>
      </c>
      <c r="C1401" s="3" t="s">
        <v>2804</v>
      </c>
      <c r="D1401" s="24">
        <v>0.129444</v>
      </c>
      <c r="E1401" s="25">
        <v>8.8780000000000001</v>
      </c>
      <c r="F1401" s="25">
        <v>9.1539999999999999</v>
      </c>
      <c r="G1401" s="26">
        <v>-0.27579999999999999</v>
      </c>
      <c r="H1401" s="27">
        <v>0.157</v>
      </c>
      <c r="I1401" s="26">
        <v>1.7569999999999999</v>
      </c>
      <c r="J1401" s="28">
        <v>6</v>
      </c>
      <c r="K1401" s="27">
        <v>0.255407</v>
      </c>
      <c r="L1401" s="29">
        <f t="shared" si="84"/>
        <v>0.59276720409800243</v>
      </c>
      <c r="M1401" s="29">
        <f t="shared" si="85"/>
        <v>-0.27600000000000041</v>
      </c>
      <c r="N1401" s="30">
        <f t="shared" si="86"/>
        <v>0.88791807521969901</v>
      </c>
      <c r="O1401" s="31">
        <f t="shared" si="87"/>
        <v>0.82587766493571968</v>
      </c>
    </row>
    <row r="1402" spans="1:15" x14ac:dyDescent="0.25">
      <c r="A1402" t="s">
        <v>7139</v>
      </c>
      <c r="B1402" t="s">
        <v>2805</v>
      </c>
      <c r="C1402" s="3" t="s">
        <v>2806</v>
      </c>
      <c r="D1402" s="24">
        <v>0.12964899999999999</v>
      </c>
      <c r="E1402" s="25">
        <v>8.1880000000000006</v>
      </c>
      <c r="F1402" s="25">
        <v>7.9950000000000001</v>
      </c>
      <c r="G1402" s="26">
        <v>0.19259999999999999</v>
      </c>
      <c r="H1402" s="27">
        <v>0.10970000000000001</v>
      </c>
      <c r="I1402" s="26">
        <v>1.756</v>
      </c>
      <c r="J1402" s="28">
        <v>6</v>
      </c>
      <c r="K1402" s="27">
        <v>0.25563000000000002</v>
      </c>
      <c r="L1402" s="29">
        <f t="shared" si="84"/>
        <v>0.5923881799740679</v>
      </c>
      <c r="M1402" s="29">
        <f t="shared" si="85"/>
        <v>0.19299999999999939</v>
      </c>
      <c r="N1402" s="30">
        <f t="shared" si="86"/>
        <v>0.88723082865287717</v>
      </c>
      <c r="O1402" s="31">
        <f t="shared" si="87"/>
        <v>1.1431383354140356</v>
      </c>
    </row>
    <row r="1403" spans="1:15" x14ac:dyDescent="0.25">
      <c r="A1403" t="s">
        <v>7140</v>
      </c>
      <c r="B1403" t="s">
        <v>2807</v>
      </c>
      <c r="C1403" s="3" t="s">
        <v>2808</v>
      </c>
      <c r="D1403" s="24">
        <v>0.12984599999999999</v>
      </c>
      <c r="E1403" s="25">
        <v>9.58</v>
      </c>
      <c r="F1403" s="25">
        <v>9.298</v>
      </c>
      <c r="G1403" s="26">
        <v>0.28179999999999999</v>
      </c>
      <c r="H1403" s="27">
        <v>0.16059999999999999</v>
      </c>
      <c r="I1403" s="26">
        <v>1.7549999999999999</v>
      </c>
      <c r="J1403" s="28">
        <v>6</v>
      </c>
      <c r="K1403" s="27">
        <v>0.25583400000000001</v>
      </c>
      <c r="L1403" s="29">
        <f t="shared" si="84"/>
        <v>0.59204173885990785</v>
      </c>
      <c r="M1403" s="29">
        <f t="shared" si="85"/>
        <v>0.28199999999999875</v>
      </c>
      <c r="N1403" s="30">
        <f t="shared" si="86"/>
        <v>0.88657142458442695</v>
      </c>
      <c r="O1403" s="31">
        <f t="shared" si="87"/>
        <v>1.215879283183096</v>
      </c>
    </row>
    <row r="1404" spans="1:15" x14ac:dyDescent="0.25">
      <c r="A1404" t="s">
        <v>7141</v>
      </c>
      <c r="B1404" t="s">
        <v>2809</v>
      </c>
      <c r="C1404" s="3" t="s">
        <v>2810</v>
      </c>
      <c r="D1404" s="24">
        <v>0.12995799999999999</v>
      </c>
      <c r="E1404" s="25">
        <v>9.9009999999999998</v>
      </c>
      <c r="F1404" s="25">
        <v>10.02</v>
      </c>
      <c r="G1404" s="26">
        <v>-0.1139</v>
      </c>
      <c r="H1404" s="27">
        <v>6.4920000000000005E-2</v>
      </c>
      <c r="I1404" s="26">
        <v>1.754</v>
      </c>
      <c r="J1404" s="28">
        <v>6</v>
      </c>
      <c r="K1404" s="27">
        <v>0.25587199999999999</v>
      </c>
      <c r="L1404" s="29">
        <f t="shared" si="84"/>
        <v>0.59197723623401466</v>
      </c>
      <c r="M1404" s="29">
        <f t="shared" si="85"/>
        <v>-0.11900000000000047</v>
      </c>
      <c r="N1404" s="30">
        <f t="shared" si="86"/>
        <v>0.88619698088851517</v>
      </c>
      <c r="O1404" s="31">
        <f t="shared" si="87"/>
        <v>0.92082569720503959</v>
      </c>
    </row>
    <row r="1405" spans="1:15" x14ac:dyDescent="0.25">
      <c r="A1405" t="s">
        <v>7142</v>
      </c>
      <c r="B1405" t="s">
        <v>2811</v>
      </c>
      <c r="C1405" s="3" t="s">
        <v>2812</v>
      </c>
      <c r="D1405" s="24">
        <v>0.13057099999999999</v>
      </c>
      <c r="E1405" s="25">
        <v>9.4109999999999996</v>
      </c>
      <c r="F1405" s="25">
        <v>9.2829999999999995</v>
      </c>
      <c r="G1405" s="26">
        <v>0.12790000000000001</v>
      </c>
      <c r="H1405" s="27">
        <v>7.3039999999999994E-2</v>
      </c>
      <c r="I1405" s="26">
        <v>1.7509999999999999</v>
      </c>
      <c r="J1405" s="28">
        <v>6</v>
      </c>
      <c r="K1405" s="27">
        <v>0.25689699999999999</v>
      </c>
      <c r="L1405" s="29">
        <f t="shared" si="84"/>
        <v>0.59024096732202713</v>
      </c>
      <c r="M1405" s="29">
        <f t="shared" si="85"/>
        <v>0.12800000000000036</v>
      </c>
      <c r="N1405" s="30">
        <f t="shared" si="86"/>
        <v>0.88415326975699415</v>
      </c>
      <c r="O1405" s="31">
        <f t="shared" si="87"/>
        <v>1.0927777391009528</v>
      </c>
    </row>
    <row r="1406" spans="1:15" x14ac:dyDescent="0.25">
      <c r="A1406" t="s">
        <v>7143</v>
      </c>
      <c r="B1406" t="s">
        <v>2813</v>
      </c>
      <c r="C1406" s="3" t="s">
        <v>2814</v>
      </c>
      <c r="D1406" s="24">
        <v>0.13087699999999999</v>
      </c>
      <c r="E1406" s="25">
        <v>11.65</v>
      </c>
      <c r="F1406" s="25">
        <v>11.84</v>
      </c>
      <c r="G1406" s="26">
        <v>-0.18940000000000001</v>
      </c>
      <c r="H1406" s="27">
        <v>0.10829999999999999</v>
      </c>
      <c r="I1406" s="26">
        <v>1.7490000000000001</v>
      </c>
      <c r="J1406" s="28">
        <v>6</v>
      </c>
      <c r="K1406" s="27">
        <v>0.25725300000000001</v>
      </c>
      <c r="L1406" s="29">
        <f t="shared" si="84"/>
        <v>0.58963955193637962</v>
      </c>
      <c r="M1406" s="29">
        <f t="shared" si="85"/>
        <v>-0.19000000000000072</v>
      </c>
      <c r="N1406" s="30">
        <f t="shared" si="86"/>
        <v>0.88313666858089812</v>
      </c>
      <c r="O1406" s="31">
        <f t="shared" si="87"/>
        <v>0.87660572131603465</v>
      </c>
    </row>
    <row r="1407" spans="1:15" x14ac:dyDescent="0.25">
      <c r="A1407" t="s">
        <v>7144</v>
      </c>
      <c r="B1407" t="s">
        <v>2815</v>
      </c>
      <c r="C1407" s="3" t="s">
        <v>2816</v>
      </c>
      <c r="D1407" s="24">
        <v>0.130938</v>
      </c>
      <c r="E1407" s="25">
        <v>7.25</v>
      </c>
      <c r="F1407" s="25">
        <v>6.6589999999999998</v>
      </c>
      <c r="G1407" s="26">
        <v>0.59130000000000005</v>
      </c>
      <c r="H1407" s="27">
        <v>0.33810000000000001</v>
      </c>
      <c r="I1407" s="26">
        <v>1.7490000000000001</v>
      </c>
      <c r="J1407" s="28">
        <v>6</v>
      </c>
      <c r="K1407" s="27">
        <v>0.25725300000000001</v>
      </c>
      <c r="L1407" s="29">
        <f t="shared" si="84"/>
        <v>0.58963955193637962</v>
      </c>
      <c r="M1407" s="29">
        <f t="shared" si="85"/>
        <v>0.59100000000000008</v>
      </c>
      <c r="N1407" s="30">
        <f t="shared" si="86"/>
        <v>0.8829342969530275</v>
      </c>
      <c r="O1407" s="31">
        <f t="shared" si="87"/>
        <v>1.5062904666338124</v>
      </c>
    </row>
    <row r="1408" spans="1:15" x14ac:dyDescent="0.25">
      <c r="A1408" t="s">
        <v>7145</v>
      </c>
      <c r="B1408" t="s">
        <v>2817</v>
      </c>
      <c r="C1408" s="3" t="s">
        <v>2818</v>
      </c>
      <c r="D1408" s="24">
        <v>0.13150100000000001</v>
      </c>
      <c r="E1408" s="25">
        <v>9.4280000000000008</v>
      </c>
      <c r="F1408" s="25">
        <v>9.2490000000000006</v>
      </c>
      <c r="G1408" s="26">
        <v>0.17849999999999999</v>
      </c>
      <c r="H1408" s="27">
        <v>0.1023</v>
      </c>
      <c r="I1408" s="26">
        <v>1.746</v>
      </c>
      <c r="J1408" s="28">
        <v>6</v>
      </c>
      <c r="K1408" s="27">
        <v>0.25817400000000001</v>
      </c>
      <c r="L1408" s="29">
        <f t="shared" si="84"/>
        <v>0.58808749648124203</v>
      </c>
      <c r="M1408" s="29">
        <f t="shared" si="85"/>
        <v>0.17900000000000027</v>
      </c>
      <c r="N1408" s="30">
        <f t="shared" si="86"/>
        <v>0.88107094456714652</v>
      </c>
      <c r="O1408" s="31">
        <f t="shared" si="87"/>
        <v>1.132098902110674</v>
      </c>
    </row>
    <row r="1409" spans="1:15" x14ac:dyDescent="0.25">
      <c r="A1409" t="s">
        <v>7146</v>
      </c>
      <c r="B1409" t="s">
        <v>2819</v>
      </c>
      <c r="C1409" s="3" t="s">
        <v>2820</v>
      </c>
      <c r="D1409" s="24">
        <v>0.1318</v>
      </c>
      <c r="E1409" s="25">
        <v>8.6170000000000009</v>
      </c>
      <c r="F1409" s="25">
        <v>8.3539999999999992</v>
      </c>
      <c r="G1409" s="26">
        <v>0.26300000000000001</v>
      </c>
      <c r="H1409" s="27">
        <v>0.15079999999999999</v>
      </c>
      <c r="I1409" s="26">
        <v>1.744</v>
      </c>
      <c r="J1409" s="28">
        <v>6</v>
      </c>
      <c r="K1409" s="27">
        <v>0.258579</v>
      </c>
      <c r="L1409" s="29">
        <f t="shared" si="84"/>
        <v>0.58740674842101182</v>
      </c>
      <c r="M1409" s="29">
        <f t="shared" si="85"/>
        <v>0.26300000000000096</v>
      </c>
      <c r="N1409" s="30">
        <f t="shared" si="86"/>
        <v>0.88008458974200887</v>
      </c>
      <c r="O1409" s="31">
        <f t="shared" si="87"/>
        <v>1.1999713823732163</v>
      </c>
    </row>
    <row r="1410" spans="1:15" x14ac:dyDescent="0.25">
      <c r="A1410" t="s">
        <v>7147</v>
      </c>
      <c r="B1410" t="s">
        <v>2821</v>
      </c>
      <c r="C1410" s="3" t="s">
        <v>2822</v>
      </c>
      <c r="D1410" s="24">
        <v>0.13244600000000001</v>
      </c>
      <c r="E1410" s="25">
        <v>9.1869999999999994</v>
      </c>
      <c r="F1410" s="25">
        <v>9.3960000000000008</v>
      </c>
      <c r="G1410" s="26">
        <v>-0.2089</v>
      </c>
      <c r="H1410" s="27">
        <v>0.12</v>
      </c>
      <c r="I1410" s="26">
        <v>1.74</v>
      </c>
      <c r="J1410" s="28">
        <v>6</v>
      </c>
      <c r="K1410" s="27">
        <v>0.25955099999999998</v>
      </c>
      <c r="L1410" s="29">
        <f t="shared" ref="L1410:L1473" si="88">-LOG(K1410,10)</f>
        <v>0.58577729352893748</v>
      </c>
      <c r="M1410" s="29">
        <f t="shared" ref="M1410:M1473" si="89">LOG(O1410,2)</f>
        <v>-0.20900000000000155</v>
      </c>
      <c r="N1410" s="30">
        <f t="shared" ref="N1410:N1473" si="90">-LOG(D1410,10)</f>
        <v>0.87796115329094482</v>
      </c>
      <c r="O1410" s="31">
        <f t="shared" ref="O1410:O1473" si="91">((2^E1410)/(2^F1410))</f>
        <v>0.86513669058498732</v>
      </c>
    </row>
    <row r="1411" spans="1:15" x14ac:dyDescent="0.25">
      <c r="A1411" t="s">
        <v>7148</v>
      </c>
      <c r="B1411" t="s">
        <v>2823</v>
      </c>
      <c r="C1411" s="3" t="s">
        <v>2824</v>
      </c>
      <c r="D1411" s="24">
        <v>0.13248399999999999</v>
      </c>
      <c r="E1411" s="25">
        <v>8.65</v>
      </c>
      <c r="F1411" s="25">
        <v>8.1449999999999996</v>
      </c>
      <c r="G1411" s="26">
        <v>0.50529999999999997</v>
      </c>
      <c r="H1411" s="27">
        <v>0.29039999999999999</v>
      </c>
      <c r="I1411" s="26">
        <v>1.74</v>
      </c>
      <c r="J1411" s="28">
        <v>6</v>
      </c>
      <c r="K1411" s="27">
        <v>0.25955099999999998</v>
      </c>
      <c r="L1411" s="29">
        <f t="shared" si="88"/>
        <v>0.58577729352893748</v>
      </c>
      <c r="M1411" s="29">
        <f t="shared" si="89"/>
        <v>0.50500000000000089</v>
      </c>
      <c r="N1411" s="30">
        <f t="shared" si="90"/>
        <v>0.87783656800105314</v>
      </c>
      <c r="O1411" s="31">
        <f t="shared" si="91"/>
        <v>1.4191233562003833</v>
      </c>
    </row>
    <row r="1412" spans="1:15" x14ac:dyDescent="0.25">
      <c r="A1412" t="s">
        <v>7149</v>
      </c>
      <c r="B1412" t="s">
        <v>2831</v>
      </c>
      <c r="C1412" s="3" t="s">
        <v>2832</v>
      </c>
      <c r="D1412" s="24">
        <v>0.13339899999999999</v>
      </c>
      <c r="E1412" s="25">
        <v>7.5289999999999999</v>
      </c>
      <c r="F1412" s="25">
        <v>7.2309999999999999</v>
      </c>
      <c r="G1412" s="26">
        <v>0.29799999999999999</v>
      </c>
      <c r="H1412" s="27">
        <v>0.17169999999999999</v>
      </c>
      <c r="I1412" s="26">
        <v>1.7350000000000001</v>
      </c>
      <c r="J1412" s="28">
        <v>6</v>
      </c>
      <c r="K1412" s="27">
        <v>0.26060499999999998</v>
      </c>
      <c r="L1412" s="29">
        <f t="shared" si="88"/>
        <v>0.58401725611545896</v>
      </c>
      <c r="M1412" s="29">
        <f t="shared" si="89"/>
        <v>0.2979999999999991</v>
      </c>
      <c r="N1412" s="30">
        <f t="shared" si="90"/>
        <v>0.8748474260124961</v>
      </c>
      <c r="O1412" s="31">
        <f t="shared" si="91"/>
        <v>1.22943886725458</v>
      </c>
    </row>
    <row r="1413" spans="1:15" x14ac:dyDescent="0.25">
      <c r="A1413" t="s">
        <v>7150</v>
      </c>
      <c r="B1413" t="s">
        <v>2825</v>
      </c>
      <c r="C1413" s="3" t="s">
        <v>2826</v>
      </c>
      <c r="D1413" s="24">
        <v>0.13319900000000001</v>
      </c>
      <c r="E1413" s="25">
        <v>10.7</v>
      </c>
      <c r="F1413" s="25">
        <v>10.92</v>
      </c>
      <c r="G1413" s="26">
        <v>-0.2162</v>
      </c>
      <c r="H1413" s="27">
        <v>0.1245</v>
      </c>
      <c r="I1413" s="26">
        <v>1.736</v>
      </c>
      <c r="J1413" s="28">
        <v>6</v>
      </c>
      <c r="K1413" s="27">
        <v>0.26060499999999998</v>
      </c>
      <c r="L1413" s="29">
        <f t="shared" si="88"/>
        <v>0.58401725611545896</v>
      </c>
      <c r="M1413" s="29">
        <f t="shared" si="89"/>
        <v>-0.220000000000001</v>
      </c>
      <c r="N1413" s="30">
        <f t="shared" si="90"/>
        <v>0.87549903564704001</v>
      </c>
      <c r="O1413" s="31">
        <f t="shared" si="91"/>
        <v>0.85856543643775318</v>
      </c>
    </row>
    <row r="1414" spans="1:15" x14ac:dyDescent="0.25">
      <c r="A1414" t="s">
        <v>7151</v>
      </c>
      <c r="B1414" t="s">
        <v>2827</v>
      </c>
      <c r="C1414" s="3" t="s">
        <v>2828</v>
      </c>
      <c r="D1414" s="24">
        <v>0.13330400000000001</v>
      </c>
      <c r="E1414" s="25">
        <v>9.8610000000000007</v>
      </c>
      <c r="F1414" s="25">
        <v>8.07</v>
      </c>
      <c r="G1414" s="26">
        <v>1.79</v>
      </c>
      <c r="H1414" s="27">
        <v>1.0309999999999999</v>
      </c>
      <c r="I1414" s="26">
        <v>1.736</v>
      </c>
      <c r="J1414" s="28">
        <v>6</v>
      </c>
      <c r="K1414" s="27">
        <v>0.26060499999999998</v>
      </c>
      <c r="L1414" s="29">
        <f t="shared" si="88"/>
        <v>0.58401725611545896</v>
      </c>
      <c r="M1414" s="29">
        <f t="shared" si="89"/>
        <v>1.7910000000000004</v>
      </c>
      <c r="N1414" s="30">
        <f t="shared" si="90"/>
        <v>0.87515681868918682</v>
      </c>
      <c r="O1414" s="31">
        <f t="shared" si="91"/>
        <v>3.4605467623399537</v>
      </c>
    </row>
    <row r="1415" spans="1:15" x14ac:dyDescent="0.25">
      <c r="A1415" t="s">
        <v>7152</v>
      </c>
      <c r="B1415" t="s">
        <v>2829</v>
      </c>
      <c r="C1415" s="3" t="s">
        <v>2830</v>
      </c>
      <c r="D1415" s="24">
        <v>0.13334099999999999</v>
      </c>
      <c r="E1415" s="25">
        <v>9.1430000000000007</v>
      </c>
      <c r="F1415" s="25">
        <v>8.9580000000000002</v>
      </c>
      <c r="G1415" s="26">
        <v>0.1852</v>
      </c>
      <c r="H1415" s="27">
        <v>0.1067</v>
      </c>
      <c r="I1415" s="26">
        <v>1.7350000000000001</v>
      </c>
      <c r="J1415" s="28">
        <v>6</v>
      </c>
      <c r="K1415" s="27">
        <v>0.26060499999999998</v>
      </c>
      <c r="L1415" s="29">
        <f t="shared" si="88"/>
        <v>0.58401725611545896</v>
      </c>
      <c r="M1415" s="29">
        <f t="shared" si="89"/>
        <v>0.18500000000000003</v>
      </c>
      <c r="N1415" s="30">
        <f t="shared" si="90"/>
        <v>0.87503629217690604</v>
      </c>
      <c r="O1415" s="31">
        <f t="shared" si="91"/>
        <v>1.1368169732360141</v>
      </c>
    </row>
    <row r="1416" spans="1:15" x14ac:dyDescent="0.25">
      <c r="A1416" t="s">
        <v>7153</v>
      </c>
      <c r="B1416" t="s">
        <v>2833</v>
      </c>
      <c r="C1416" s="3" t="s">
        <v>2834</v>
      </c>
      <c r="D1416" s="24">
        <v>0.13386300000000001</v>
      </c>
      <c r="E1416" s="25">
        <v>9.3680000000000003</v>
      </c>
      <c r="F1416" s="25">
        <v>9.0530000000000008</v>
      </c>
      <c r="G1416" s="26">
        <v>0.31509999999999999</v>
      </c>
      <c r="H1416" s="27">
        <v>0.18179999999999999</v>
      </c>
      <c r="I1416" s="26">
        <v>1.7330000000000001</v>
      </c>
      <c r="J1416" s="28">
        <v>6</v>
      </c>
      <c r="K1416" s="27">
        <v>0.26132699999999998</v>
      </c>
      <c r="L1416" s="29">
        <f t="shared" si="88"/>
        <v>0.58281571715658276</v>
      </c>
      <c r="M1416" s="29">
        <f t="shared" si="89"/>
        <v>0.315</v>
      </c>
      <c r="N1416" s="30">
        <f t="shared" si="90"/>
        <v>0.87333944626180171</v>
      </c>
      <c r="O1416" s="31">
        <f t="shared" si="91"/>
        <v>1.2440116532984689</v>
      </c>
    </row>
    <row r="1417" spans="1:15" x14ac:dyDescent="0.25">
      <c r="A1417" t="s">
        <v>7154</v>
      </c>
      <c r="B1417" t="s">
        <v>2835</v>
      </c>
      <c r="C1417" s="3" t="s">
        <v>2836</v>
      </c>
      <c r="D1417" s="24">
        <v>0.13400799999999999</v>
      </c>
      <c r="E1417" s="25">
        <v>12.06</v>
      </c>
      <c r="F1417" s="25">
        <v>12.43</v>
      </c>
      <c r="G1417" s="26">
        <v>-0.36930000000000002</v>
      </c>
      <c r="H1417" s="27">
        <v>0.2132</v>
      </c>
      <c r="I1417" s="26">
        <v>1.732</v>
      </c>
      <c r="J1417" s="28">
        <v>6</v>
      </c>
      <c r="K1417" s="27">
        <v>0.26142500000000002</v>
      </c>
      <c r="L1417" s="29">
        <f t="shared" si="88"/>
        <v>0.58265288330907894</v>
      </c>
      <c r="M1417" s="29">
        <f t="shared" si="89"/>
        <v>-0.36999999999999755</v>
      </c>
      <c r="N1417" s="30">
        <f t="shared" si="90"/>
        <v>0.8728692743803621</v>
      </c>
      <c r="O1417" s="31">
        <f t="shared" si="91"/>
        <v>0.77378249677119626</v>
      </c>
    </row>
    <row r="1418" spans="1:15" x14ac:dyDescent="0.25">
      <c r="A1418" t="s">
        <v>7155</v>
      </c>
      <c r="B1418" t="s">
        <v>2837</v>
      </c>
      <c r="C1418" s="3" t="s">
        <v>2838</v>
      </c>
      <c r="D1418" s="24">
        <v>0.13414000000000001</v>
      </c>
      <c r="E1418" s="25">
        <v>9.391</v>
      </c>
      <c r="F1418" s="25">
        <v>9.5389999999999997</v>
      </c>
      <c r="G1418" s="26">
        <v>-0.14729999999999999</v>
      </c>
      <c r="H1418" s="27">
        <v>8.5099999999999995E-2</v>
      </c>
      <c r="I1418" s="26">
        <v>1.7310000000000001</v>
      </c>
      <c r="J1418" s="28">
        <v>6</v>
      </c>
      <c r="K1418" s="27">
        <v>0.26149699999999998</v>
      </c>
      <c r="L1418" s="29">
        <f t="shared" si="88"/>
        <v>0.58253328917115921</v>
      </c>
      <c r="M1418" s="29">
        <f t="shared" si="89"/>
        <v>-0.14799999999999977</v>
      </c>
      <c r="N1418" s="30">
        <f t="shared" si="90"/>
        <v>0.87244169799536719</v>
      </c>
      <c r="O1418" s="31">
        <f t="shared" si="91"/>
        <v>0.90250072746243015</v>
      </c>
    </row>
    <row r="1419" spans="1:15" x14ac:dyDescent="0.25">
      <c r="A1419" t="s">
        <v>7156</v>
      </c>
      <c r="B1419" t="s">
        <v>2839</v>
      </c>
      <c r="C1419" s="3" t="s">
        <v>2840</v>
      </c>
      <c r="D1419" s="24">
        <v>0.13431399999999999</v>
      </c>
      <c r="E1419" s="25">
        <v>8.532</v>
      </c>
      <c r="F1419" s="25">
        <v>7.8289999999999997</v>
      </c>
      <c r="G1419" s="26">
        <v>0.70299999999999996</v>
      </c>
      <c r="H1419" s="27">
        <v>0.40629999999999999</v>
      </c>
      <c r="I1419" s="26">
        <v>1.73</v>
      </c>
      <c r="J1419" s="28">
        <v>6</v>
      </c>
      <c r="K1419" s="27">
        <v>0.26161000000000001</v>
      </c>
      <c r="L1419" s="29">
        <f t="shared" si="88"/>
        <v>0.58234565919404779</v>
      </c>
      <c r="M1419" s="29">
        <f t="shared" si="89"/>
        <v>0.70300000000000007</v>
      </c>
      <c r="N1419" s="30">
        <f t="shared" si="90"/>
        <v>0.87187871699725772</v>
      </c>
      <c r="O1419" s="31">
        <f t="shared" si="91"/>
        <v>1.6278863701408692</v>
      </c>
    </row>
    <row r="1420" spans="1:15" x14ac:dyDescent="0.25">
      <c r="A1420" t="s">
        <v>7157</v>
      </c>
      <c r="B1420" t="s">
        <v>2841</v>
      </c>
      <c r="C1420" s="3" t="s">
        <v>2842</v>
      </c>
      <c r="D1420" s="24">
        <v>0.13438700000000001</v>
      </c>
      <c r="E1420" s="25">
        <v>8.1549999999999994</v>
      </c>
      <c r="F1420" s="25">
        <v>8.3149999999999995</v>
      </c>
      <c r="G1420" s="26">
        <v>-0.16</v>
      </c>
      <c r="H1420" s="27">
        <v>9.2490000000000003E-2</v>
      </c>
      <c r="I1420" s="26">
        <v>1.73</v>
      </c>
      <c r="J1420" s="28">
        <v>6</v>
      </c>
      <c r="K1420" s="27">
        <v>0.26161000000000001</v>
      </c>
      <c r="L1420" s="29">
        <f t="shared" si="88"/>
        <v>0.58234565919404779</v>
      </c>
      <c r="M1420" s="29">
        <f t="shared" si="89"/>
        <v>-0.16000000000000103</v>
      </c>
      <c r="N1420" s="30">
        <f t="shared" si="90"/>
        <v>0.87164274096472383</v>
      </c>
      <c r="O1420" s="31">
        <f t="shared" si="91"/>
        <v>0.89502507092797179</v>
      </c>
    </row>
    <row r="1421" spans="1:15" x14ac:dyDescent="0.25">
      <c r="A1421" t="s">
        <v>7158</v>
      </c>
      <c r="B1421" t="s">
        <v>2843</v>
      </c>
      <c r="C1421" s="3" t="s">
        <v>2844</v>
      </c>
      <c r="D1421" s="24">
        <v>0.13488600000000001</v>
      </c>
      <c r="E1421" s="25">
        <v>9.6470000000000002</v>
      </c>
      <c r="F1421" s="25">
        <v>10.130000000000001</v>
      </c>
      <c r="G1421" s="26">
        <v>-0.48280000000000001</v>
      </c>
      <c r="H1421" s="27">
        <v>0.27950000000000003</v>
      </c>
      <c r="I1421" s="26">
        <v>1.7270000000000001</v>
      </c>
      <c r="J1421" s="28">
        <v>6</v>
      </c>
      <c r="K1421" s="27">
        <v>0.26227800000000001</v>
      </c>
      <c r="L1421" s="29">
        <f t="shared" si="88"/>
        <v>0.58123813670399527</v>
      </c>
      <c r="M1421" s="29">
        <f t="shared" si="89"/>
        <v>-0.4830000000000006</v>
      </c>
      <c r="N1421" s="30">
        <f t="shared" si="90"/>
        <v>0.87003312399946553</v>
      </c>
      <c r="O1421" s="31">
        <f t="shared" si="91"/>
        <v>0.71548826001145593</v>
      </c>
    </row>
    <row r="1422" spans="1:15" x14ac:dyDescent="0.25">
      <c r="A1422" t="s">
        <v>7159</v>
      </c>
      <c r="B1422" t="s">
        <v>2845</v>
      </c>
      <c r="C1422" s="3" t="s">
        <v>2846</v>
      </c>
      <c r="D1422" s="24">
        <v>0.13492000000000001</v>
      </c>
      <c r="E1422" s="25">
        <v>9.5939999999999994</v>
      </c>
      <c r="F1422" s="25">
        <v>9.4209999999999994</v>
      </c>
      <c r="G1422" s="26">
        <v>0.1736</v>
      </c>
      <c r="H1422" s="27">
        <v>0.10050000000000001</v>
      </c>
      <c r="I1422" s="26">
        <v>1.7270000000000001</v>
      </c>
      <c r="J1422" s="28">
        <v>6</v>
      </c>
      <c r="K1422" s="27">
        <v>0.26227800000000001</v>
      </c>
      <c r="L1422" s="29">
        <f t="shared" si="88"/>
        <v>0.58123813670399527</v>
      </c>
      <c r="M1422" s="29">
        <f t="shared" si="89"/>
        <v>0.17300000000000021</v>
      </c>
      <c r="N1422" s="30">
        <f t="shared" si="90"/>
        <v>0.869923667482836</v>
      </c>
      <c r="O1422" s="31">
        <f t="shared" si="91"/>
        <v>1.1274004121454217</v>
      </c>
    </row>
    <row r="1423" spans="1:15" x14ac:dyDescent="0.25">
      <c r="A1423" t="s">
        <v>7160</v>
      </c>
      <c r="B1423" t="s">
        <v>2847</v>
      </c>
      <c r="C1423" s="3" t="s">
        <v>2848</v>
      </c>
      <c r="D1423" s="24">
        <v>0.13525899999999999</v>
      </c>
      <c r="E1423" s="25">
        <v>9.1519999999999992</v>
      </c>
      <c r="F1423" s="25">
        <v>8.8350000000000009</v>
      </c>
      <c r="G1423" s="26">
        <v>0.31759999999999999</v>
      </c>
      <c r="H1423" s="27">
        <v>0.18410000000000001</v>
      </c>
      <c r="I1423" s="26">
        <v>1.7250000000000001</v>
      </c>
      <c r="J1423" s="28">
        <v>6</v>
      </c>
      <c r="K1423" s="27">
        <v>0.26275199999999999</v>
      </c>
      <c r="L1423" s="29">
        <f t="shared" si="88"/>
        <v>0.58045396955030792</v>
      </c>
      <c r="M1423" s="29">
        <f t="shared" si="89"/>
        <v>0.31699999999999839</v>
      </c>
      <c r="N1423" s="30">
        <f t="shared" si="90"/>
        <v>0.86883382773492068</v>
      </c>
      <c r="O1423" s="31">
        <f t="shared" si="91"/>
        <v>1.2457374155694725</v>
      </c>
    </row>
    <row r="1424" spans="1:15" x14ac:dyDescent="0.25">
      <c r="A1424" t="s">
        <v>7161</v>
      </c>
      <c r="B1424" t="s">
        <v>2849</v>
      </c>
      <c r="C1424" s="3" t="s">
        <v>2850</v>
      </c>
      <c r="D1424" s="24">
        <v>0.13564799999999999</v>
      </c>
      <c r="E1424" s="25">
        <v>11.12</v>
      </c>
      <c r="F1424" s="25">
        <v>11.55</v>
      </c>
      <c r="G1424" s="26">
        <v>-0.42859999999999998</v>
      </c>
      <c r="H1424" s="27">
        <v>0.2487</v>
      </c>
      <c r="I1424" s="26">
        <v>1.7230000000000001</v>
      </c>
      <c r="J1424" s="28">
        <v>6</v>
      </c>
      <c r="K1424" s="27">
        <v>0.26332100000000003</v>
      </c>
      <c r="L1424" s="29">
        <f t="shared" si="88"/>
        <v>0.57951450428002993</v>
      </c>
      <c r="M1424" s="29">
        <f t="shared" si="89"/>
        <v>-0.4300000000000026</v>
      </c>
      <c r="N1424" s="30">
        <f t="shared" si="90"/>
        <v>0.86758660511187291</v>
      </c>
      <c r="O1424" s="31">
        <f t="shared" si="91"/>
        <v>0.74226178531452325</v>
      </c>
    </row>
    <row r="1425" spans="1:15" x14ac:dyDescent="0.25">
      <c r="A1425" t="s">
        <v>7162</v>
      </c>
      <c r="B1425" t="s">
        <v>2857</v>
      </c>
      <c r="C1425" s="3" t="s">
        <v>2858</v>
      </c>
      <c r="D1425" s="24">
        <v>0.136405</v>
      </c>
      <c r="E1425" s="25">
        <v>8.77</v>
      </c>
      <c r="F1425" s="25">
        <v>8.6140000000000008</v>
      </c>
      <c r="G1425" s="26">
        <v>0.15570000000000001</v>
      </c>
      <c r="H1425" s="27">
        <v>9.0560000000000002E-2</v>
      </c>
      <c r="I1425" s="26">
        <v>1.7190000000000001</v>
      </c>
      <c r="J1425" s="28">
        <v>6</v>
      </c>
      <c r="K1425" s="27">
        <v>0.263903</v>
      </c>
      <c r="L1425" s="29">
        <f t="shared" si="88"/>
        <v>0.57855567277335607</v>
      </c>
      <c r="M1425" s="29">
        <f t="shared" si="89"/>
        <v>0.15599999999999808</v>
      </c>
      <c r="N1425" s="30">
        <f t="shared" si="90"/>
        <v>0.86516971008561916</v>
      </c>
      <c r="O1425" s="31">
        <f t="shared" si="91"/>
        <v>1.1141936508193309</v>
      </c>
    </row>
    <row r="1426" spans="1:15" x14ac:dyDescent="0.25">
      <c r="A1426" t="s">
        <v>7163</v>
      </c>
      <c r="B1426" t="s">
        <v>2851</v>
      </c>
      <c r="C1426" s="3" t="s">
        <v>2852</v>
      </c>
      <c r="D1426" s="24">
        <v>0.13611000000000001</v>
      </c>
      <c r="E1426" s="25">
        <v>11.81</v>
      </c>
      <c r="F1426" s="25">
        <v>12.36</v>
      </c>
      <c r="G1426" s="26">
        <v>-0.5534</v>
      </c>
      <c r="H1426" s="27">
        <v>0.3216</v>
      </c>
      <c r="I1426" s="26">
        <v>1.7210000000000001</v>
      </c>
      <c r="J1426" s="28">
        <v>6</v>
      </c>
      <c r="K1426" s="27">
        <v>0.263903</v>
      </c>
      <c r="L1426" s="29">
        <f t="shared" si="88"/>
        <v>0.57855567277335607</v>
      </c>
      <c r="M1426" s="29">
        <f t="shared" si="89"/>
        <v>-0.5499999999999996</v>
      </c>
      <c r="N1426" s="30">
        <f t="shared" si="90"/>
        <v>0.86610996601432089</v>
      </c>
      <c r="O1426" s="31">
        <f t="shared" si="91"/>
        <v>0.68302012837719794</v>
      </c>
    </row>
    <row r="1427" spans="1:15" x14ac:dyDescent="0.25">
      <c r="A1427" t="s">
        <v>7164</v>
      </c>
      <c r="B1427" t="s">
        <v>2855</v>
      </c>
      <c r="C1427" s="3" t="s">
        <v>2856</v>
      </c>
      <c r="D1427" s="24">
        <v>0.13630800000000001</v>
      </c>
      <c r="E1427" s="25">
        <v>9.1630000000000003</v>
      </c>
      <c r="F1427" s="25">
        <v>8.9280000000000008</v>
      </c>
      <c r="G1427" s="26">
        <v>0.23499999999999999</v>
      </c>
      <c r="H1427" s="27">
        <v>0.13669999999999999</v>
      </c>
      <c r="I1427" s="26">
        <v>1.72</v>
      </c>
      <c r="J1427" s="28">
        <v>6</v>
      </c>
      <c r="K1427" s="27">
        <v>0.263903</v>
      </c>
      <c r="L1427" s="29">
        <f t="shared" si="88"/>
        <v>0.57855567277335607</v>
      </c>
      <c r="M1427" s="29">
        <f t="shared" si="89"/>
        <v>0.23499999999999921</v>
      </c>
      <c r="N1427" s="30">
        <f t="shared" si="90"/>
        <v>0.8654786544081936</v>
      </c>
      <c r="O1427" s="31">
        <f t="shared" si="91"/>
        <v>1.1769067372187667</v>
      </c>
    </row>
    <row r="1428" spans="1:15" x14ac:dyDescent="0.25">
      <c r="A1428" t="s">
        <v>7165</v>
      </c>
      <c r="B1428" t="s">
        <v>2853</v>
      </c>
      <c r="C1428" s="3" t="s">
        <v>2854</v>
      </c>
      <c r="D1428" s="24">
        <v>0.13621900000000001</v>
      </c>
      <c r="E1428" s="25">
        <v>8.0449999999999999</v>
      </c>
      <c r="F1428" s="25">
        <v>7.9050000000000002</v>
      </c>
      <c r="G1428" s="26">
        <v>0.13980000000000001</v>
      </c>
      <c r="H1428" s="27">
        <v>8.1250000000000003E-2</v>
      </c>
      <c r="I1428" s="26">
        <v>1.72</v>
      </c>
      <c r="J1428" s="28">
        <v>6</v>
      </c>
      <c r="K1428" s="27">
        <v>0.263903</v>
      </c>
      <c r="L1428" s="29">
        <f t="shared" si="88"/>
        <v>0.57855567277335607</v>
      </c>
      <c r="M1428" s="29">
        <f t="shared" si="89"/>
        <v>0.13999999999999879</v>
      </c>
      <c r="N1428" s="30">
        <f t="shared" si="90"/>
        <v>0.86576231224953393</v>
      </c>
      <c r="O1428" s="31">
        <f t="shared" si="91"/>
        <v>1.1019051158766098</v>
      </c>
    </row>
    <row r="1429" spans="1:15" x14ac:dyDescent="0.25">
      <c r="A1429" t="s">
        <v>7166</v>
      </c>
      <c r="B1429" t="s">
        <v>2859</v>
      </c>
      <c r="C1429" s="3" t="s">
        <v>2860</v>
      </c>
      <c r="D1429" s="24">
        <v>0.13642499999999999</v>
      </c>
      <c r="E1429" s="25">
        <v>7.4989999999999997</v>
      </c>
      <c r="F1429" s="25">
        <v>7.7270000000000003</v>
      </c>
      <c r="G1429" s="26">
        <v>-0.22800000000000001</v>
      </c>
      <c r="H1429" s="27">
        <v>0.1326</v>
      </c>
      <c r="I1429" s="26">
        <v>1.7190000000000001</v>
      </c>
      <c r="J1429" s="28">
        <v>6</v>
      </c>
      <c r="K1429" s="27">
        <v>0.263903</v>
      </c>
      <c r="L1429" s="29">
        <f t="shared" si="88"/>
        <v>0.57855567277335607</v>
      </c>
      <c r="M1429" s="29">
        <f t="shared" si="89"/>
        <v>-0.22800000000000026</v>
      </c>
      <c r="N1429" s="30">
        <f t="shared" si="90"/>
        <v>0.86510603754481641</v>
      </c>
      <c r="O1429" s="31">
        <f t="shared" si="91"/>
        <v>0.85381771439124476</v>
      </c>
    </row>
    <row r="1430" spans="1:15" x14ac:dyDescent="0.25">
      <c r="A1430" t="s">
        <v>7167</v>
      </c>
      <c r="B1430" t="s">
        <v>2861</v>
      </c>
      <c r="C1430" s="3" t="s">
        <v>2862</v>
      </c>
      <c r="D1430" s="24">
        <v>0.13686300000000001</v>
      </c>
      <c r="E1430" s="25">
        <v>12.71</v>
      </c>
      <c r="F1430" s="25">
        <v>12.9</v>
      </c>
      <c r="G1430" s="26">
        <v>-0.19289999999999999</v>
      </c>
      <c r="H1430" s="27">
        <v>0.1123</v>
      </c>
      <c r="I1430" s="26">
        <v>1.7170000000000001</v>
      </c>
      <c r="J1430" s="28">
        <v>6</v>
      </c>
      <c r="K1430" s="27">
        <v>0.26456600000000002</v>
      </c>
      <c r="L1430" s="29">
        <f t="shared" si="88"/>
        <v>0.57746596876964995</v>
      </c>
      <c r="M1430" s="29">
        <f t="shared" si="89"/>
        <v>-0.19000000000000092</v>
      </c>
      <c r="N1430" s="30">
        <f t="shared" si="90"/>
        <v>0.86371394461761075</v>
      </c>
      <c r="O1430" s="31">
        <f t="shared" si="91"/>
        <v>0.87660572131603454</v>
      </c>
    </row>
    <row r="1431" spans="1:15" x14ac:dyDescent="0.25">
      <c r="A1431" t="s">
        <v>7168</v>
      </c>
      <c r="B1431" t="s">
        <v>2863</v>
      </c>
      <c r="C1431" s="3" t="s">
        <v>2864</v>
      </c>
      <c r="D1431" s="24">
        <v>0.13697999999999999</v>
      </c>
      <c r="E1431" s="25">
        <v>7.4939999999999998</v>
      </c>
      <c r="F1431" s="25">
        <v>7.1139999999999999</v>
      </c>
      <c r="G1431" s="26">
        <v>0.37959999999999999</v>
      </c>
      <c r="H1431" s="27">
        <v>0.22120000000000001</v>
      </c>
      <c r="I1431" s="26">
        <v>1.716</v>
      </c>
      <c r="J1431" s="28">
        <v>6</v>
      </c>
      <c r="K1431" s="27">
        <v>0.26460499999999998</v>
      </c>
      <c r="L1431" s="29">
        <f t="shared" si="88"/>
        <v>0.57740195360319191</v>
      </c>
      <c r="M1431" s="29">
        <f t="shared" si="89"/>
        <v>0.38000000000000056</v>
      </c>
      <c r="N1431" s="30">
        <f t="shared" si="90"/>
        <v>0.86334283812612111</v>
      </c>
      <c r="O1431" s="31">
        <f t="shared" si="91"/>
        <v>1.301341855441934</v>
      </c>
    </row>
    <row r="1432" spans="1:15" x14ac:dyDescent="0.25">
      <c r="A1432" t="s">
        <v>7169</v>
      </c>
      <c r="B1432" t="s">
        <v>2865</v>
      </c>
      <c r="C1432" s="3" t="s">
        <v>2866</v>
      </c>
      <c r="D1432" s="24">
        <v>0.137129</v>
      </c>
      <c r="E1432" s="25">
        <v>8.9079999999999995</v>
      </c>
      <c r="F1432" s="25">
        <v>9.2490000000000006</v>
      </c>
      <c r="G1432" s="26">
        <v>-0.34089999999999998</v>
      </c>
      <c r="H1432" s="27">
        <v>0.19869999999999999</v>
      </c>
      <c r="I1432" s="26">
        <v>1.7150000000000001</v>
      </c>
      <c r="J1432" s="28">
        <v>6</v>
      </c>
      <c r="K1432" s="27">
        <v>0.26470900000000003</v>
      </c>
      <c r="L1432" s="29">
        <f t="shared" si="88"/>
        <v>0.57723129260915373</v>
      </c>
      <c r="M1432" s="29">
        <f t="shared" si="89"/>
        <v>-0.34100000000000075</v>
      </c>
      <c r="N1432" s="30">
        <f t="shared" si="90"/>
        <v>0.86287069103006042</v>
      </c>
      <c r="O1432" s="31">
        <f t="shared" si="91"/>
        <v>0.78949388670055454</v>
      </c>
    </row>
    <row r="1433" spans="1:15" x14ac:dyDescent="0.25">
      <c r="A1433" t="s">
        <v>7170</v>
      </c>
      <c r="B1433" t="s">
        <v>2867</v>
      </c>
      <c r="C1433" s="3" t="s">
        <v>2868</v>
      </c>
      <c r="D1433" s="24">
        <v>0.137461</v>
      </c>
      <c r="E1433" s="25">
        <v>13.8</v>
      </c>
      <c r="F1433" s="25">
        <v>14.01</v>
      </c>
      <c r="G1433" s="26">
        <v>-0.2097</v>
      </c>
      <c r="H1433" s="27">
        <v>0.12239999999999999</v>
      </c>
      <c r="I1433" s="26">
        <v>1.7130000000000001</v>
      </c>
      <c r="J1433" s="28">
        <v>6</v>
      </c>
      <c r="K1433" s="27">
        <v>0.26516499999999998</v>
      </c>
      <c r="L1433" s="29">
        <f t="shared" si="88"/>
        <v>0.57648380044068714</v>
      </c>
      <c r="M1433" s="29">
        <f t="shared" si="89"/>
        <v>-0.20999999999999891</v>
      </c>
      <c r="N1433" s="30">
        <f t="shared" si="90"/>
        <v>0.86182050101402263</v>
      </c>
      <c r="O1433" s="31">
        <f t="shared" si="91"/>
        <v>0.86453723130786586</v>
      </c>
    </row>
    <row r="1434" spans="1:15" x14ac:dyDescent="0.25">
      <c r="A1434" t="s">
        <v>7171</v>
      </c>
      <c r="B1434" t="s">
        <v>2869</v>
      </c>
      <c r="C1434" s="3" t="s">
        <v>2870</v>
      </c>
      <c r="D1434" s="24">
        <v>0.13803199999999999</v>
      </c>
      <c r="E1434" s="25">
        <v>11.53</v>
      </c>
      <c r="F1434" s="25">
        <v>11.89</v>
      </c>
      <c r="G1434" s="26">
        <v>-0.35630000000000001</v>
      </c>
      <c r="H1434" s="27">
        <v>0.20830000000000001</v>
      </c>
      <c r="I1434" s="26">
        <v>1.71</v>
      </c>
      <c r="J1434" s="28">
        <v>6</v>
      </c>
      <c r="K1434" s="27">
        <v>0.26607999999999998</v>
      </c>
      <c r="L1434" s="29">
        <f t="shared" si="88"/>
        <v>0.57498776812455599</v>
      </c>
      <c r="M1434" s="29">
        <f t="shared" si="89"/>
        <v>-0.36000000000000243</v>
      </c>
      <c r="N1434" s="30">
        <f t="shared" si="90"/>
        <v>0.86002021930619477</v>
      </c>
      <c r="O1434" s="31">
        <f t="shared" si="91"/>
        <v>0.77916457966049857</v>
      </c>
    </row>
    <row r="1435" spans="1:15" x14ac:dyDescent="0.25">
      <c r="A1435" t="s">
        <v>7172</v>
      </c>
      <c r="B1435" t="s">
        <v>2871</v>
      </c>
      <c r="C1435" s="3" t="s">
        <v>2872</v>
      </c>
      <c r="D1435" s="24">
        <v>0.13883200000000001</v>
      </c>
      <c r="E1435" s="25">
        <v>7.9589999999999996</v>
      </c>
      <c r="F1435" s="25">
        <v>8.5749999999999993</v>
      </c>
      <c r="G1435" s="26">
        <v>-0.6159</v>
      </c>
      <c r="H1435" s="27">
        <v>0.36099999999999999</v>
      </c>
      <c r="I1435" s="26">
        <v>1.706</v>
      </c>
      <c r="J1435" s="28">
        <v>6</v>
      </c>
      <c r="K1435" s="27">
        <v>0.26743499999999998</v>
      </c>
      <c r="L1435" s="29">
        <f t="shared" si="88"/>
        <v>0.57278175596644676</v>
      </c>
      <c r="M1435" s="29">
        <f t="shared" si="89"/>
        <v>-0.61600000000000033</v>
      </c>
      <c r="N1435" s="30">
        <f t="shared" si="90"/>
        <v>0.85751041989226884</v>
      </c>
      <c r="O1435" s="31">
        <f t="shared" si="91"/>
        <v>0.65247747384447863</v>
      </c>
    </row>
    <row r="1436" spans="1:15" x14ac:dyDescent="0.25">
      <c r="A1436" t="s">
        <v>7173</v>
      </c>
      <c r="B1436" t="s">
        <v>2873</v>
      </c>
      <c r="C1436" s="3" t="s">
        <v>2874</v>
      </c>
      <c r="D1436" s="24">
        <v>0.14011100000000001</v>
      </c>
      <c r="E1436" s="25">
        <v>8.0679999999999996</v>
      </c>
      <c r="F1436" s="25">
        <v>8.3219999999999992</v>
      </c>
      <c r="G1436" s="26">
        <v>-0.2535</v>
      </c>
      <c r="H1436" s="27">
        <v>0.1492</v>
      </c>
      <c r="I1436" s="26">
        <v>1.7</v>
      </c>
      <c r="J1436" s="28">
        <v>6</v>
      </c>
      <c r="K1436" s="27">
        <v>0.26971099999999998</v>
      </c>
      <c r="L1436" s="29">
        <f t="shared" si="88"/>
        <v>0.56910134074814245</v>
      </c>
      <c r="M1436" s="29">
        <f t="shared" si="89"/>
        <v>-0.25399999999999967</v>
      </c>
      <c r="N1436" s="30">
        <f t="shared" si="90"/>
        <v>0.85352776727120283</v>
      </c>
      <c r="O1436" s="31">
        <f t="shared" si="91"/>
        <v>0.8385681844409314</v>
      </c>
    </row>
    <row r="1437" spans="1:15" x14ac:dyDescent="0.25">
      <c r="A1437" t="s">
        <v>7174</v>
      </c>
      <c r="B1437" t="s">
        <v>2875</v>
      </c>
      <c r="C1437" s="3" t="s">
        <v>2876</v>
      </c>
      <c r="D1437" s="24">
        <v>0.140213</v>
      </c>
      <c r="E1437" s="25">
        <v>9.6170000000000009</v>
      </c>
      <c r="F1437" s="25">
        <v>9.7409999999999997</v>
      </c>
      <c r="G1437" s="26">
        <v>-0.1236</v>
      </c>
      <c r="H1437" s="27">
        <v>7.2760000000000005E-2</v>
      </c>
      <c r="I1437" s="26">
        <v>1.6990000000000001</v>
      </c>
      <c r="J1437" s="28">
        <v>6</v>
      </c>
      <c r="K1437" s="27">
        <v>0.26972000000000002</v>
      </c>
      <c r="L1437" s="29">
        <f t="shared" si="88"/>
        <v>0.56908684899539741</v>
      </c>
      <c r="M1437" s="29">
        <f t="shared" si="89"/>
        <v>-0.12399999999999865</v>
      </c>
      <c r="N1437" s="30">
        <f t="shared" si="90"/>
        <v>0.85321171841980858</v>
      </c>
      <c r="O1437" s="31">
        <f t="shared" si="91"/>
        <v>0.91763988231136595</v>
      </c>
    </row>
    <row r="1438" spans="1:15" x14ac:dyDescent="0.25">
      <c r="A1438" t="s">
        <v>7175</v>
      </c>
      <c r="B1438" t="s">
        <v>2877</v>
      </c>
      <c r="C1438" s="3" t="s">
        <v>2878</v>
      </c>
      <c r="D1438" s="24">
        <v>0.14097000000000001</v>
      </c>
      <c r="E1438" s="25">
        <v>8.83</v>
      </c>
      <c r="F1438" s="25">
        <v>9.032</v>
      </c>
      <c r="G1438" s="26">
        <v>-0.2019</v>
      </c>
      <c r="H1438" s="27">
        <v>0.1191</v>
      </c>
      <c r="I1438" s="26">
        <v>1.6950000000000001</v>
      </c>
      <c r="J1438" s="28">
        <v>6</v>
      </c>
      <c r="K1438" s="27">
        <v>0.270986</v>
      </c>
      <c r="L1438" s="29">
        <f t="shared" si="88"/>
        <v>0.56705314558243258</v>
      </c>
      <c r="M1438" s="29">
        <f t="shared" si="89"/>
        <v>-0.20199999999999957</v>
      </c>
      <c r="N1438" s="30">
        <f t="shared" si="90"/>
        <v>0.8508733002573855</v>
      </c>
      <c r="O1438" s="31">
        <f t="shared" si="91"/>
        <v>0.86934456009002192</v>
      </c>
    </row>
    <row r="1439" spans="1:15" x14ac:dyDescent="0.25">
      <c r="A1439" t="s">
        <v>7176</v>
      </c>
      <c r="B1439" t="s">
        <v>2879</v>
      </c>
      <c r="C1439" s="3" t="s">
        <v>2880</v>
      </c>
      <c r="D1439" s="24">
        <v>0.141177</v>
      </c>
      <c r="E1439" s="25">
        <v>10.130000000000001</v>
      </c>
      <c r="F1439" s="25">
        <v>9.7919999999999998</v>
      </c>
      <c r="G1439" s="26">
        <v>0.33760000000000001</v>
      </c>
      <c r="H1439" s="27">
        <v>0.1993</v>
      </c>
      <c r="I1439" s="26">
        <v>1.694</v>
      </c>
      <c r="J1439" s="28">
        <v>6</v>
      </c>
      <c r="K1439" s="27">
        <v>0.27119599999999999</v>
      </c>
      <c r="L1439" s="29">
        <f t="shared" si="88"/>
        <v>0.56671672037554499</v>
      </c>
      <c r="M1439" s="29">
        <f t="shared" si="89"/>
        <v>0.3380000000000008</v>
      </c>
      <c r="N1439" s="30">
        <f t="shared" si="90"/>
        <v>0.85023605106541433</v>
      </c>
      <c r="O1439" s="31">
        <f t="shared" si="91"/>
        <v>1.2640030984528074</v>
      </c>
    </row>
    <row r="1440" spans="1:15" x14ac:dyDescent="0.25">
      <c r="A1440" t="s">
        <v>7177</v>
      </c>
      <c r="B1440" t="s">
        <v>2883</v>
      </c>
      <c r="C1440" s="3" t="s">
        <v>2884</v>
      </c>
      <c r="D1440" s="24">
        <v>0.141541</v>
      </c>
      <c r="E1440" s="25">
        <v>7.407</v>
      </c>
      <c r="F1440" s="25">
        <v>7.657</v>
      </c>
      <c r="G1440" s="26">
        <v>-0.25090000000000001</v>
      </c>
      <c r="H1440" s="27">
        <v>0.14829999999999999</v>
      </c>
      <c r="I1440" s="26">
        <v>1.6919999999999999</v>
      </c>
      <c r="J1440" s="28">
        <v>6</v>
      </c>
      <c r="K1440" s="27">
        <v>0.27151900000000001</v>
      </c>
      <c r="L1440" s="29">
        <f t="shared" si="88"/>
        <v>0.56619977452286985</v>
      </c>
      <c r="M1440" s="29">
        <f t="shared" si="89"/>
        <v>-0.24999999999999931</v>
      </c>
      <c r="N1440" s="30">
        <f t="shared" si="90"/>
        <v>0.84911774039002508</v>
      </c>
      <c r="O1440" s="31">
        <f t="shared" si="91"/>
        <v>0.84089641525371495</v>
      </c>
    </row>
    <row r="1441" spans="1:15" x14ac:dyDescent="0.25">
      <c r="A1441" t="s">
        <v>7178</v>
      </c>
      <c r="B1441" t="s">
        <v>2881</v>
      </c>
      <c r="C1441" s="3" t="s">
        <v>2882</v>
      </c>
      <c r="D1441" s="24">
        <v>0.14145099999999999</v>
      </c>
      <c r="E1441" s="25">
        <v>8.2230000000000008</v>
      </c>
      <c r="F1441" s="25">
        <v>7.4950000000000001</v>
      </c>
      <c r="G1441" s="26">
        <v>0.72819999999999996</v>
      </c>
      <c r="H1441" s="27">
        <v>0.43020000000000003</v>
      </c>
      <c r="I1441" s="26">
        <v>1.6930000000000001</v>
      </c>
      <c r="J1441" s="28">
        <v>6</v>
      </c>
      <c r="K1441" s="27">
        <v>0.27151900000000001</v>
      </c>
      <c r="L1441" s="29">
        <f t="shared" si="88"/>
        <v>0.56619977452286985</v>
      </c>
      <c r="M1441" s="29">
        <f t="shared" si="89"/>
        <v>0.72800000000000054</v>
      </c>
      <c r="N1441" s="30">
        <f t="shared" si="90"/>
        <v>0.84939397791397686</v>
      </c>
      <c r="O1441" s="31">
        <f t="shared" si="91"/>
        <v>1.656341322669092</v>
      </c>
    </row>
    <row r="1442" spans="1:15" x14ac:dyDescent="0.25">
      <c r="A1442" t="s">
        <v>7179</v>
      </c>
      <c r="B1442" t="s">
        <v>2885</v>
      </c>
      <c r="C1442" s="3" t="s">
        <v>2886</v>
      </c>
      <c r="D1442" s="24">
        <v>0.14164099999999999</v>
      </c>
      <c r="E1442" s="25">
        <v>8.766</v>
      </c>
      <c r="F1442" s="25">
        <v>8.99</v>
      </c>
      <c r="G1442" s="26">
        <v>-0.22389999999999999</v>
      </c>
      <c r="H1442" s="27">
        <v>0.1323</v>
      </c>
      <c r="I1442" s="26">
        <v>1.6919999999999999</v>
      </c>
      <c r="J1442" s="28">
        <v>6</v>
      </c>
      <c r="K1442" s="27">
        <v>0.27152100000000001</v>
      </c>
      <c r="L1442" s="29">
        <f t="shared" si="88"/>
        <v>0.56619657553581981</v>
      </c>
      <c r="M1442" s="29">
        <f t="shared" si="89"/>
        <v>-0.22399999999999992</v>
      </c>
      <c r="N1442" s="30">
        <f t="shared" si="90"/>
        <v>0.84881101573947848</v>
      </c>
      <c r="O1442" s="31">
        <f t="shared" si="91"/>
        <v>0.8561882845464569</v>
      </c>
    </row>
    <row r="1443" spans="1:15" x14ac:dyDescent="0.25">
      <c r="A1443" t="s">
        <v>7180</v>
      </c>
      <c r="B1443" t="s">
        <v>2887</v>
      </c>
      <c r="C1443" s="3" t="s">
        <v>2888</v>
      </c>
      <c r="D1443" s="24">
        <v>0.14192399999999999</v>
      </c>
      <c r="E1443" s="25">
        <v>9.6940000000000008</v>
      </c>
      <c r="F1443" s="25">
        <v>9.4960000000000004</v>
      </c>
      <c r="G1443" s="26">
        <v>0.1983</v>
      </c>
      <c r="H1443" s="27">
        <v>0.1173</v>
      </c>
      <c r="I1443" s="26">
        <v>1.69</v>
      </c>
      <c r="J1443" s="28">
        <v>6</v>
      </c>
      <c r="K1443" s="27">
        <v>0.27187499999999998</v>
      </c>
      <c r="L1443" s="29">
        <f t="shared" si="88"/>
        <v>0.56563072570128736</v>
      </c>
      <c r="M1443" s="29">
        <f t="shared" si="89"/>
        <v>0.1980000000000004</v>
      </c>
      <c r="N1443" s="30">
        <f t="shared" si="90"/>
        <v>0.84794415714138638</v>
      </c>
      <c r="O1443" s="31">
        <f t="shared" si="91"/>
        <v>1.1471070242261656</v>
      </c>
    </row>
    <row r="1444" spans="1:15" x14ac:dyDescent="0.25">
      <c r="A1444" t="s">
        <v>7181</v>
      </c>
      <c r="B1444" t="s">
        <v>2889</v>
      </c>
      <c r="C1444" s="3" t="s">
        <v>2890</v>
      </c>
      <c r="D1444" s="24">
        <v>0.14228299999999999</v>
      </c>
      <c r="E1444" s="25">
        <v>6.4850000000000003</v>
      </c>
      <c r="F1444" s="25">
        <v>7.1980000000000004</v>
      </c>
      <c r="G1444" s="26">
        <v>-0.71309999999999996</v>
      </c>
      <c r="H1444" s="27">
        <v>0.42230000000000001</v>
      </c>
      <c r="I1444" s="26">
        <v>1.6879999999999999</v>
      </c>
      <c r="J1444" s="28">
        <v>6</v>
      </c>
      <c r="K1444" s="27">
        <v>0.272374</v>
      </c>
      <c r="L1444" s="29">
        <f t="shared" si="88"/>
        <v>0.56483435122124237</v>
      </c>
      <c r="M1444" s="29">
        <f t="shared" si="89"/>
        <v>-0.71300000000000052</v>
      </c>
      <c r="N1444" s="30">
        <f t="shared" si="90"/>
        <v>0.84684698640367262</v>
      </c>
      <c r="O1444" s="31">
        <f t="shared" si="91"/>
        <v>0.61005025513611144</v>
      </c>
    </row>
    <row r="1445" spans="1:15" x14ac:dyDescent="0.25">
      <c r="A1445" t="s">
        <v>7182</v>
      </c>
      <c r="B1445" t="s">
        <v>2891</v>
      </c>
      <c r="C1445" s="3" t="s">
        <v>2892</v>
      </c>
      <c r="D1445" s="24">
        <v>0.14246</v>
      </c>
      <c r="E1445" s="25">
        <v>9.6880000000000006</v>
      </c>
      <c r="F1445" s="25">
        <v>9.5150000000000006</v>
      </c>
      <c r="G1445" s="26">
        <v>0.17369999999999999</v>
      </c>
      <c r="H1445" s="27">
        <v>0.10290000000000001</v>
      </c>
      <c r="I1445" s="26">
        <v>1.6879999999999999</v>
      </c>
      <c r="J1445" s="28">
        <v>6</v>
      </c>
      <c r="K1445" s="27">
        <v>0.27242100000000002</v>
      </c>
      <c r="L1445" s="29">
        <f t="shared" si="88"/>
        <v>0.56475941719761835</v>
      </c>
      <c r="M1445" s="29">
        <f t="shared" si="89"/>
        <v>0.17300000000000021</v>
      </c>
      <c r="N1445" s="30">
        <f t="shared" si="90"/>
        <v>0.8463070599914494</v>
      </c>
      <c r="O1445" s="31">
        <f t="shared" si="91"/>
        <v>1.1274004121454217</v>
      </c>
    </row>
    <row r="1446" spans="1:15" x14ac:dyDescent="0.25">
      <c r="A1446" t="s">
        <v>7183</v>
      </c>
      <c r="B1446" t="s">
        <v>2893</v>
      </c>
      <c r="C1446" s="3" t="s">
        <v>2894</v>
      </c>
      <c r="D1446" s="24">
        <v>0.14250499999999999</v>
      </c>
      <c r="E1446" s="25">
        <v>7.6180000000000003</v>
      </c>
      <c r="F1446" s="25">
        <v>7.1680000000000001</v>
      </c>
      <c r="G1446" s="26">
        <v>0.44940000000000002</v>
      </c>
      <c r="H1446" s="27">
        <v>0.26629999999999998</v>
      </c>
      <c r="I1446" s="26">
        <v>1.6870000000000001</v>
      </c>
      <c r="J1446" s="28">
        <v>6</v>
      </c>
      <c r="K1446" s="27">
        <v>0.27242100000000002</v>
      </c>
      <c r="L1446" s="29">
        <f t="shared" si="88"/>
        <v>0.56475941719761835</v>
      </c>
      <c r="M1446" s="29">
        <f t="shared" si="89"/>
        <v>0.44999999999999946</v>
      </c>
      <c r="N1446" s="30">
        <f t="shared" si="90"/>
        <v>0.84616989751993121</v>
      </c>
      <c r="O1446" s="31">
        <f t="shared" si="91"/>
        <v>1.366040256754395</v>
      </c>
    </row>
    <row r="1447" spans="1:15" x14ac:dyDescent="0.25">
      <c r="A1447" t="s">
        <v>7184</v>
      </c>
      <c r="B1447" t="s">
        <v>2895</v>
      </c>
      <c r="C1447" s="3" t="s">
        <v>2896</v>
      </c>
      <c r="D1447" s="24">
        <v>0.14336099999999999</v>
      </c>
      <c r="E1447" s="25">
        <v>8.7200000000000006</v>
      </c>
      <c r="F1447" s="25">
        <v>8.4809999999999999</v>
      </c>
      <c r="G1447" s="26">
        <v>0.2389</v>
      </c>
      <c r="H1447" s="27">
        <v>0.14199999999999999</v>
      </c>
      <c r="I1447" s="26">
        <v>1.6830000000000001</v>
      </c>
      <c r="J1447" s="28">
        <v>6</v>
      </c>
      <c r="K1447" s="27">
        <v>0.273868</v>
      </c>
      <c r="L1447" s="29">
        <f t="shared" si="88"/>
        <v>0.5624587097515471</v>
      </c>
      <c r="M1447" s="29">
        <f t="shared" si="89"/>
        <v>0.2390000000000011</v>
      </c>
      <c r="N1447" s="30">
        <f t="shared" si="90"/>
        <v>0.84356897829462285</v>
      </c>
      <c r="O1447" s="31">
        <f t="shared" si="91"/>
        <v>1.1801743433362026</v>
      </c>
    </row>
    <row r="1448" spans="1:15" x14ac:dyDescent="0.25">
      <c r="A1448" t="s">
        <v>7185</v>
      </c>
      <c r="B1448" t="s">
        <v>2901</v>
      </c>
      <c r="C1448" s="3" t="s">
        <v>2902</v>
      </c>
      <c r="D1448" s="24">
        <v>0.14383199999999999</v>
      </c>
      <c r="E1448" s="25">
        <v>10.49</v>
      </c>
      <c r="F1448" s="25">
        <v>10.77</v>
      </c>
      <c r="G1448" s="26">
        <v>-0.28689999999999999</v>
      </c>
      <c r="H1448" s="27">
        <v>0.17069999999999999</v>
      </c>
      <c r="I1448" s="26">
        <v>1.681</v>
      </c>
      <c r="J1448" s="28">
        <v>6</v>
      </c>
      <c r="K1448" s="27">
        <v>0.27419900000000003</v>
      </c>
      <c r="L1448" s="29">
        <f t="shared" si="88"/>
        <v>0.56193413340964915</v>
      </c>
      <c r="M1448" s="29">
        <f t="shared" si="89"/>
        <v>-0.27999999999999925</v>
      </c>
      <c r="N1448" s="30">
        <f t="shared" si="90"/>
        <v>0.84214448059190894</v>
      </c>
      <c r="O1448" s="31">
        <f t="shared" si="91"/>
        <v>0.82359101726757356</v>
      </c>
    </row>
    <row r="1449" spans="1:15" x14ac:dyDescent="0.25">
      <c r="A1449" t="s">
        <v>7186</v>
      </c>
      <c r="B1449" t="s">
        <v>2899</v>
      </c>
      <c r="C1449" s="3" t="s">
        <v>2900</v>
      </c>
      <c r="D1449" s="24">
        <v>0.14383000000000001</v>
      </c>
      <c r="E1449" s="25">
        <v>8.6180000000000003</v>
      </c>
      <c r="F1449" s="25">
        <v>9.0719999999999992</v>
      </c>
      <c r="G1449" s="26">
        <v>-0.45440000000000003</v>
      </c>
      <c r="H1449" s="27">
        <v>0.27039999999999997</v>
      </c>
      <c r="I1449" s="26">
        <v>1.681</v>
      </c>
      <c r="J1449" s="28">
        <v>6</v>
      </c>
      <c r="K1449" s="27">
        <v>0.27419900000000003</v>
      </c>
      <c r="L1449" s="29">
        <f t="shared" si="88"/>
        <v>0.56193413340964915</v>
      </c>
      <c r="M1449" s="29">
        <f t="shared" si="89"/>
        <v>-0.45399999999999857</v>
      </c>
      <c r="N1449" s="30">
        <f t="shared" si="90"/>
        <v>0.84215051954709808</v>
      </c>
      <c r="O1449" s="31">
        <f t="shared" si="91"/>
        <v>0.73001600532726152</v>
      </c>
    </row>
    <row r="1450" spans="1:15" x14ac:dyDescent="0.25">
      <c r="A1450" t="s">
        <v>7187</v>
      </c>
      <c r="B1450" t="s">
        <v>2897</v>
      </c>
      <c r="C1450" s="3" t="s">
        <v>2898</v>
      </c>
      <c r="D1450" s="24">
        <v>0.143818</v>
      </c>
      <c r="E1450" s="25">
        <v>7.141</v>
      </c>
      <c r="F1450" s="25">
        <v>7.4889999999999999</v>
      </c>
      <c r="G1450" s="26">
        <v>-0.34839999999999999</v>
      </c>
      <c r="H1450" s="27">
        <v>0.20730000000000001</v>
      </c>
      <c r="I1450" s="26">
        <v>1.681</v>
      </c>
      <c r="J1450" s="28">
        <v>6</v>
      </c>
      <c r="K1450" s="27">
        <v>0.27419900000000003</v>
      </c>
      <c r="L1450" s="29">
        <f t="shared" si="88"/>
        <v>0.56193413340964915</v>
      </c>
      <c r="M1450" s="29">
        <f t="shared" si="89"/>
        <v>-0.34799999999999986</v>
      </c>
      <c r="N1450" s="30">
        <f t="shared" si="90"/>
        <v>0.84218675504177132</v>
      </c>
      <c r="O1450" s="31">
        <f t="shared" si="91"/>
        <v>0.78567251666758031</v>
      </c>
    </row>
    <row r="1451" spans="1:15" x14ac:dyDescent="0.25">
      <c r="A1451" t="s">
        <v>7188</v>
      </c>
      <c r="B1451" t="s">
        <v>2903</v>
      </c>
      <c r="C1451" s="3" t="s">
        <v>2904</v>
      </c>
      <c r="D1451" s="24">
        <v>0.14408299999999999</v>
      </c>
      <c r="E1451" s="25">
        <v>7.875</v>
      </c>
      <c r="F1451" s="25">
        <v>7.569</v>
      </c>
      <c r="G1451" s="26">
        <v>0.30609999999999998</v>
      </c>
      <c r="H1451" s="27">
        <v>0.18229999999999999</v>
      </c>
      <c r="I1451" s="26">
        <v>1.679</v>
      </c>
      <c r="J1451" s="28">
        <v>6</v>
      </c>
      <c r="K1451" s="27">
        <v>0.27448899999999998</v>
      </c>
      <c r="L1451" s="29">
        <f t="shared" si="88"/>
        <v>0.56147505498446237</v>
      </c>
      <c r="M1451" s="29">
        <f t="shared" si="89"/>
        <v>0.30600000000000011</v>
      </c>
      <c r="N1451" s="30">
        <f t="shared" si="90"/>
        <v>0.84138725750472421</v>
      </c>
      <c r="O1451" s="31">
        <f t="shared" si="91"/>
        <v>1.2362752609209515</v>
      </c>
    </row>
    <row r="1452" spans="1:15" x14ac:dyDescent="0.25">
      <c r="A1452" t="s">
        <v>7189</v>
      </c>
      <c r="B1452" t="s">
        <v>2905</v>
      </c>
      <c r="C1452" s="3" t="s">
        <v>2906</v>
      </c>
      <c r="D1452" s="24">
        <v>0.14418400000000001</v>
      </c>
      <c r="E1452" s="25">
        <v>10.14</v>
      </c>
      <c r="F1452" s="25">
        <v>10.34</v>
      </c>
      <c r="G1452" s="26">
        <v>-0.19600000000000001</v>
      </c>
      <c r="H1452" s="27">
        <v>0.1167</v>
      </c>
      <c r="I1452" s="26">
        <v>1.679</v>
      </c>
      <c r="J1452" s="28">
        <v>6</v>
      </c>
      <c r="K1452" s="27">
        <v>0.27449200000000001</v>
      </c>
      <c r="L1452" s="29">
        <f t="shared" si="88"/>
        <v>0.56147030843241141</v>
      </c>
      <c r="M1452" s="29">
        <f t="shared" si="89"/>
        <v>-0.19999999999999876</v>
      </c>
      <c r="N1452" s="30">
        <f t="shared" si="90"/>
        <v>0.84108293030482184</v>
      </c>
      <c r="O1452" s="31">
        <f t="shared" si="91"/>
        <v>0.8705505632961249</v>
      </c>
    </row>
    <row r="1453" spans="1:15" x14ac:dyDescent="0.25">
      <c r="A1453" t="s">
        <v>7190</v>
      </c>
      <c r="B1453" t="s">
        <v>2907</v>
      </c>
      <c r="C1453" s="3" t="s">
        <v>2908</v>
      </c>
      <c r="D1453" s="24">
        <v>0.14438500000000001</v>
      </c>
      <c r="E1453" s="25">
        <v>9.1050000000000004</v>
      </c>
      <c r="F1453" s="25">
        <v>8.9870000000000001</v>
      </c>
      <c r="G1453" s="26">
        <v>0.11749999999999999</v>
      </c>
      <c r="H1453" s="27">
        <v>7.0040000000000005E-2</v>
      </c>
      <c r="I1453" s="26">
        <v>1.6779999999999999</v>
      </c>
      <c r="J1453" s="28">
        <v>6</v>
      </c>
      <c r="K1453" s="27">
        <v>0.27468399999999998</v>
      </c>
      <c r="L1453" s="29">
        <f t="shared" si="88"/>
        <v>0.56116663695396807</v>
      </c>
      <c r="M1453" s="29">
        <f t="shared" si="89"/>
        <v>0.11800000000000124</v>
      </c>
      <c r="N1453" s="30">
        <f t="shared" si="90"/>
        <v>0.84047792280242306</v>
      </c>
      <c r="O1453" s="31">
        <f t="shared" si="91"/>
        <v>1.085229371881808</v>
      </c>
    </row>
    <row r="1454" spans="1:15" x14ac:dyDescent="0.25">
      <c r="A1454" t="s">
        <v>7191</v>
      </c>
      <c r="B1454" t="s">
        <v>2909</v>
      </c>
      <c r="C1454" s="3" t="s">
        <v>2910</v>
      </c>
      <c r="D1454" s="24">
        <v>0.14458099999999999</v>
      </c>
      <c r="E1454" s="25">
        <v>10.35</v>
      </c>
      <c r="F1454" s="25">
        <v>10.65</v>
      </c>
      <c r="G1454" s="26">
        <v>-0.30570000000000003</v>
      </c>
      <c r="H1454" s="27">
        <v>0.18229999999999999</v>
      </c>
      <c r="I1454" s="26">
        <v>1.677</v>
      </c>
      <c r="J1454" s="28">
        <v>6</v>
      </c>
      <c r="K1454" s="27">
        <v>0.27486699999999997</v>
      </c>
      <c r="L1454" s="29">
        <f t="shared" si="88"/>
        <v>0.56087739758173172</v>
      </c>
      <c r="M1454" s="29">
        <f t="shared" si="89"/>
        <v>-0.3000000000000001</v>
      </c>
      <c r="N1454" s="30">
        <f t="shared" si="90"/>
        <v>0.83988877576431575</v>
      </c>
      <c r="O1454" s="31">
        <f t="shared" si="91"/>
        <v>0.81225239635623547</v>
      </c>
    </row>
    <row r="1455" spans="1:15" x14ac:dyDescent="0.25">
      <c r="A1455" t="s">
        <v>7192</v>
      </c>
      <c r="B1455" t="s">
        <v>2911</v>
      </c>
      <c r="C1455" s="3" t="s">
        <v>2912</v>
      </c>
      <c r="D1455" s="24">
        <v>0.14474100000000001</v>
      </c>
      <c r="E1455" s="25">
        <v>9.7680000000000007</v>
      </c>
      <c r="F1455" s="25">
        <v>9.8719999999999999</v>
      </c>
      <c r="G1455" s="26">
        <v>-0.1033</v>
      </c>
      <c r="H1455" s="27">
        <v>6.164E-2</v>
      </c>
      <c r="I1455" s="26">
        <v>1.6759999999999999</v>
      </c>
      <c r="J1455" s="28">
        <v>6</v>
      </c>
      <c r="K1455" s="27">
        <v>0.27498299999999998</v>
      </c>
      <c r="L1455" s="29">
        <f t="shared" si="88"/>
        <v>0.56069415429484193</v>
      </c>
      <c r="M1455" s="29">
        <f t="shared" si="89"/>
        <v>-0.10399999999999908</v>
      </c>
      <c r="N1455" s="30">
        <f t="shared" si="90"/>
        <v>0.83940843120573938</v>
      </c>
      <c r="O1455" s="31">
        <f t="shared" si="91"/>
        <v>0.93044965770301591</v>
      </c>
    </row>
    <row r="1456" spans="1:15" x14ac:dyDescent="0.25">
      <c r="A1456" t="s">
        <v>7193</v>
      </c>
      <c r="B1456" t="s">
        <v>2913</v>
      </c>
      <c r="C1456" s="3" t="s">
        <v>2914</v>
      </c>
      <c r="D1456" s="24">
        <v>0.14505100000000001</v>
      </c>
      <c r="E1456" s="25">
        <v>9.1989999999999998</v>
      </c>
      <c r="F1456" s="25">
        <v>8.8239999999999998</v>
      </c>
      <c r="G1456" s="26">
        <v>0.37519999999999998</v>
      </c>
      <c r="H1456" s="27">
        <v>0.224</v>
      </c>
      <c r="I1456" s="26">
        <v>1.675</v>
      </c>
      <c r="J1456" s="28">
        <v>6</v>
      </c>
      <c r="K1456" s="27">
        <v>0.27538200000000002</v>
      </c>
      <c r="L1456" s="29">
        <f t="shared" si="88"/>
        <v>0.56006445026701346</v>
      </c>
      <c r="M1456" s="29">
        <f t="shared" si="89"/>
        <v>0.37499999999999972</v>
      </c>
      <c r="N1456" s="30">
        <f t="shared" si="90"/>
        <v>0.83847927276972878</v>
      </c>
      <c r="O1456" s="31">
        <f t="shared" si="91"/>
        <v>1.2968395546510094</v>
      </c>
    </row>
    <row r="1457" spans="1:15" x14ac:dyDescent="0.25">
      <c r="A1457" t="s">
        <v>7194</v>
      </c>
      <c r="B1457" t="s">
        <v>2915</v>
      </c>
      <c r="C1457" s="3" t="s">
        <v>2916</v>
      </c>
      <c r="D1457" s="24">
        <v>0.145454</v>
      </c>
      <c r="E1457" s="25">
        <v>9.1560000000000006</v>
      </c>
      <c r="F1457" s="25">
        <v>8.2859999999999996</v>
      </c>
      <c r="G1457" s="26">
        <v>0.87039999999999995</v>
      </c>
      <c r="H1457" s="27">
        <v>0.52039999999999997</v>
      </c>
      <c r="I1457" s="26">
        <v>1.673</v>
      </c>
      <c r="J1457" s="28">
        <v>6</v>
      </c>
      <c r="K1457" s="27">
        <v>0.27579900000000002</v>
      </c>
      <c r="L1457" s="29">
        <f t="shared" si="88"/>
        <v>0.55940731283482181</v>
      </c>
      <c r="M1457" s="29">
        <f t="shared" si="89"/>
        <v>0.87000000000000155</v>
      </c>
      <c r="N1457" s="30">
        <f t="shared" si="90"/>
        <v>0.83727433110966099</v>
      </c>
      <c r="O1457" s="31">
        <f t="shared" si="91"/>
        <v>1.827662900458803</v>
      </c>
    </row>
    <row r="1458" spans="1:15" x14ac:dyDescent="0.25">
      <c r="A1458" t="s">
        <v>7195</v>
      </c>
      <c r="B1458" t="s">
        <v>2917</v>
      </c>
      <c r="C1458" s="3" t="s">
        <v>2918</v>
      </c>
      <c r="D1458" s="24">
        <v>0.14546999999999999</v>
      </c>
      <c r="E1458" s="25">
        <v>8.8840000000000003</v>
      </c>
      <c r="F1458" s="25">
        <v>8.3770000000000007</v>
      </c>
      <c r="G1458" s="26">
        <v>0.50700000000000001</v>
      </c>
      <c r="H1458" s="27">
        <v>0.30309999999999998</v>
      </c>
      <c r="I1458" s="26">
        <v>1.6719999999999999</v>
      </c>
      <c r="J1458" s="28">
        <v>6</v>
      </c>
      <c r="K1458" s="27">
        <v>0.27579900000000002</v>
      </c>
      <c r="L1458" s="29">
        <f t="shared" si="88"/>
        <v>0.55940731283482181</v>
      </c>
      <c r="M1458" s="29">
        <f t="shared" si="89"/>
        <v>0.50699999999999901</v>
      </c>
      <c r="N1458" s="30">
        <f t="shared" si="90"/>
        <v>0.8372265611648132</v>
      </c>
      <c r="O1458" s="31">
        <f t="shared" si="91"/>
        <v>1.4210920431813587</v>
      </c>
    </row>
    <row r="1459" spans="1:15" x14ac:dyDescent="0.25">
      <c r="A1459" t="s">
        <v>7196</v>
      </c>
      <c r="B1459" t="s">
        <v>2919</v>
      </c>
      <c r="C1459" s="3" t="s">
        <v>2920</v>
      </c>
      <c r="D1459" s="24">
        <v>0.14565700000000001</v>
      </c>
      <c r="E1459" s="25">
        <v>8.4979999999999993</v>
      </c>
      <c r="F1459" s="25">
        <v>8.24</v>
      </c>
      <c r="G1459" s="26">
        <v>0.25819999999999999</v>
      </c>
      <c r="H1459" s="27">
        <v>0.1545</v>
      </c>
      <c r="I1459" s="26">
        <v>1.671</v>
      </c>
      <c r="J1459" s="28">
        <v>6</v>
      </c>
      <c r="K1459" s="27">
        <v>0.27596399999999999</v>
      </c>
      <c r="L1459" s="29">
        <f t="shared" si="88"/>
        <v>0.55914756873581528</v>
      </c>
      <c r="M1459" s="29">
        <f t="shared" si="89"/>
        <v>0.25799999999999901</v>
      </c>
      <c r="N1459" s="30">
        <f t="shared" si="90"/>
        <v>0.83666863916317713</v>
      </c>
      <c r="O1459" s="31">
        <f t="shared" si="91"/>
        <v>1.1958197967761233</v>
      </c>
    </row>
    <row r="1460" spans="1:15" x14ac:dyDescent="0.25">
      <c r="A1460" t="s">
        <v>7197</v>
      </c>
      <c r="B1460" t="s">
        <v>2921</v>
      </c>
      <c r="C1460" s="3" t="s">
        <v>2922</v>
      </c>
      <c r="D1460" s="24">
        <v>0.146009</v>
      </c>
      <c r="E1460" s="25">
        <v>9.9250000000000007</v>
      </c>
      <c r="F1460" s="25">
        <v>9.8480000000000008</v>
      </c>
      <c r="G1460" s="26">
        <v>7.7469999999999997E-2</v>
      </c>
      <c r="H1460" s="27">
        <v>4.6399999999999997E-2</v>
      </c>
      <c r="I1460" s="26">
        <v>1.67</v>
      </c>
      <c r="J1460" s="28">
        <v>6</v>
      </c>
      <c r="K1460" s="27">
        <v>0.27644200000000002</v>
      </c>
      <c r="L1460" s="29">
        <f t="shared" si="88"/>
        <v>0.55839597366204075</v>
      </c>
      <c r="M1460" s="29">
        <f t="shared" si="89"/>
        <v>7.6999999999999152E-2</v>
      </c>
      <c r="N1460" s="30">
        <f t="shared" si="90"/>
        <v>0.83562037346302875</v>
      </c>
      <c r="O1460" s="31">
        <f t="shared" si="91"/>
        <v>1.0548223170680608</v>
      </c>
    </row>
    <row r="1461" spans="1:15" x14ac:dyDescent="0.25">
      <c r="A1461" t="s">
        <v>7198</v>
      </c>
      <c r="B1461" t="s">
        <v>2925</v>
      </c>
      <c r="C1461" s="3" t="s">
        <v>2926</v>
      </c>
      <c r="D1461" s="24">
        <v>0.146839</v>
      </c>
      <c r="E1461" s="25">
        <v>9.548</v>
      </c>
      <c r="F1461" s="25">
        <v>9.6980000000000004</v>
      </c>
      <c r="G1461" s="26">
        <v>-0.1502</v>
      </c>
      <c r="H1461" s="27">
        <v>9.0160000000000004E-2</v>
      </c>
      <c r="I1461" s="26">
        <v>1.6659999999999999</v>
      </c>
      <c r="J1461" s="28">
        <v>6</v>
      </c>
      <c r="K1461" s="27">
        <v>0.27763199999999999</v>
      </c>
      <c r="L1461" s="29">
        <f t="shared" si="88"/>
        <v>0.55653047833793834</v>
      </c>
      <c r="M1461" s="29">
        <f t="shared" si="89"/>
        <v>-0.15000000000000063</v>
      </c>
      <c r="N1461" s="30">
        <f t="shared" si="90"/>
        <v>0.83315858178151248</v>
      </c>
      <c r="O1461" s="31">
        <f t="shared" si="91"/>
        <v>0.90125046261082986</v>
      </c>
    </row>
    <row r="1462" spans="1:15" x14ac:dyDescent="0.25">
      <c r="A1462" t="s">
        <v>7199</v>
      </c>
      <c r="B1462" t="s">
        <v>2923</v>
      </c>
      <c r="C1462" s="3" t="s">
        <v>2924</v>
      </c>
      <c r="D1462" s="24">
        <v>0.14682100000000001</v>
      </c>
      <c r="E1462" s="25">
        <v>8.2899999999999991</v>
      </c>
      <c r="F1462" s="25">
        <v>7.8849999999999998</v>
      </c>
      <c r="G1462" s="26">
        <v>0.40510000000000002</v>
      </c>
      <c r="H1462" s="27">
        <v>0.2432</v>
      </c>
      <c r="I1462" s="26">
        <v>1.6659999999999999</v>
      </c>
      <c r="J1462" s="28">
        <v>6</v>
      </c>
      <c r="K1462" s="27">
        <v>0.27763199999999999</v>
      </c>
      <c r="L1462" s="29">
        <f t="shared" si="88"/>
        <v>0.55653047833793834</v>
      </c>
      <c r="M1462" s="29">
        <f t="shared" si="89"/>
        <v>0.40499999999999953</v>
      </c>
      <c r="N1462" s="30">
        <f t="shared" si="90"/>
        <v>0.83321182226836144</v>
      </c>
      <c r="O1462" s="31">
        <f t="shared" si="91"/>
        <v>1.3240889103953968</v>
      </c>
    </row>
    <row r="1463" spans="1:15" x14ac:dyDescent="0.25">
      <c r="A1463" t="s">
        <v>7200</v>
      </c>
      <c r="B1463" t="s">
        <v>2927</v>
      </c>
      <c r="C1463" s="3" t="s">
        <v>2928</v>
      </c>
      <c r="D1463" s="24">
        <v>0.14694599999999999</v>
      </c>
      <c r="E1463" s="25">
        <v>9.202</v>
      </c>
      <c r="F1463" s="25">
        <v>9.33</v>
      </c>
      <c r="G1463" s="26">
        <v>-0.12859999999999999</v>
      </c>
      <c r="H1463" s="27">
        <v>7.7210000000000001E-2</v>
      </c>
      <c r="I1463" s="26">
        <v>1.665</v>
      </c>
      <c r="J1463" s="28">
        <v>6</v>
      </c>
      <c r="K1463" s="27">
        <v>0.27764499999999998</v>
      </c>
      <c r="L1463" s="29">
        <f t="shared" si="88"/>
        <v>0.55651014316012337</v>
      </c>
      <c r="M1463" s="29">
        <f t="shared" si="89"/>
        <v>-0.12800000000000042</v>
      </c>
      <c r="N1463" s="30">
        <f t="shared" si="90"/>
        <v>0.83284223131012436</v>
      </c>
      <c r="O1463" s="31">
        <f t="shared" si="91"/>
        <v>0.91509916812792813</v>
      </c>
    </row>
    <row r="1464" spans="1:15" x14ac:dyDescent="0.25">
      <c r="A1464" t="s">
        <v>7201</v>
      </c>
      <c r="B1464" t="s">
        <v>2929</v>
      </c>
      <c r="C1464" s="3" t="s">
        <v>2930</v>
      </c>
      <c r="D1464" s="24">
        <v>0.147232</v>
      </c>
      <c r="E1464" s="25">
        <v>8.9619999999999997</v>
      </c>
      <c r="F1464" s="25">
        <v>8.5359999999999996</v>
      </c>
      <c r="G1464" s="26">
        <v>0.42599999999999999</v>
      </c>
      <c r="H1464" s="27">
        <v>0.25600000000000001</v>
      </c>
      <c r="I1464" s="26">
        <v>1.6639999999999999</v>
      </c>
      <c r="J1464" s="28">
        <v>6</v>
      </c>
      <c r="K1464" s="27">
        <v>0.27796100000000001</v>
      </c>
      <c r="L1464" s="29">
        <f t="shared" si="88"/>
        <v>0.55601613456021981</v>
      </c>
      <c r="M1464" s="29">
        <f t="shared" si="89"/>
        <v>0.42599999999999955</v>
      </c>
      <c r="N1464" s="30">
        <f t="shared" si="90"/>
        <v>0.83199778841529781</v>
      </c>
      <c r="O1464" s="31">
        <f t="shared" si="91"/>
        <v>1.3435034257212963</v>
      </c>
    </row>
    <row r="1465" spans="1:15" x14ac:dyDescent="0.25">
      <c r="A1465" t="s">
        <v>7202</v>
      </c>
      <c r="B1465" t="s">
        <v>2931</v>
      </c>
      <c r="C1465" s="3" t="s">
        <v>2932</v>
      </c>
      <c r="D1465" s="24">
        <v>0.147315</v>
      </c>
      <c r="E1465" s="25">
        <v>8.7029999999999994</v>
      </c>
      <c r="F1465" s="25">
        <v>8.5389999999999997</v>
      </c>
      <c r="G1465" s="26">
        <v>0.1633</v>
      </c>
      <c r="H1465" s="27">
        <v>9.8159999999999997E-2</v>
      </c>
      <c r="I1465" s="26">
        <v>1.663</v>
      </c>
      <c r="J1465" s="28">
        <v>6</v>
      </c>
      <c r="K1465" s="27">
        <v>0.27796100000000001</v>
      </c>
      <c r="L1465" s="29">
        <f t="shared" si="88"/>
        <v>0.55601613456021981</v>
      </c>
      <c r="M1465" s="29">
        <f t="shared" si="89"/>
        <v>0.16399999999999887</v>
      </c>
      <c r="N1465" s="30">
        <f t="shared" si="90"/>
        <v>0.83175302990170197</v>
      </c>
      <c r="O1465" s="31">
        <f t="shared" si="91"/>
        <v>1.1203892141941751</v>
      </c>
    </row>
    <row r="1466" spans="1:15" x14ac:dyDescent="0.25">
      <c r="A1466" t="s">
        <v>7203</v>
      </c>
      <c r="B1466" t="s">
        <v>2933</v>
      </c>
      <c r="C1466" s="3" t="s">
        <v>2934</v>
      </c>
      <c r="D1466" s="24">
        <v>0.147725</v>
      </c>
      <c r="E1466" s="25">
        <v>12.01</v>
      </c>
      <c r="F1466" s="25">
        <v>11.67</v>
      </c>
      <c r="G1466" s="26">
        <v>0.3453</v>
      </c>
      <c r="H1466" s="27">
        <v>0.2079</v>
      </c>
      <c r="I1466" s="26">
        <v>1.661</v>
      </c>
      <c r="J1466" s="28">
        <v>6</v>
      </c>
      <c r="K1466" s="27">
        <v>0.27854499999999999</v>
      </c>
      <c r="L1466" s="29">
        <f t="shared" si="88"/>
        <v>0.55510463290333145</v>
      </c>
      <c r="M1466" s="29">
        <f t="shared" si="89"/>
        <v>0.34000000000000052</v>
      </c>
      <c r="N1466" s="30">
        <f t="shared" si="90"/>
        <v>0.83054600134829593</v>
      </c>
      <c r="O1466" s="31">
        <f t="shared" si="91"/>
        <v>1.2657565939702804</v>
      </c>
    </row>
    <row r="1467" spans="1:15" x14ac:dyDescent="0.25">
      <c r="A1467" t="s">
        <v>7204</v>
      </c>
      <c r="B1467" t="s">
        <v>2935</v>
      </c>
      <c r="C1467" s="3" t="s">
        <v>2936</v>
      </c>
      <c r="D1467" s="24">
        <v>0.14806</v>
      </c>
      <c r="E1467" s="25">
        <v>13.6</v>
      </c>
      <c r="F1467" s="25">
        <v>12.84</v>
      </c>
      <c r="G1467" s="26">
        <v>0.75800000000000001</v>
      </c>
      <c r="H1467" s="27">
        <v>0.45669999999999999</v>
      </c>
      <c r="I1467" s="26">
        <v>1.66</v>
      </c>
      <c r="J1467" s="28">
        <v>6</v>
      </c>
      <c r="K1467" s="27">
        <v>0.27879100000000001</v>
      </c>
      <c r="L1467" s="29">
        <f t="shared" si="88"/>
        <v>0.5547212503495893</v>
      </c>
      <c r="M1467" s="29">
        <f t="shared" si="89"/>
        <v>0.75999999999999845</v>
      </c>
      <c r="N1467" s="30">
        <f t="shared" si="90"/>
        <v>0.82956225495381686</v>
      </c>
      <c r="O1467" s="31">
        <f t="shared" si="91"/>
        <v>1.6934906247250525</v>
      </c>
    </row>
    <row r="1468" spans="1:15" x14ac:dyDescent="0.25">
      <c r="A1468" t="s">
        <v>7205</v>
      </c>
      <c r="B1468" t="s">
        <v>2943</v>
      </c>
      <c r="C1468" s="3" t="s">
        <v>2944</v>
      </c>
      <c r="D1468" s="24">
        <v>0.14841499999999999</v>
      </c>
      <c r="E1468" s="25">
        <v>10.08</v>
      </c>
      <c r="F1468" s="25">
        <v>10.34</v>
      </c>
      <c r="G1468" s="26">
        <v>-0.26040000000000002</v>
      </c>
      <c r="H1468" s="27">
        <v>0.15709999999999999</v>
      </c>
      <c r="I1468" s="26">
        <v>1.6579999999999999</v>
      </c>
      <c r="J1468" s="28">
        <v>6</v>
      </c>
      <c r="K1468" s="27">
        <v>0.27879100000000001</v>
      </c>
      <c r="L1468" s="29">
        <f t="shared" si="88"/>
        <v>0.5547212503495893</v>
      </c>
      <c r="M1468" s="29">
        <f t="shared" si="89"/>
        <v>-0.25999999999999984</v>
      </c>
      <c r="N1468" s="30">
        <f t="shared" si="90"/>
        <v>0.82852220358517192</v>
      </c>
      <c r="O1468" s="31">
        <f t="shared" si="91"/>
        <v>0.83508791942836946</v>
      </c>
    </row>
    <row r="1469" spans="1:15" x14ac:dyDescent="0.25">
      <c r="A1469" t="s">
        <v>7206</v>
      </c>
      <c r="B1469" t="s">
        <v>2945</v>
      </c>
      <c r="C1469" s="3" t="s">
        <v>2946</v>
      </c>
      <c r="D1469" s="24">
        <v>0.148561</v>
      </c>
      <c r="E1469" s="25">
        <v>10.68</v>
      </c>
      <c r="F1469" s="25">
        <v>10.52</v>
      </c>
      <c r="G1469" s="26">
        <v>0.15890000000000001</v>
      </c>
      <c r="H1469" s="27">
        <v>9.5909999999999995E-2</v>
      </c>
      <c r="I1469" s="26">
        <v>1.657</v>
      </c>
      <c r="J1469" s="28">
        <v>6</v>
      </c>
      <c r="K1469" s="27">
        <v>0.27879100000000001</v>
      </c>
      <c r="L1469" s="29">
        <f t="shared" si="88"/>
        <v>0.5547212503495893</v>
      </c>
      <c r="M1469" s="29">
        <f t="shared" si="89"/>
        <v>0.15999999999999978</v>
      </c>
      <c r="N1469" s="30">
        <f t="shared" si="90"/>
        <v>0.82809518591730513</v>
      </c>
      <c r="O1469" s="31">
        <f t="shared" si="91"/>
        <v>1.1172871380722198</v>
      </c>
    </row>
    <row r="1470" spans="1:15" x14ac:dyDescent="0.25">
      <c r="A1470" t="s">
        <v>7207</v>
      </c>
      <c r="B1470" t="s">
        <v>2941</v>
      </c>
      <c r="C1470" s="3" t="s">
        <v>2942</v>
      </c>
      <c r="D1470" s="24">
        <v>0.14835200000000001</v>
      </c>
      <c r="E1470" s="25">
        <v>7.2709999999999999</v>
      </c>
      <c r="F1470" s="25">
        <v>6.266</v>
      </c>
      <c r="G1470" s="26">
        <v>1.006</v>
      </c>
      <c r="H1470" s="27">
        <v>0.60650000000000004</v>
      </c>
      <c r="I1470" s="26">
        <v>1.6579999999999999</v>
      </c>
      <c r="J1470" s="28">
        <v>6</v>
      </c>
      <c r="K1470" s="27">
        <v>0.27879100000000001</v>
      </c>
      <c r="L1470" s="29">
        <f t="shared" si="88"/>
        <v>0.5547212503495893</v>
      </c>
      <c r="M1470" s="29">
        <f t="shared" si="89"/>
        <v>1.005000000000001</v>
      </c>
      <c r="N1470" s="30">
        <f t="shared" si="90"/>
        <v>0.82870659438853556</v>
      </c>
      <c r="O1470" s="31">
        <f t="shared" si="91"/>
        <v>2.006943497019007</v>
      </c>
    </row>
    <row r="1471" spans="1:15" x14ac:dyDescent="0.25">
      <c r="A1471" t="s">
        <v>7208</v>
      </c>
      <c r="B1471" t="s">
        <v>2939</v>
      </c>
      <c r="C1471" s="3" t="s">
        <v>2940</v>
      </c>
      <c r="D1471" s="24">
        <v>0.14820900000000001</v>
      </c>
      <c r="E1471" s="25">
        <v>10.199999999999999</v>
      </c>
      <c r="F1471" s="25">
        <v>10.36</v>
      </c>
      <c r="G1471" s="26">
        <v>-0.1615</v>
      </c>
      <c r="H1471" s="27">
        <v>9.733E-2</v>
      </c>
      <c r="I1471" s="26">
        <v>1.659</v>
      </c>
      <c r="J1471" s="28">
        <v>6</v>
      </c>
      <c r="K1471" s="27">
        <v>0.27879100000000001</v>
      </c>
      <c r="L1471" s="29">
        <f t="shared" si="88"/>
        <v>0.5547212503495893</v>
      </c>
      <c r="M1471" s="29">
        <f t="shared" si="89"/>
        <v>-0.15999999999999978</v>
      </c>
      <c r="N1471" s="30">
        <f t="shared" si="90"/>
        <v>0.82912542299867287</v>
      </c>
      <c r="O1471" s="31">
        <f t="shared" si="91"/>
        <v>0.89502507092797257</v>
      </c>
    </row>
    <row r="1472" spans="1:15" x14ac:dyDescent="0.25">
      <c r="A1472" t="s">
        <v>7209</v>
      </c>
      <c r="B1472" t="s">
        <v>2947</v>
      </c>
      <c r="C1472" s="3" t="s">
        <v>2948</v>
      </c>
      <c r="D1472" s="24">
        <v>0.148562</v>
      </c>
      <c r="E1472" s="25">
        <v>8.8859999999999992</v>
      </c>
      <c r="F1472" s="25">
        <v>8.76</v>
      </c>
      <c r="G1472" s="26">
        <v>0.12590000000000001</v>
      </c>
      <c r="H1472" s="27">
        <v>7.5999999999999998E-2</v>
      </c>
      <c r="I1472" s="26">
        <v>1.657</v>
      </c>
      <c r="J1472" s="28">
        <v>6</v>
      </c>
      <c r="K1472" s="27">
        <v>0.27879100000000001</v>
      </c>
      <c r="L1472" s="29">
        <f t="shared" si="88"/>
        <v>0.5547212503495893</v>
      </c>
      <c r="M1472" s="29">
        <f t="shared" si="89"/>
        <v>0.12599999999999945</v>
      </c>
      <c r="N1472" s="30">
        <f t="shared" si="90"/>
        <v>0.82809226258601198</v>
      </c>
      <c r="O1472" s="31">
        <f t="shared" si="91"/>
        <v>1.0912638770549346</v>
      </c>
    </row>
    <row r="1473" spans="1:15" x14ac:dyDescent="0.25">
      <c r="A1473" t="s">
        <v>7210</v>
      </c>
      <c r="B1473" t="s">
        <v>2937</v>
      </c>
      <c r="C1473" s="3" t="s">
        <v>2938</v>
      </c>
      <c r="D1473" s="24">
        <v>0.14818600000000001</v>
      </c>
      <c r="E1473" s="25">
        <v>9.7829999999999995</v>
      </c>
      <c r="F1473" s="25">
        <v>9.6539999999999999</v>
      </c>
      <c r="G1473" s="26">
        <v>0.12889999999999999</v>
      </c>
      <c r="H1473" s="27">
        <v>7.7670000000000003E-2</v>
      </c>
      <c r="I1473" s="26">
        <v>1.659</v>
      </c>
      <c r="J1473" s="28">
        <v>6</v>
      </c>
      <c r="K1473" s="27">
        <v>0.27879100000000001</v>
      </c>
      <c r="L1473" s="29">
        <f t="shared" si="88"/>
        <v>0.5547212503495893</v>
      </c>
      <c r="M1473" s="29">
        <f t="shared" si="89"/>
        <v>0.12899999999999942</v>
      </c>
      <c r="N1473" s="30">
        <f t="shared" si="90"/>
        <v>0.82919282476391065</v>
      </c>
      <c r="O1473" s="31">
        <f t="shared" si="91"/>
        <v>1.0935354574846319</v>
      </c>
    </row>
    <row r="1474" spans="1:15" x14ac:dyDescent="0.25">
      <c r="A1474" t="s">
        <v>7211</v>
      </c>
      <c r="B1474" t="s">
        <v>2949</v>
      </c>
      <c r="C1474" s="3" t="s">
        <v>2950</v>
      </c>
      <c r="D1474" s="24">
        <v>0.14932400000000001</v>
      </c>
      <c r="E1474" s="25">
        <v>8.3919999999999995</v>
      </c>
      <c r="F1474" s="25">
        <v>8.8780000000000001</v>
      </c>
      <c r="G1474" s="26">
        <v>-0.48559999999999998</v>
      </c>
      <c r="H1474" s="27">
        <v>0.29370000000000002</v>
      </c>
      <c r="I1474" s="26">
        <v>1.653</v>
      </c>
      <c r="J1474" s="28">
        <v>6</v>
      </c>
      <c r="K1474" s="27">
        <v>0.28003099999999997</v>
      </c>
      <c r="L1474" s="29">
        <f t="shared" ref="L1474:L1537" si="92">-LOG(K1474,10)</f>
        <v>0.55279388871594626</v>
      </c>
      <c r="M1474" s="29">
        <f t="shared" ref="M1474:M1537" si="93">LOG(O1474,2)</f>
        <v>-0.48600000000000049</v>
      </c>
      <c r="N1474" s="30">
        <f t="shared" ref="N1474:N1537" si="94">-LOG(D1474,10)</f>
        <v>0.82587038497490406</v>
      </c>
      <c r="O1474" s="31">
        <f t="shared" ref="O1474:O1537" si="95">((2^E1474)/(2^F1474))</f>
        <v>0.71400198984253183</v>
      </c>
    </row>
    <row r="1475" spans="1:15" x14ac:dyDescent="0.25">
      <c r="A1475" t="s">
        <v>7212</v>
      </c>
      <c r="B1475" t="s">
        <v>2951</v>
      </c>
      <c r="C1475" s="3" t="s">
        <v>2952</v>
      </c>
      <c r="D1475" s="24">
        <v>0.15</v>
      </c>
      <c r="E1475" s="25">
        <v>8.5779999999999994</v>
      </c>
      <c r="F1475" s="25">
        <v>8.8260000000000005</v>
      </c>
      <c r="G1475" s="26">
        <v>-0.2475</v>
      </c>
      <c r="H1475" s="27">
        <v>0.15</v>
      </c>
      <c r="I1475" s="26">
        <v>1.65</v>
      </c>
      <c r="J1475" s="28">
        <v>6</v>
      </c>
      <c r="K1475" s="27">
        <v>0.28110800000000002</v>
      </c>
      <c r="L1475" s="29">
        <f t="shared" si="92"/>
        <v>0.55112679471124748</v>
      </c>
      <c r="M1475" s="29">
        <f t="shared" si="93"/>
        <v>-0.24800000000000116</v>
      </c>
      <c r="N1475" s="30">
        <f t="shared" si="94"/>
        <v>0.82390874094431865</v>
      </c>
      <c r="O1475" s="31">
        <f t="shared" si="95"/>
        <v>0.84206295360841532</v>
      </c>
    </row>
    <row r="1476" spans="1:15" x14ac:dyDescent="0.25">
      <c r="A1476" t="s">
        <v>7213</v>
      </c>
      <c r="B1476" t="s">
        <v>2957</v>
      </c>
      <c r="C1476" s="3" t="s">
        <v>2958</v>
      </c>
      <c r="D1476" s="24">
        <v>0.15052199999999999</v>
      </c>
      <c r="E1476" s="25">
        <v>8.4190000000000005</v>
      </c>
      <c r="F1476" s="25">
        <v>8.1460000000000008</v>
      </c>
      <c r="G1476" s="26">
        <v>0.2727</v>
      </c>
      <c r="H1476" s="27">
        <v>0.16550000000000001</v>
      </c>
      <c r="I1476" s="26">
        <v>1.6479999999999999</v>
      </c>
      <c r="J1476" s="28">
        <v>6</v>
      </c>
      <c r="K1476" s="27">
        <v>0.28151300000000001</v>
      </c>
      <c r="L1476" s="29">
        <f t="shared" si="92"/>
        <v>0.55050154504743676</v>
      </c>
      <c r="M1476" s="29">
        <f t="shared" si="93"/>
        <v>0.27300000000000019</v>
      </c>
      <c r="N1476" s="30">
        <f t="shared" si="94"/>
        <v>0.82240001980212496</v>
      </c>
      <c r="O1476" s="31">
        <f t="shared" si="95"/>
        <v>1.2083178433899426</v>
      </c>
    </row>
    <row r="1477" spans="1:15" x14ac:dyDescent="0.25">
      <c r="A1477" t="s">
        <v>7214</v>
      </c>
      <c r="B1477" t="s">
        <v>2953</v>
      </c>
      <c r="C1477" s="3" t="s">
        <v>2954</v>
      </c>
      <c r="D1477" s="24">
        <v>0.15035599999999999</v>
      </c>
      <c r="E1477" s="25">
        <v>8.1389999999999993</v>
      </c>
      <c r="F1477" s="25">
        <v>7.58</v>
      </c>
      <c r="G1477" s="26">
        <v>0.55859999999999999</v>
      </c>
      <c r="H1477" s="27">
        <v>0.33889999999999998</v>
      </c>
      <c r="I1477" s="26">
        <v>1.6479999999999999</v>
      </c>
      <c r="J1477" s="28">
        <v>6</v>
      </c>
      <c r="K1477" s="27">
        <v>0.28151300000000001</v>
      </c>
      <c r="L1477" s="29">
        <f t="shared" si="92"/>
        <v>0.55050154504743676</v>
      </c>
      <c r="M1477" s="29">
        <f t="shared" si="93"/>
        <v>0.5589999999999995</v>
      </c>
      <c r="N1477" s="30">
        <f t="shared" si="94"/>
        <v>0.82287923656979023</v>
      </c>
      <c r="O1477" s="31">
        <f t="shared" si="95"/>
        <v>1.4732476858164796</v>
      </c>
    </row>
    <row r="1478" spans="1:15" x14ac:dyDescent="0.25">
      <c r="A1478" t="s">
        <v>7215</v>
      </c>
      <c r="B1478" t="s">
        <v>2955</v>
      </c>
      <c r="C1478" s="3" t="s">
        <v>2956</v>
      </c>
      <c r="D1478" s="24">
        <v>0.15046000000000001</v>
      </c>
      <c r="E1478" s="25">
        <v>8.0180000000000007</v>
      </c>
      <c r="F1478" s="25">
        <v>8.532</v>
      </c>
      <c r="G1478" s="26">
        <v>-0.51480000000000004</v>
      </c>
      <c r="H1478" s="27">
        <v>0.31240000000000001</v>
      </c>
      <c r="I1478" s="26">
        <v>1.6479999999999999</v>
      </c>
      <c r="J1478" s="28">
        <v>6</v>
      </c>
      <c r="K1478" s="27">
        <v>0.28151300000000001</v>
      </c>
      <c r="L1478" s="29">
        <f t="shared" si="92"/>
        <v>0.55050154504743676</v>
      </c>
      <c r="M1478" s="29">
        <f t="shared" si="93"/>
        <v>-0.51399999999999857</v>
      </c>
      <c r="N1478" s="30">
        <f t="shared" si="94"/>
        <v>0.82257894251683117</v>
      </c>
      <c r="O1478" s="31">
        <f t="shared" si="95"/>
        <v>0.70027816044360303</v>
      </c>
    </row>
    <row r="1479" spans="1:15" x14ac:dyDescent="0.25">
      <c r="A1479" t="s">
        <v>7216</v>
      </c>
      <c r="B1479" t="s">
        <v>2959</v>
      </c>
      <c r="C1479" s="3" t="s">
        <v>2960</v>
      </c>
      <c r="D1479" s="24">
        <v>0.15077099999999999</v>
      </c>
      <c r="E1479" s="25">
        <v>9.4499999999999993</v>
      </c>
      <c r="F1479" s="25">
        <v>9.1950000000000003</v>
      </c>
      <c r="G1479" s="26">
        <v>0.25480000000000003</v>
      </c>
      <c r="H1479" s="27">
        <v>0.15479999999999999</v>
      </c>
      <c r="I1479" s="26">
        <v>1.6459999999999999</v>
      </c>
      <c r="J1479" s="28">
        <v>6</v>
      </c>
      <c r="K1479" s="27">
        <v>0.28178799999999998</v>
      </c>
      <c r="L1479" s="29">
        <f t="shared" si="92"/>
        <v>0.55007750535280997</v>
      </c>
      <c r="M1479" s="29">
        <f t="shared" si="93"/>
        <v>0.25499999999999901</v>
      </c>
      <c r="N1479" s="30">
        <f t="shared" si="94"/>
        <v>0.82168218466746445</v>
      </c>
      <c r="O1479" s="31">
        <f t="shared" si="95"/>
        <v>1.1933357430317211</v>
      </c>
    </row>
    <row r="1480" spans="1:15" x14ac:dyDescent="0.25">
      <c r="A1480" t="s">
        <v>7217</v>
      </c>
      <c r="B1480" t="s">
        <v>2961</v>
      </c>
      <c r="C1480" s="3" t="s">
        <v>2962</v>
      </c>
      <c r="D1480" s="24">
        <v>0.15104000000000001</v>
      </c>
      <c r="E1480" s="25">
        <v>8.9830000000000005</v>
      </c>
      <c r="F1480" s="25">
        <v>8.5739999999999998</v>
      </c>
      <c r="G1480" s="26">
        <v>0.40960000000000002</v>
      </c>
      <c r="H1480" s="27">
        <v>0.249</v>
      </c>
      <c r="I1480" s="26">
        <v>1.645</v>
      </c>
      <c r="J1480" s="28">
        <v>6</v>
      </c>
      <c r="K1480" s="27">
        <v>0.28209899999999999</v>
      </c>
      <c r="L1480" s="29">
        <f t="shared" si="92"/>
        <v>0.54959845335279278</v>
      </c>
      <c r="M1480" s="29">
        <f t="shared" si="93"/>
        <v>0.40900000000000108</v>
      </c>
      <c r="N1480" s="30">
        <f t="shared" si="94"/>
        <v>0.82090802304600607</v>
      </c>
      <c r="O1480" s="31">
        <f t="shared" si="95"/>
        <v>1.3277651583824388</v>
      </c>
    </row>
    <row r="1481" spans="1:15" x14ac:dyDescent="0.25">
      <c r="A1481" t="s">
        <v>7218</v>
      </c>
      <c r="B1481" t="s">
        <v>2963</v>
      </c>
      <c r="C1481" s="3" t="s">
        <v>2964</v>
      </c>
      <c r="D1481" s="24">
        <v>0.151195</v>
      </c>
      <c r="E1481" s="25">
        <v>8.1129999999999995</v>
      </c>
      <c r="F1481" s="25">
        <v>8.36</v>
      </c>
      <c r="G1481" s="26">
        <v>-0.2462</v>
      </c>
      <c r="H1481" s="27">
        <v>0.1497</v>
      </c>
      <c r="I1481" s="26">
        <v>1.6439999999999999</v>
      </c>
      <c r="J1481" s="28">
        <v>6</v>
      </c>
      <c r="K1481" s="27">
        <v>0.282198</v>
      </c>
      <c r="L1481" s="29">
        <f t="shared" si="92"/>
        <v>0.54944606851236455</v>
      </c>
      <c r="M1481" s="29">
        <f t="shared" si="93"/>
        <v>-0.24700000000000089</v>
      </c>
      <c r="N1481" s="30">
        <f t="shared" si="94"/>
        <v>0.82046257066228767</v>
      </c>
      <c r="O1481" s="31">
        <f t="shared" si="95"/>
        <v>0.84264682950315117</v>
      </c>
    </row>
    <row r="1482" spans="1:15" x14ac:dyDescent="0.25">
      <c r="A1482" t="s">
        <v>7219</v>
      </c>
      <c r="B1482" t="s">
        <v>2971</v>
      </c>
      <c r="C1482" s="3" t="s">
        <v>2972</v>
      </c>
      <c r="D1482" s="24">
        <v>0.152196</v>
      </c>
      <c r="E1482" s="25">
        <v>9.9779999999999998</v>
      </c>
      <c r="F1482" s="25">
        <v>9.843</v>
      </c>
      <c r="G1482" s="26">
        <v>0.13469999999999999</v>
      </c>
      <c r="H1482" s="27">
        <v>8.2170000000000007E-2</v>
      </c>
      <c r="I1482" s="26">
        <v>1.64</v>
      </c>
      <c r="J1482" s="28">
        <v>6</v>
      </c>
      <c r="K1482" s="27">
        <v>0.283026</v>
      </c>
      <c r="L1482" s="29">
        <f t="shared" si="92"/>
        <v>0.54817366646205867</v>
      </c>
      <c r="M1482" s="29">
        <f t="shared" si="93"/>
        <v>0.13499999999999945</v>
      </c>
      <c r="N1482" s="30">
        <f t="shared" si="94"/>
        <v>0.81759676149945104</v>
      </c>
      <c r="O1482" s="31">
        <f t="shared" si="95"/>
        <v>1.0980928137870494</v>
      </c>
    </row>
    <row r="1483" spans="1:15" x14ac:dyDescent="0.25">
      <c r="A1483" t="s">
        <v>7220</v>
      </c>
      <c r="B1483" t="s">
        <v>2977</v>
      </c>
      <c r="C1483" s="3" t="s">
        <v>2978</v>
      </c>
      <c r="D1483" s="24">
        <v>0.15235599999999999</v>
      </c>
      <c r="E1483" s="25">
        <v>11.16</v>
      </c>
      <c r="F1483" s="25">
        <v>10.94</v>
      </c>
      <c r="G1483" s="26">
        <v>0.21429999999999999</v>
      </c>
      <c r="H1483" s="27">
        <v>0.1308</v>
      </c>
      <c r="I1483" s="26">
        <v>1.639</v>
      </c>
      <c r="J1483" s="28">
        <v>6</v>
      </c>
      <c r="K1483" s="27">
        <v>0.283026</v>
      </c>
      <c r="L1483" s="29">
        <f t="shared" si="92"/>
        <v>0.54817366646205867</v>
      </c>
      <c r="M1483" s="29">
        <f t="shared" si="93"/>
        <v>0.22000000000000081</v>
      </c>
      <c r="N1483" s="30">
        <f t="shared" si="94"/>
        <v>0.81714043795866032</v>
      </c>
      <c r="O1483" s="31">
        <f t="shared" si="95"/>
        <v>1.1647335864684565</v>
      </c>
    </row>
    <row r="1484" spans="1:15" x14ac:dyDescent="0.25">
      <c r="A1484" t="s">
        <v>7221</v>
      </c>
      <c r="B1484" t="s">
        <v>2973</v>
      </c>
      <c r="C1484" s="3" t="s">
        <v>2974</v>
      </c>
      <c r="D1484" s="24">
        <v>0.152285</v>
      </c>
      <c r="E1484" s="25">
        <v>9.2360000000000007</v>
      </c>
      <c r="F1484" s="25">
        <v>8.9169999999999998</v>
      </c>
      <c r="G1484" s="26">
        <v>0.31840000000000002</v>
      </c>
      <c r="H1484" s="27">
        <v>0.19420000000000001</v>
      </c>
      <c r="I1484" s="26">
        <v>1.639</v>
      </c>
      <c r="J1484" s="28">
        <v>6</v>
      </c>
      <c r="K1484" s="27">
        <v>0.283026</v>
      </c>
      <c r="L1484" s="29">
        <f t="shared" si="92"/>
        <v>0.54817366646205867</v>
      </c>
      <c r="M1484" s="29">
        <f t="shared" si="93"/>
        <v>0.31900000000000023</v>
      </c>
      <c r="N1484" s="30">
        <f t="shared" si="94"/>
        <v>0.81734287235700731</v>
      </c>
      <c r="O1484" s="31">
        <f t="shared" si="95"/>
        <v>1.2474655719140459</v>
      </c>
    </row>
    <row r="1485" spans="1:15" x14ac:dyDescent="0.25">
      <c r="A1485" t="s">
        <v>7222</v>
      </c>
      <c r="B1485" t="s">
        <v>2967</v>
      </c>
      <c r="C1485" s="3" t="s">
        <v>2968</v>
      </c>
      <c r="D1485" s="24">
        <v>0.15199099999999999</v>
      </c>
      <c r="E1485" s="25">
        <v>7.5949999999999998</v>
      </c>
      <c r="F1485" s="25">
        <v>7.9130000000000003</v>
      </c>
      <c r="G1485" s="26">
        <v>-0.31859999999999999</v>
      </c>
      <c r="H1485" s="27">
        <v>0.19420000000000001</v>
      </c>
      <c r="I1485" s="26">
        <v>1.641</v>
      </c>
      <c r="J1485" s="28">
        <v>6</v>
      </c>
      <c r="K1485" s="27">
        <v>0.283026</v>
      </c>
      <c r="L1485" s="29">
        <f t="shared" si="92"/>
        <v>0.54817366646205867</v>
      </c>
      <c r="M1485" s="29">
        <f t="shared" si="93"/>
        <v>-0.31800000000000012</v>
      </c>
      <c r="N1485" s="30">
        <f t="shared" si="94"/>
        <v>0.81818212762140052</v>
      </c>
      <c r="O1485" s="31">
        <f t="shared" si="95"/>
        <v>0.80218116635248626</v>
      </c>
    </row>
    <row r="1486" spans="1:15" x14ac:dyDescent="0.25">
      <c r="A1486" t="s">
        <v>7223</v>
      </c>
      <c r="B1486" t="s">
        <v>2975</v>
      </c>
      <c r="C1486" s="3" t="s">
        <v>2976</v>
      </c>
      <c r="D1486" s="24">
        <v>0.15229300000000001</v>
      </c>
      <c r="E1486" s="25">
        <v>9.7609999999999992</v>
      </c>
      <c r="F1486" s="25">
        <v>9.3460000000000001</v>
      </c>
      <c r="G1486" s="26">
        <v>0.41560000000000002</v>
      </c>
      <c r="H1486" s="27">
        <v>0.25359999999999999</v>
      </c>
      <c r="I1486" s="26">
        <v>1.639</v>
      </c>
      <c r="J1486" s="28">
        <v>6</v>
      </c>
      <c r="K1486" s="27">
        <v>0.283026</v>
      </c>
      <c r="L1486" s="29">
        <f t="shared" si="92"/>
        <v>0.54817366646205867</v>
      </c>
      <c r="M1486" s="29">
        <f t="shared" si="93"/>
        <v>0.4149999999999987</v>
      </c>
      <c r="N1486" s="30">
        <f t="shared" si="94"/>
        <v>0.81732005812974184</v>
      </c>
      <c r="O1486" s="31">
        <f t="shared" si="95"/>
        <v>1.3332986770911974</v>
      </c>
    </row>
    <row r="1487" spans="1:15" x14ac:dyDescent="0.25">
      <c r="A1487" t="s">
        <v>7224</v>
      </c>
      <c r="B1487" t="s">
        <v>2969</v>
      </c>
      <c r="C1487" s="3" t="s">
        <v>2970</v>
      </c>
      <c r="D1487" s="24">
        <v>0.15216399999999999</v>
      </c>
      <c r="E1487" s="25">
        <v>13.65</v>
      </c>
      <c r="F1487" s="25">
        <v>13.86</v>
      </c>
      <c r="G1487" s="26">
        <v>-0.20269999999999999</v>
      </c>
      <c r="H1487" s="27">
        <v>0.1236</v>
      </c>
      <c r="I1487" s="26">
        <v>1.64</v>
      </c>
      <c r="J1487" s="28">
        <v>6</v>
      </c>
      <c r="K1487" s="27">
        <v>0.283026</v>
      </c>
      <c r="L1487" s="29">
        <f t="shared" si="92"/>
        <v>0.54817366646205867</v>
      </c>
      <c r="M1487" s="29">
        <f t="shared" si="93"/>
        <v>-0.2099999999999991</v>
      </c>
      <c r="N1487" s="30">
        <f t="shared" si="94"/>
        <v>0.81768808377223401</v>
      </c>
      <c r="O1487" s="31">
        <f t="shared" si="95"/>
        <v>0.86453723130786575</v>
      </c>
    </row>
    <row r="1488" spans="1:15" x14ac:dyDescent="0.25">
      <c r="A1488" t="s">
        <v>7225</v>
      </c>
      <c r="B1488" t="s">
        <v>2965</v>
      </c>
      <c r="C1488" s="3" t="s">
        <v>2966</v>
      </c>
      <c r="D1488" s="24">
        <v>0.15181700000000001</v>
      </c>
      <c r="E1488" s="25">
        <v>7.601</v>
      </c>
      <c r="F1488" s="25">
        <v>7.3579999999999997</v>
      </c>
      <c r="G1488" s="26">
        <v>0.2424</v>
      </c>
      <c r="H1488" s="27">
        <v>0.14760000000000001</v>
      </c>
      <c r="I1488" s="26">
        <v>1.641</v>
      </c>
      <c r="J1488" s="28">
        <v>6</v>
      </c>
      <c r="K1488" s="27">
        <v>0.283026</v>
      </c>
      <c r="L1488" s="29">
        <f t="shared" si="92"/>
        <v>0.54817366646205867</v>
      </c>
      <c r="M1488" s="29">
        <f t="shared" si="93"/>
        <v>0.24300000000000022</v>
      </c>
      <c r="N1488" s="30">
        <f t="shared" si="94"/>
        <v>0.8186795947592882</v>
      </c>
      <c r="O1488" s="31">
        <f t="shared" si="95"/>
        <v>1.1834510217525713</v>
      </c>
    </row>
    <row r="1489" spans="1:15" x14ac:dyDescent="0.25">
      <c r="A1489" t="s">
        <v>7226</v>
      </c>
      <c r="B1489" t="s">
        <v>2979</v>
      </c>
      <c r="C1489" s="3" t="s">
        <v>2980</v>
      </c>
      <c r="D1489" s="24">
        <v>0.15347</v>
      </c>
      <c r="E1489" s="25">
        <v>7.8929999999999998</v>
      </c>
      <c r="F1489" s="25">
        <v>8.1110000000000007</v>
      </c>
      <c r="G1489" s="26">
        <v>-0.21859999999999999</v>
      </c>
      <c r="H1489" s="27">
        <v>0.1338</v>
      </c>
      <c r="I1489" s="26">
        <v>1.6339999999999999</v>
      </c>
      <c r="J1489" s="28">
        <v>6</v>
      </c>
      <c r="K1489" s="27">
        <v>0.28490500000000002</v>
      </c>
      <c r="L1489" s="29">
        <f t="shared" si="92"/>
        <v>0.54529992895162505</v>
      </c>
      <c r="M1489" s="29">
        <f t="shared" si="93"/>
        <v>-0.21800000000000128</v>
      </c>
      <c r="N1489" s="30">
        <f t="shared" si="94"/>
        <v>0.81397650688255374</v>
      </c>
      <c r="O1489" s="31">
        <f t="shared" si="95"/>
        <v>0.85975648624300571</v>
      </c>
    </row>
    <row r="1490" spans="1:15" x14ac:dyDescent="0.25">
      <c r="A1490" t="s">
        <v>7227</v>
      </c>
      <c r="B1490" t="s">
        <v>2983</v>
      </c>
      <c r="C1490" s="3" t="s">
        <v>2984</v>
      </c>
      <c r="D1490" s="24">
        <v>0.154784</v>
      </c>
      <c r="E1490" s="25">
        <v>9.4570000000000007</v>
      </c>
      <c r="F1490" s="25">
        <v>9.2759999999999998</v>
      </c>
      <c r="G1490" s="26">
        <v>0.18090000000000001</v>
      </c>
      <c r="H1490" s="27">
        <v>0.1111</v>
      </c>
      <c r="I1490" s="26">
        <v>1.627</v>
      </c>
      <c r="J1490" s="28">
        <v>6</v>
      </c>
      <c r="K1490" s="27">
        <v>0.28695900000000002</v>
      </c>
      <c r="L1490" s="29">
        <f t="shared" si="92"/>
        <v>0.54218014976684936</v>
      </c>
      <c r="M1490" s="29">
        <f t="shared" si="93"/>
        <v>0.18100000000000116</v>
      </c>
      <c r="N1490" s="30">
        <f t="shared" si="94"/>
        <v>0.81027393429163863</v>
      </c>
      <c r="O1490" s="31">
        <f t="shared" si="95"/>
        <v>1.1336694127784233</v>
      </c>
    </row>
    <row r="1491" spans="1:15" x14ac:dyDescent="0.25">
      <c r="A1491" t="s">
        <v>7228</v>
      </c>
      <c r="B1491" t="s">
        <v>2981</v>
      </c>
      <c r="C1491" s="3" t="s">
        <v>2982</v>
      </c>
      <c r="D1491" s="24">
        <v>0.15475</v>
      </c>
      <c r="E1491" s="25">
        <v>8.36</v>
      </c>
      <c r="F1491" s="25">
        <v>8.1199999999999992</v>
      </c>
      <c r="G1491" s="26">
        <v>0.24010000000000001</v>
      </c>
      <c r="H1491" s="27">
        <v>0.14749999999999999</v>
      </c>
      <c r="I1491" s="26">
        <v>1.6279999999999999</v>
      </c>
      <c r="J1491" s="28">
        <v>6</v>
      </c>
      <c r="K1491" s="27">
        <v>0.28695900000000002</v>
      </c>
      <c r="L1491" s="29">
        <f t="shared" si="92"/>
        <v>0.54218014976684936</v>
      </c>
      <c r="M1491" s="29">
        <f t="shared" si="93"/>
        <v>0.24000000000000041</v>
      </c>
      <c r="N1491" s="30">
        <f t="shared" si="94"/>
        <v>0.81036934230784441</v>
      </c>
      <c r="O1491" s="31">
        <f t="shared" si="95"/>
        <v>1.1809926614295307</v>
      </c>
    </row>
    <row r="1492" spans="1:15" x14ac:dyDescent="0.25">
      <c r="A1492" t="s">
        <v>7229</v>
      </c>
      <c r="B1492" t="s">
        <v>2985</v>
      </c>
      <c r="C1492" s="3" t="s">
        <v>2986</v>
      </c>
      <c r="D1492" s="24">
        <v>0.15517800000000001</v>
      </c>
      <c r="E1492" s="25">
        <v>10.57</v>
      </c>
      <c r="F1492" s="25">
        <v>10.23</v>
      </c>
      <c r="G1492" s="26">
        <v>0.34050000000000002</v>
      </c>
      <c r="H1492" s="27">
        <v>0.20949999999999999</v>
      </c>
      <c r="I1492" s="26">
        <v>1.6259999999999999</v>
      </c>
      <c r="J1492" s="28">
        <v>6</v>
      </c>
      <c r="K1492" s="27">
        <v>0.28749599999999997</v>
      </c>
      <c r="L1492" s="29">
        <f t="shared" si="92"/>
        <v>0.54136819337439401</v>
      </c>
      <c r="M1492" s="29">
        <f t="shared" si="93"/>
        <v>0.34000000000000025</v>
      </c>
      <c r="N1492" s="30">
        <f t="shared" si="94"/>
        <v>0.8091698498036799</v>
      </c>
      <c r="O1492" s="31">
        <f t="shared" si="95"/>
        <v>1.2657565939702802</v>
      </c>
    </row>
    <row r="1493" spans="1:15" x14ac:dyDescent="0.25">
      <c r="A1493" t="s">
        <v>7230</v>
      </c>
      <c r="B1493" t="s">
        <v>2987</v>
      </c>
      <c r="C1493" s="3" t="s">
        <v>2988</v>
      </c>
      <c r="D1493" s="24">
        <v>0.155919</v>
      </c>
      <c r="E1493" s="25">
        <v>9.7040000000000006</v>
      </c>
      <c r="F1493" s="25">
        <v>9.4749999999999996</v>
      </c>
      <c r="G1493" s="26">
        <v>0.2283</v>
      </c>
      <c r="H1493" s="27">
        <v>0.14069999999999999</v>
      </c>
      <c r="I1493" s="26">
        <v>1.6220000000000001</v>
      </c>
      <c r="J1493" s="28">
        <v>6</v>
      </c>
      <c r="K1493" s="27">
        <v>0.28867500000000001</v>
      </c>
      <c r="L1493" s="29">
        <f t="shared" si="92"/>
        <v>0.53959082551370896</v>
      </c>
      <c r="M1493" s="29">
        <f t="shared" si="93"/>
        <v>0.22900000000000084</v>
      </c>
      <c r="N1493" s="30">
        <f t="shared" si="94"/>
        <v>0.80710095926674708</v>
      </c>
      <c r="O1493" s="31">
        <f t="shared" si="95"/>
        <v>1.1720222836745144</v>
      </c>
    </row>
    <row r="1494" spans="1:15" x14ac:dyDescent="0.25">
      <c r="A1494" t="s">
        <v>7231</v>
      </c>
      <c r="B1494" t="s">
        <v>2989</v>
      </c>
      <c r="C1494" s="3" t="s">
        <v>2990</v>
      </c>
      <c r="D1494" s="24">
        <v>0.15646299999999999</v>
      </c>
      <c r="E1494" s="25">
        <v>9.6120000000000001</v>
      </c>
      <c r="F1494" s="25">
        <v>9.4429999999999996</v>
      </c>
      <c r="G1494" s="26">
        <v>0.16980000000000001</v>
      </c>
      <c r="H1494" s="27">
        <v>0.1048</v>
      </c>
      <c r="I1494" s="26">
        <v>1.62</v>
      </c>
      <c r="J1494" s="28">
        <v>6</v>
      </c>
      <c r="K1494" s="27">
        <v>0.28948800000000002</v>
      </c>
      <c r="L1494" s="29">
        <f t="shared" si="92"/>
        <v>0.53836943415345984</v>
      </c>
      <c r="M1494" s="29">
        <f t="shared" si="93"/>
        <v>0.16900000000000093</v>
      </c>
      <c r="N1494" s="30">
        <f t="shared" si="94"/>
        <v>0.80558834690761505</v>
      </c>
      <c r="O1494" s="31">
        <f t="shared" si="95"/>
        <v>1.1242789237786184</v>
      </c>
    </row>
    <row r="1495" spans="1:15" x14ac:dyDescent="0.25">
      <c r="A1495" t="s">
        <v>7232</v>
      </c>
      <c r="B1495" t="s">
        <v>2991</v>
      </c>
      <c r="C1495" s="3" t="s">
        <v>2992</v>
      </c>
      <c r="D1495" s="24">
        <v>0.156699</v>
      </c>
      <c r="E1495" s="25">
        <v>10.78</v>
      </c>
      <c r="F1495" s="25">
        <v>11</v>
      </c>
      <c r="G1495" s="26">
        <v>-0.21740000000000001</v>
      </c>
      <c r="H1495" s="27">
        <v>0.1343</v>
      </c>
      <c r="I1495" s="26">
        <v>1.6180000000000001</v>
      </c>
      <c r="J1495" s="28">
        <v>6</v>
      </c>
      <c r="K1495" s="27">
        <v>0.28967199999999999</v>
      </c>
      <c r="L1495" s="29">
        <f t="shared" si="92"/>
        <v>0.53809348212860064</v>
      </c>
      <c r="M1495" s="29">
        <f t="shared" si="93"/>
        <v>-0.22000000000000061</v>
      </c>
      <c r="N1495" s="30">
        <f t="shared" si="94"/>
        <v>0.80493377504300934</v>
      </c>
      <c r="O1495" s="31">
        <f t="shared" si="95"/>
        <v>0.8585654364377534</v>
      </c>
    </row>
    <row r="1496" spans="1:15" x14ac:dyDescent="0.25">
      <c r="A1496" t="s">
        <v>7233</v>
      </c>
      <c r="B1496" t="s">
        <v>2999</v>
      </c>
      <c r="C1496" s="3" t="s">
        <v>3000</v>
      </c>
      <c r="D1496" s="24">
        <v>0.157135</v>
      </c>
      <c r="E1496" s="25">
        <v>8.4169999999999998</v>
      </c>
      <c r="F1496" s="25">
        <v>8.0619999999999994</v>
      </c>
      <c r="G1496" s="26">
        <v>0.3553</v>
      </c>
      <c r="H1496" s="27">
        <v>0.2198</v>
      </c>
      <c r="I1496" s="26">
        <v>1.6160000000000001</v>
      </c>
      <c r="J1496" s="28">
        <v>6</v>
      </c>
      <c r="K1496" s="27">
        <v>0.28967199999999999</v>
      </c>
      <c r="L1496" s="29">
        <f t="shared" si="92"/>
        <v>0.53809348212860064</v>
      </c>
      <c r="M1496" s="29">
        <f t="shared" si="93"/>
        <v>0.3550000000000002</v>
      </c>
      <c r="N1496" s="30">
        <f t="shared" si="94"/>
        <v>0.80372707012301314</v>
      </c>
      <c r="O1496" s="31">
        <f t="shared" si="95"/>
        <v>1.2789855812774289</v>
      </c>
    </row>
    <row r="1497" spans="1:15" x14ac:dyDescent="0.25">
      <c r="A1497" t="s">
        <v>7234</v>
      </c>
      <c r="B1497" t="s">
        <v>2997</v>
      </c>
      <c r="C1497" s="3" t="s">
        <v>2998</v>
      </c>
      <c r="D1497" s="24">
        <v>0.157053</v>
      </c>
      <c r="E1497" s="25">
        <v>12.09</v>
      </c>
      <c r="F1497" s="25">
        <v>12.24</v>
      </c>
      <c r="G1497" s="26">
        <v>-0.1532</v>
      </c>
      <c r="H1497" s="27">
        <v>9.4729999999999995E-2</v>
      </c>
      <c r="I1497" s="26">
        <v>1.617</v>
      </c>
      <c r="J1497" s="28">
        <v>6</v>
      </c>
      <c r="K1497" s="27">
        <v>0.28967199999999999</v>
      </c>
      <c r="L1497" s="29">
        <f t="shared" si="92"/>
        <v>0.53809348212860064</v>
      </c>
      <c r="M1497" s="29">
        <f t="shared" si="93"/>
        <v>-0.15000000000000169</v>
      </c>
      <c r="N1497" s="30">
        <f t="shared" si="94"/>
        <v>0.80395376336606916</v>
      </c>
      <c r="O1497" s="31">
        <f t="shared" si="95"/>
        <v>0.90125046261082919</v>
      </c>
    </row>
    <row r="1498" spans="1:15" x14ac:dyDescent="0.25">
      <c r="A1498" t="s">
        <v>7235</v>
      </c>
      <c r="B1498" t="s">
        <v>3001</v>
      </c>
      <c r="C1498" s="3" t="s">
        <v>3002</v>
      </c>
      <c r="D1498" s="24">
        <v>0.157192</v>
      </c>
      <c r="E1498" s="25">
        <v>8.26</v>
      </c>
      <c r="F1498" s="25">
        <v>7.984</v>
      </c>
      <c r="G1498" s="26">
        <v>0.27629999999999999</v>
      </c>
      <c r="H1498" s="27">
        <v>0.17100000000000001</v>
      </c>
      <c r="I1498" s="26">
        <v>1.6160000000000001</v>
      </c>
      <c r="J1498" s="28">
        <v>6</v>
      </c>
      <c r="K1498" s="27">
        <v>0.28967199999999999</v>
      </c>
      <c r="L1498" s="29">
        <f t="shared" si="92"/>
        <v>0.53809348212860064</v>
      </c>
      <c r="M1498" s="29">
        <f t="shared" si="93"/>
        <v>0.27600000000000025</v>
      </c>
      <c r="N1498" s="30">
        <f t="shared" si="94"/>
        <v>0.80356956035936034</v>
      </c>
      <c r="O1498" s="31">
        <f t="shared" si="95"/>
        <v>1.2108330839505541</v>
      </c>
    </row>
    <row r="1499" spans="1:15" x14ac:dyDescent="0.25">
      <c r="A1499" t="s">
        <v>7236</v>
      </c>
      <c r="B1499" t="s">
        <v>2995</v>
      </c>
      <c r="C1499" s="3" t="s">
        <v>2996</v>
      </c>
      <c r="D1499" s="24">
        <v>0.156917</v>
      </c>
      <c r="E1499" s="25">
        <v>9.4570000000000007</v>
      </c>
      <c r="F1499" s="25">
        <v>9.6180000000000003</v>
      </c>
      <c r="G1499" s="26">
        <v>-0.1608</v>
      </c>
      <c r="H1499" s="27">
        <v>9.9430000000000004E-2</v>
      </c>
      <c r="I1499" s="26">
        <v>1.617</v>
      </c>
      <c r="J1499" s="28">
        <v>6</v>
      </c>
      <c r="K1499" s="27">
        <v>0.28967199999999999</v>
      </c>
      <c r="L1499" s="29">
        <f t="shared" si="92"/>
        <v>0.53809348212860064</v>
      </c>
      <c r="M1499" s="29">
        <f t="shared" si="93"/>
        <v>-0.16099999999999881</v>
      </c>
      <c r="N1499" s="30">
        <f t="shared" si="94"/>
        <v>0.80433000347329531</v>
      </c>
      <c r="O1499" s="31">
        <f t="shared" si="95"/>
        <v>0.89440490178260645</v>
      </c>
    </row>
    <row r="1500" spans="1:15" x14ac:dyDescent="0.25">
      <c r="A1500" t="s">
        <v>7237</v>
      </c>
      <c r="B1500" t="s">
        <v>2993</v>
      </c>
      <c r="C1500" s="3" t="s">
        <v>2994</v>
      </c>
      <c r="D1500" s="24">
        <v>0.15678800000000001</v>
      </c>
      <c r="E1500" s="25">
        <v>7.8929999999999998</v>
      </c>
      <c r="F1500" s="25">
        <v>8.6549999999999994</v>
      </c>
      <c r="G1500" s="26">
        <v>-0.76229999999999998</v>
      </c>
      <c r="H1500" s="27">
        <v>0.47110000000000002</v>
      </c>
      <c r="I1500" s="26">
        <v>1.6180000000000001</v>
      </c>
      <c r="J1500" s="28">
        <v>6</v>
      </c>
      <c r="K1500" s="27">
        <v>0.28967199999999999</v>
      </c>
      <c r="L1500" s="29">
        <f t="shared" si="92"/>
        <v>0.53809348212860064</v>
      </c>
      <c r="M1500" s="29">
        <f t="shared" si="93"/>
        <v>-0.76199999999999957</v>
      </c>
      <c r="N1500" s="30">
        <f t="shared" si="94"/>
        <v>0.80468717974605697</v>
      </c>
      <c r="O1500" s="31">
        <f t="shared" si="95"/>
        <v>0.58967829613060818</v>
      </c>
    </row>
    <row r="1501" spans="1:15" x14ac:dyDescent="0.25">
      <c r="A1501" t="s">
        <v>7238</v>
      </c>
      <c r="B1501" t="s">
        <v>3003</v>
      </c>
      <c r="C1501" s="3" t="s">
        <v>3004</v>
      </c>
      <c r="D1501" s="24">
        <v>0.15732399999999999</v>
      </c>
      <c r="E1501" s="25">
        <v>10.31</v>
      </c>
      <c r="F1501" s="25">
        <v>10.53</v>
      </c>
      <c r="G1501" s="26">
        <v>-0.21390000000000001</v>
      </c>
      <c r="H1501" s="27">
        <v>0.13239999999999999</v>
      </c>
      <c r="I1501" s="26">
        <v>1.6160000000000001</v>
      </c>
      <c r="J1501" s="28">
        <v>6</v>
      </c>
      <c r="K1501" s="27">
        <v>0.28972199999999998</v>
      </c>
      <c r="L1501" s="29">
        <f t="shared" si="92"/>
        <v>0.53801852545266315</v>
      </c>
      <c r="M1501" s="29">
        <f t="shared" si="93"/>
        <v>-0.2199999999999982</v>
      </c>
      <c r="N1501" s="30">
        <f t="shared" si="94"/>
        <v>0.80320502008174577</v>
      </c>
      <c r="O1501" s="31">
        <f t="shared" si="95"/>
        <v>0.85856543643775485</v>
      </c>
    </row>
    <row r="1502" spans="1:15" x14ac:dyDescent="0.25">
      <c r="A1502" t="s">
        <v>7239</v>
      </c>
      <c r="B1502" t="s">
        <v>3009</v>
      </c>
      <c r="C1502" s="3" t="s">
        <v>3010</v>
      </c>
      <c r="D1502" s="24">
        <v>0.157809</v>
      </c>
      <c r="E1502" s="25">
        <v>9.0259999999999998</v>
      </c>
      <c r="F1502" s="25">
        <v>8.5039999999999996</v>
      </c>
      <c r="G1502" s="26">
        <v>0.52190000000000003</v>
      </c>
      <c r="H1502" s="27">
        <v>0.32350000000000001</v>
      </c>
      <c r="I1502" s="26">
        <v>1.613</v>
      </c>
      <c r="J1502" s="28">
        <v>6</v>
      </c>
      <c r="K1502" s="27">
        <v>0.28986600000000001</v>
      </c>
      <c r="L1502" s="29">
        <f t="shared" si="92"/>
        <v>0.53780272247992778</v>
      </c>
      <c r="M1502" s="29">
        <f t="shared" si="93"/>
        <v>0.52200000000000046</v>
      </c>
      <c r="N1502" s="30">
        <f t="shared" si="94"/>
        <v>0.80186823218567349</v>
      </c>
      <c r="O1502" s="31">
        <f t="shared" si="95"/>
        <v>1.4359445106234359</v>
      </c>
    </row>
    <row r="1503" spans="1:15" x14ac:dyDescent="0.25">
      <c r="A1503" t="s">
        <v>7240</v>
      </c>
      <c r="B1503" t="s">
        <v>3005</v>
      </c>
      <c r="C1503" s="3" t="s">
        <v>3006</v>
      </c>
      <c r="D1503" s="24">
        <v>0.157528</v>
      </c>
      <c r="E1503" s="25">
        <v>8.3149999999999995</v>
      </c>
      <c r="F1503" s="25">
        <v>8.2409999999999997</v>
      </c>
      <c r="G1503" s="26">
        <v>7.4450000000000002E-2</v>
      </c>
      <c r="H1503" s="27">
        <v>4.6109999999999998E-2</v>
      </c>
      <c r="I1503" s="26">
        <v>1.615</v>
      </c>
      <c r="J1503" s="28">
        <v>6</v>
      </c>
      <c r="K1503" s="27">
        <v>0.28986600000000001</v>
      </c>
      <c r="L1503" s="29">
        <f t="shared" si="92"/>
        <v>0.53780272247992778</v>
      </c>
      <c r="M1503" s="29">
        <f t="shared" si="93"/>
        <v>7.4000000000000773E-2</v>
      </c>
      <c r="N1503" s="30">
        <f t="shared" si="94"/>
        <v>0.80264224082859847</v>
      </c>
      <c r="O1503" s="31">
        <f t="shared" si="95"/>
        <v>1.0526311547094391</v>
      </c>
    </row>
    <row r="1504" spans="1:15" x14ac:dyDescent="0.25">
      <c r="A1504" t="s">
        <v>7241</v>
      </c>
      <c r="B1504" t="s">
        <v>3011</v>
      </c>
      <c r="C1504" s="3" t="s">
        <v>3012</v>
      </c>
      <c r="D1504" s="24">
        <v>0.15782099999999999</v>
      </c>
      <c r="E1504" s="25">
        <v>9.8350000000000009</v>
      </c>
      <c r="F1504" s="25">
        <v>9.9770000000000003</v>
      </c>
      <c r="G1504" s="26">
        <v>-0.1424</v>
      </c>
      <c r="H1504" s="27">
        <v>8.8289999999999993E-2</v>
      </c>
      <c r="I1504" s="26">
        <v>1.613</v>
      </c>
      <c r="J1504" s="28">
        <v>6</v>
      </c>
      <c r="K1504" s="27">
        <v>0.28986600000000001</v>
      </c>
      <c r="L1504" s="29">
        <f t="shared" si="92"/>
        <v>0.53780272247992778</v>
      </c>
      <c r="M1504" s="29">
        <f t="shared" si="93"/>
        <v>-0.14199999999999988</v>
      </c>
      <c r="N1504" s="30">
        <f t="shared" si="94"/>
        <v>0.80183520912838901</v>
      </c>
      <c r="O1504" s="31">
        <f t="shared" si="95"/>
        <v>0.90626193826733448</v>
      </c>
    </row>
    <row r="1505" spans="1:15" x14ac:dyDescent="0.25">
      <c r="A1505" t="s">
        <v>7242</v>
      </c>
      <c r="B1505" t="s">
        <v>3007</v>
      </c>
      <c r="C1505" s="3" t="s">
        <v>3008</v>
      </c>
      <c r="D1505" s="24">
        <v>0.15768699999999999</v>
      </c>
      <c r="E1505" s="25">
        <v>13.38</v>
      </c>
      <c r="F1505" s="25">
        <v>13.65</v>
      </c>
      <c r="G1505" s="26">
        <v>-0.27329999999999999</v>
      </c>
      <c r="H1505" s="27">
        <v>0.16930000000000001</v>
      </c>
      <c r="I1505" s="26">
        <v>1.6140000000000001</v>
      </c>
      <c r="J1505" s="28">
        <v>6</v>
      </c>
      <c r="K1505" s="27">
        <v>0.28986600000000001</v>
      </c>
      <c r="L1505" s="29">
        <f t="shared" si="92"/>
        <v>0.53780272247992778</v>
      </c>
      <c r="M1505" s="29">
        <f t="shared" si="93"/>
        <v>-0.26999999999999891</v>
      </c>
      <c r="N1505" s="30">
        <f t="shared" si="94"/>
        <v>0.80220410921380136</v>
      </c>
      <c r="O1505" s="31">
        <f t="shared" si="95"/>
        <v>0.82931954581444234</v>
      </c>
    </row>
    <row r="1506" spans="1:15" x14ac:dyDescent="0.25">
      <c r="A1506" t="s">
        <v>7243</v>
      </c>
      <c r="B1506" t="s">
        <v>3013</v>
      </c>
      <c r="C1506" s="3" t="s">
        <v>3014</v>
      </c>
      <c r="D1506" s="24">
        <v>0.15832299999999999</v>
      </c>
      <c r="E1506" s="25">
        <v>8.8219999999999992</v>
      </c>
      <c r="F1506" s="25">
        <v>8.4429999999999996</v>
      </c>
      <c r="G1506" s="26">
        <v>0.37869999999999998</v>
      </c>
      <c r="H1506" s="27">
        <v>0.2351</v>
      </c>
      <c r="I1506" s="26">
        <v>1.611</v>
      </c>
      <c r="J1506" s="28">
        <v>6</v>
      </c>
      <c r="K1506" s="27">
        <v>0.29059400000000002</v>
      </c>
      <c r="L1506" s="29">
        <f t="shared" si="92"/>
        <v>0.53671335698153588</v>
      </c>
      <c r="M1506" s="29">
        <f t="shared" si="93"/>
        <v>0.37900000000000023</v>
      </c>
      <c r="N1506" s="30">
        <f t="shared" si="94"/>
        <v>0.80045598944907226</v>
      </c>
      <c r="O1506" s="31">
        <f t="shared" si="95"/>
        <v>1.3004401465484805</v>
      </c>
    </row>
    <row r="1507" spans="1:15" x14ac:dyDescent="0.25">
      <c r="A1507" t="s">
        <v>7244</v>
      </c>
      <c r="B1507" t="s">
        <v>3015</v>
      </c>
      <c r="C1507" s="3" t="s">
        <v>3016</v>
      </c>
      <c r="D1507" s="24">
        <v>0.15894800000000001</v>
      </c>
      <c r="E1507" s="25">
        <v>9.1969999999999992</v>
      </c>
      <c r="F1507" s="25">
        <v>8.8569999999999993</v>
      </c>
      <c r="G1507" s="26">
        <v>0.33929999999999999</v>
      </c>
      <c r="H1507" s="27">
        <v>0.21099999999999999</v>
      </c>
      <c r="I1507" s="26">
        <v>1.6080000000000001</v>
      </c>
      <c r="J1507" s="28">
        <v>6</v>
      </c>
      <c r="K1507" s="27">
        <v>0.29127399999999998</v>
      </c>
      <c r="L1507" s="29">
        <f t="shared" si="92"/>
        <v>0.53569828008389553</v>
      </c>
      <c r="M1507" s="29">
        <f t="shared" si="93"/>
        <v>0.33999999999999897</v>
      </c>
      <c r="N1507" s="30">
        <f t="shared" si="94"/>
        <v>0.79874493232566868</v>
      </c>
      <c r="O1507" s="31">
        <f t="shared" si="95"/>
        <v>1.2657565939702791</v>
      </c>
    </row>
    <row r="1508" spans="1:15" x14ac:dyDescent="0.25">
      <c r="A1508" t="s">
        <v>7245</v>
      </c>
      <c r="B1508" t="s">
        <v>3017</v>
      </c>
      <c r="C1508" s="3" t="s">
        <v>3018</v>
      </c>
      <c r="D1508" s="24">
        <v>0.15898100000000001</v>
      </c>
      <c r="E1508" s="25">
        <v>11</v>
      </c>
      <c r="F1508" s="25">
        <v>11.17</v>
      </c>
      <c r="G1508" s="26">
        <v>-0.17510000000000001</v>
      </c>
      <c r="H1508" s="27">
        <v>0.1089</v>
      </c>
      <c r="I1508" s="26">
        <v>1.6080000000000001</v>
      </c>
      <c r="J1508" s="28">
        <v>6</v>
      </c>
      <c r="K1508" s="27">
        <v>0.29127399999999998</v>
      </c>
      <c r="L1508" s="29">
        <f t="shared" si="92"/>
        <v>0.53569828008389553</v>
      </c>
      <c r="M1508" s="29">
        <f t="shared" si="93"/>
        <v>-0.16999999999999896</v>
      </c>
      <c r="N1508" s="30">
        <f t="shared" si="94"/>
        <v>0.79865477560543063</v>
      </c>
      <c r="O1508" s="31">
        <f t="shared" si="95"/>
        <v>0.88884268116657084</v>
      </c>
    </row>
    <row r="1509" spans="1:15" x14ac:dyDescent="0.25">
      <c r="A1509" t="s">
        <v>7246</v>
      </c>
      <c r="B1509" t="s">
        <v>3019</v>
      </c>
      <c r="C1509" s="3" t="s">
        <v>3020</v>
      </c>
      <c r="D1509" s="24">
        <v>0.15901000000000001</v>
      </c>
      <c r="E1509" s="25">
        <v>12.12</v>
      </c>
      <c r="F1509" s="25">
        <v>12.57</v>
      </c>
      <c r="G1509" s="26">
        <v>-0.45429999999999998</v>
      </c>
      <c r="H1509" s="27">
        <v>0.28249999999999997</v>
      </c>
      <c r="I1509" s="26">
        <v>1.6080000000000001</v>
      </c>
      <c r="J1509" s="28">
        <v>6</v>
      </c>
      <c r="K1509" s="27">
        <v>0.29127399999999998</v>
      </c>
      <c r="L1509" s="29">
        <f t="shared" si="92"/>
        <v>0.53569828008389553</v>
      </c>
      <c r="M1509" s="29">
        <f t="shared" si="93"/>
        <v>-0.4500000000000009</v>
      </c>
      <c r="N1509" s="30">
        <f t="shared" si="94"/>
        <v>0.7985755624200882</v>
      </c>
      <c r="O1509" s="31">
        <f t="shared" si="95"/>
        <v>0.73204284797281227</v>
      </c>
    </row>
    <row r="1510" spans="1:15" x14ac:dyDescent="0.25">
      <c r="A1510" t="s">
        <v>7247</v>
      </c>
      <c r="B1510" t="s">
        <v>3025</v>
      </c>
      <c r="C1510" s="3" t="s">
        <v>3026</v>
      </c>
      <c r="D1510" s="24">
        <v>0.16015399999999999</v>
      </c>
      <c r="E1510" s="25">
        <v>9.6679999999999993</v>
      </c>
      <c r="F1510" s="25">
        <v>9.4079999999999995</v>
      </c>
      <c r="G1510" s="26">
        <v>0.2591</v>
      </c>
      <c r="H1510" s="27">
        <v>0.16170000000000001</v>
      </c>
      <c r="I1510" s="26">
        <v>1.603</v>
      </c>
      <c r="J1510" s="28">
        <v>6</v>
      </c>
      <c r="K1510" s="27">
        <v>0.29183999999999999</v>
      </c>
      <c r="L1510" s="29">
        <f t="shared" si="92"/>
        <v>0.53485518335167781</v>
      </c>
      <c r="M1510" s="29">
        <f t="shared" si="93"/>
        <v>0.25999999999999968</v>
      </c>
      <c r="N1510" s="30">
        <f t="shared" si="94"/>
        <v>0.7954622099428158</v>
      </c>
      <c r="O1510" s="31">
        <f t="shared" si="95"/>
        <v>1.1974787046189284</v>
      </c>
    </row>
    <row r="1511" spans="1:15" x14ac:dyDescent="0.25">
      <c r="A1511" t="s">
        <v>7248</v>
      </c>
      <c r="B1511" t="s">
        <v>3045</v>
      </c>
      <c r="C1511" s="3" t="s">
        <v>3046</v>
      </c>
      <c r="D1511" s="24">
        <v>0.16100400000000001</v>
      </c>
      <c r="E1511" s="25">
        <v>14.01</v>
      </c>
      <c r="F1511" s="25">
        <v>14.21</v>
      </c>
      <c r="G1511" s="26">
        <v>-0.20050000000000001</v>
      </c>
      <c r="H1511" s="27">
        <v>0.12540000000000001</v>
      </c>
      <c r="I1511" s="26">
        <v>1.599</v>
      </c>
      <c r="J1511" s="28">
        <v>6</v>
      </c>
      <c r="K1511" s="27">
        <v>0.29183999999999999</v>
      </c>
      <c r="L1511" s="29">
        <f t="shared" si="92"/>
        <v>0.53485518335167781</v>
      </c>
      <c r="M1511" s="29">
        <f t="shared" si="93"/>
        <v>-0.20000000000000279</v>
      </c>
      <c r="N1511" s="30">
        <f t="shared" si="94"/>
        <v>0.79316333417716811</v>
      </c>
      <c r="O1511" s="31">
        <f t="shared" si="95"/>
        <v>0.87055056329612246</v>
      </c>
    </row>
    <row r="1512" spans="1:15" x14ac:dyDescent="0.25">
      <c r="A1512" t="s">
        <v>7249</v>
      </c>
      <c r="B1512" t="s">
        <v>3047</v>
      </c>
      <c r="C1512" s="3" t="s">
        <v>3048</v>
      </c>
      <c r="D1512" s="24">
        <v>0.16100400000000001</v>
      </c>
      <c r="E1512" s="25">
        <v>14.01</v>
      </c>
      <c r="F1512" s="25">
        <v>14.21</v>
      </c>
      <c r="G1512" s="26">
        <v>-0.20050000000000001</v>
      </c>
      <c r="H1512" s="27">
        <v>0.12540000000000001</v>
      </c>
      <c r="I1512" s="26">
        <v>1.599</v>
      </c>
      <c r="J1512" s="28">
        <v>6</v>
      </c>
      <c r="K1512" s="27">
        <v>0.29183999999999999</v>
      </c>
      <c r="L1512" s="29">
        <f t="shared" si="92"/>
        <v>0.53485518335167781</v>
      </c>
      <c r="M1512" s="29">
        <f t="shared" si="93"/>
        <v>-0.20000000000000279</v>
      </c>
      <c r="N1512" s="30">
        <f t="shared" si="94"/>
        <v>0.79316333417716811</v>
      </c>
      <c r="O1512" s="31">
        <f t="shared" si="95"/>
        <v>0.87055056329612246</v>
      </c>
    </row>
    <row r="1513" spans="1:15" x14ac:dyDescent="0.25">
      <c r="A1513" t="s">
        <v>7250</v>
      </c>
      <c r="B1513" t="s">
        <v>3023</v>
      </c>
      <c r="C1513" s="3" t="s">
        <v>3024</v>
      </c>
      <c r="D1513" s="24">
        <v>0.159743</v>
      </c>
      <c r="E1513" s="25">
        <v>13.1</v>
      </c>
      <c r="F1513" s="25">
        <v>12.98</v>
      </c>
      <c r="G1513" s="26">
        <v>0.11799999999999999</v>
      </c>
      <c r="H1513" s="27">
        <v>7.356E-2</v>
      </c>
      <c r="I1513" s="26">
        <v>1.6040000000000001</v>
      </c>
      <c r="J1513" s="28">
        <v>6</v>
      </c>
      <c r="K1513" s="27">
        <v>0.29183999999999999</v>
      </c>
      <c r="L1513" s="29">
        <f t="shared" si="92"/>
        <v>0.53485518335167781</v>
      </c>
      <c r="M1513" s="29">
        <f t="shared" si="93"/>
        <v>0.11999999999999929</v>
      </c>
      <c r="N1513" s="30">
        <f t="shared" si="94"/>
        <v>0.79657816370465251</v>
      </c>
      <c r="O1513" s="31">
        <f t="shared" si="95"/>
        <v>1.0867348625260576</v>
      </c>
    </row>
    <row r="1514" spans="1:15" x14ac:dyDescent="0.25">
      <c r="A1514" t="s">
        <v>7251</v>
      </c>
      <c r="B1514" t="s">
        <v>3021</v>
      </c>
      <c r="C1514" s="3" t="s">
        <v>3022</v>
      </c>
      <c r="D1514" s="24">
        <v>0.15972500000000001</v>
      </c>
      <c r="E1514" s="25">
        <v>8.6050000000000004</v>
      </c>
      <c r="F1514" s="25">
        <v>8.93</v>
      </c>
      <c r="G1514" s="26">
        <v>-0.32440000000000002</v>
      </c>
      <c r="H1514" s="27">
        <v>0.20219999999999999</v>
      </c>
      <c r="I1514" s="26">
        <v>1.605</v>
      </c>
      <c r="J1514" s="28">
        <v>6</v>
      </c>
      <c r="K1514" s="27">
        <v>0.29183999999999999</v>
      </c>
      <c r="L1514" s="29">
        <f t="shared" si="92"/>
        <v>0.53485518335167781</v>
      </c>
      <c r="M1514" s="29">
        <f t="shared" si="93"/>
        <v>-0.32499999999999907</v>
      </c>
      <c r="N1514" s="30">
        <f t="shared" si="94"/>
        <v>0.79662710319582242</v>
      </c>
      <c r="O1514" s="31">
        <f t="shared" si="95"/>
        <v>0.7982983863566504</v>
      </c>
    </row>
    <row r="1515" spans="1:15" x14ac:dyDescent="0.25">
      <c r="A1515" t="s">
        <v>7252</v>
      </c>
      <c r="B1515" t="s">
        <v>3041</v>
      </c>
      <c r="C1515" s="3" t="s">
        <v>3042</v>
      </c>
      <c r="D1515" s="24">
        <v>0.16100400000000001</v>
      </c>
      <c r="E1515" s="25">
        <v>14.01</v>
      </c>
      <c r="F1515" s="25">
        <v>14.21</v>
      </c>
      <c r="G1515" s="26">
        <v>-0.20050000000000001</v>
      </c>
      <c r="H1515" s="27">
        <v>0.12540000000000001</v>
      </c>
      <c r="I1515" s="26">
        <v>1.599</v>
      </c>
      <c r="J1515" s="28">
        <v>6</v>
      </c>
      <c r="K1515" s="27">
        <v>0.29183999999999999</v>
      </c>
      <c r="L1515" s="29">
        <f t="shared" si="92"/>
        <v>0.53485518335167781</v>
      </c>
      <c r="M1515" s="29">
        <f t="shared" si="93"/>
        <v>-0.20000000000000279</v>
      </c>
      <c r="N1515" s="30">
        <f t="shared" si="94"/>
        <v>0.79316333417716811</v>
      </c>
      <c r="O1515" s="31">
        <f t="shared" si="95"/>
        <v>0.87055056329612246</v>
      </c>
    </row>
    <row r="1516" spans="1:15" x14ac:dyDescent="0.25">
      <c r="A1516" t="s">
        <v>7253</v>
      </c>
      <c r="B1516" t="s">
        <v>3043</v>
      </c>
      <c r="C1516" s="3" t="s">
        <v>3044</v>
      </c>
      <c r="D1516" s="24">
        <v>0.16100400000000001</v>
      </c>
      <c r="E1516" s="25">
        <v>14.01</v>
      </c>
      <c r="F1516" s="25">
        <v>14.21</v>
      </c>
      <c r="G1516" s="26">
        <v>-0.20050000000000001</v>
      </c>
      <c r="H1516" s="27">
        <v>0.12540000000000001</v>
      </c>
      <c r="I1516" s="26">
        <v>1.599</v>
      </c>
      <c r="J1516" s="28">
        <v>6</v>
      </c>
      <c r="K1516" s="27">
        <v>0.29183999999999999</v>
      </c>
      <c r="L1516" s="29">
        <f t="shared" si="92"/>
        <v>0.53485518335167781</v>
      </c>
      <c r="M1516" s="29">
        <f t="shared" si="93"/>
        <v>-0.20000000000000279</v>
      </c>
      <c r="N1516" s="30">
        <f t="shared" si="94"/>
        <v>0.79316333417716811</v>
      </c>
      <c r="O1516" s="31">
        <f t="shared" si="95"/>
        <v>0.87055056329612246</v>
      </c>
    </row>
    <row r="1517" spans="1:15" x14ac:dyDescent="0.25">
      <c r="A1517" t="s">
        <v>7254</v>
      </c>
      <c r="B1517" t="s">
        <v>3031</v>
      </c>
      <c r="C1517" s="3" t="s">
        <v>3032</v>
      </c>
      <c r="D1517" s="24">
        <v>0.160633</v>
      </c>
      <c r="E1517" s="25">
        <v>13.95</v>
      </c>
      <c r="F1517" s="25">
        <v>14.16</v>
      </c>
      <c r="G1517" s="26">
        <v>-0.20649999999999999</v>
      </c>
      <c r="H1517" s="27">
        <v>0.12909999999999999</v>
      </c>
      <c r="I1517" s="26">
        <v>1.6</v>
      </c>
      <c r="J1517" s="28">
        <v>6</v>
      </c>
      <c r="K1517" s="27">
        <v>0.29183999999999999</v>
      </c>
      <c r="L1517" s="29">
        <f t="shared" si="92"/>
        <v>0.53485518335167781</v>
      </c>
      <c r="M1517" s="29">
        <f t="shared" si="93"/>
        <v>-0.21000000000000185</v>
      </c>
      <c r="N1517" s="30">
        <f t="shared" si="94"/>
        <v>0.79416522963225866</v>
      </c>
      <c r="O1517" s="31">
        <f t="shared" si="95"/>
        <v>0.86453723130786408</v>
      </c>
    </row>
    <row r="1518" spans="1:15" x14ac:dyDescent="0.25">
      <c r="A1518" t="s">
        <v>7255</v>
      </c>
      <c r="B1518" t="s">
        <v>3037</v>
      </c>
      <c r="C1518" s="3" t="s">
        <v>3038</v>
      </c>
      <c r="D1518" s="24">
        <v>0.16100400000000001</v>
      </c>
      <c r="E1518" s="25">
        <v>14.01</v>
      </c>
      <c r="F1518" s="25">
        <v>14.21</v>
      </c>
      <c r="G1518" s="26">
        <v>-0.20050000000000001</v>
      </c>
      <c r="H1518" s="27">
        <v>0.12540000000000001</v>
      </c>
      <c r="I1518" s="26">
        <v>1.599</v>
      </c>
      <c r="J1518" s="28">
        <v>6</v>
      </c>
      <c r="K1518" s="27">
        <v>0.29183999999999999</v>
      </c>
      <c r="L1518" s="29">
        <f t="shared" si="92"/>
        <v>0.53485518335167781</v>
      </c>
      <c r="M1518" s="29">
        <f t="shared" si="93"/>
        <v>-0.20000000000000279</v>
      </c>
      <c r="N1518" s="30">
        <f t="shared" si="94"/>
        <v>0.79316333417716811</v>
      </c>
      <c r="O1518" s="31">
        <f t="shared" si="95"/>
        <v>0.87055056329612246</v>
      </c>
    </row>
    <row r="1519" spans="1:15" x14ac:dyDescent="0.25">
      <c r="A1519" t="s">
        <v>7256</v>
      </c>
      <c r="B1519" t="s">
        <v>3035</v>
      </c>
      <c r="C1519" s="3" t="s">
        <v>3036</v>
      </c>
      <c r="D1519" s="24">
        <v>0.16100400000000001</v>
      </c>
      <c r="E1519" s="25">
        <v>14.01</v>
      </c>
      <c r="F1519" s="25">
        <v>14.21</v>
      </c>
      <c r="G1519" s="26">
        <v>-0.20050000000000001</v>
      </c>
      <c r="H1519" s="27">
        <v>0.12540000000000001</v>
      </c>
      <c r="I1519" s="26">
        <v>1.599</v>
      </c>
      <c r="J1519" s="28">
        <v>6</v>
      </c>
      <c r="K1519" s="27">
        <v>0.29183999999999999</v>
      </c>
      <c r="L1519" s="29">
        <f t="shared" si="92"/>
        <v>0.53485518335167781</v>
      </c>
      <c r="M1519" s="29">
        <f t="shared" si="93"/>
        <v>-0.20000000000000279</v>
      </c>
      <c r="N1519" s="30">
        <f t="shared" si="94"/>
        <v>0.79316333417716811</v>
      </c>
      <c r="O1519" s="31">
        <f t="shared" si="95"/>
        <v>0.87055056329612246</v>
      </c>
    </row>
    <row r="1520" spans="1:15" x14ac:dyDescent="0.25">
      <c r="A1520" t="s">
        <v>7257</v>
      </c>
      <c r="B1520" t="s">
        <v>3033</v>
      </c>
      <c r="C1520" s="3" t="s">
        <v>3034</v>
      </c>
      <c r="D1520" s="24">
        <v>0.160633</v>
      </c>
      <c r="E1520" s="25">
        <v>13.95</v>
      </c>
      <c r="F1520" s="25">
        <v>14.16</v>
      </c>
      <c r="G1520" s="26">
        <v>-0.20649999999999999</v>
      </c>
      <c r="H1520" s="27">
        <v>0.12909999999999999</v>
      </c>
      <c r="I1520" s="26">
        <v>1.6</v>
      </c>
      <c r="J1520" s="28">
        <v>6</v>
      </c>
      <c r="K1520" s="27">
        <v>0.29183999999999999</v>
      </c>
      <c r="L1520" s="29">
        <f t="shared" si="92"/>
        <v>0.53485518335167781</v>
      </c>
      <c r="M1520" s="29">
        <f t="shared" si="93"/>
        <v>-0.21000000000000185</v>
      </c>
      <c r="N1520" s="30">
        <f t="shared" si="94"/>
        <v>0.79416522963225866</v>
      </c>
      <c r="O1520" s="31">
        <f t="shared" si="95"/>
        <v>0.86453723130786408</v>
      </c>
    </row>
    <row r="1521" spans="1:15" x14ac:dyDescent="0.25">
      <c r="A1521" t="s">
        <v>7258</v>
      </c>
      <c r="B1521" t="s">
        <v>3039</v>
      </c>
      <c r="C1521" s="3" t="s">
        <v>3040</v>
      </c>
      <c r="D1521" s="24">
        <v>0.16100400000000001</v>
      </c>
      <c r="E1521" s="25">
        <v>14.01</v>
      </c>
      <c r="F1521" s="25">
        <v>14.21</v>
      </c>
      <c r="G1521" s="26">
        <v>-0.20050000000000001</v>
      </c>
      <c r="H1521" s="27">
        <v>0.12540000000000001</v>
      </c>
      <c r="I1521" s="26">
        <v>1.599</v>
      </c>
      <c r="J1521" s="28">
        <v>6</v>
      </c>
      <c r="K1521" s="27">
        <v>0.29183999999999999</v>
      </c>
      <c r="L1521" s="29">
        <f t="shared" si="92"/>
        <v>0.53485518335167781</v>
      </c>
      <c r="M1521" s="29">
        <f t="shared" si="93"/>
        <v>-0.20000000000000279</v>
      </c>
      <c r="N1521" s="30">
        <f t="shared" si="94"/>
        <v>0.79316333417716811</v>
      </c>
      <c r="O1521" s="31">
        <f t="shared" si="95"/>
        <v>0.87055056329612246</v>
      </c>
    </row>
    <row r="1522" spans="1:15" x14ac:dyDescent="0.25">
      <c r="A1522" t="s">
        <v>7259</v>
      </c>
      <c r="B1522" t="s">
        <v>3049</v>
      </c>
      <c r="C1522" s="3" t="s">
        <v>3050</v>
      </c>
      <c r="D1522" s="24">
        <v>0.16100400000000001</v>
      </c>
      <c r="E1522" s="25">
        <v>14.01</v>
      </c>
      <c r="F1522" s="25">
        <v>14.21</v>
      </c>
      <c r="G1522" s="26">
        <v>-0.20050000000000001</v>
      </c>
      <c r="H1522" s="27">
        <v>0.12540000000000001</v>
      </c>
      <c r="I1522" s="26">
        <v>1.599</v>
      </c>
      <c r="J1522" s="28">
        <v>6</v>
      </c>
      <c r="K1522" s="27">
        <v>0.29183999999999999</v>
      </c>
      <c r="L1522" s="29">
        <f t="shared" si="92"/>
        <v>0.53485518335167781</v>
      </c>
      <c r="M1522" s="29">
        <f t="shared" si="93"/>
        <v>-0.20000000000000279</v>
      </c>
      <c r="N1522" s="30">
        <f t="shared" si="94"/>
        <v>0.79316333417716811</v>
      </c>
      <c r="O1522" s="31">
        <f t="shared" si="95"/>
        <v>0.87055056329612246</v>
      </c>
    </row>
    <row r="1523" spans="1:15" x14ac:dyDescent="0.25">
      <c r="A1523" t="s">
        <v>7260</v>
      </c>
      <c r="B1523" t="s">
        <v>3027</v>
      </c>
      <c r="C1523" s="3" t="s">
        <v>3028</v>
      </c>
      <c r="D1523" s="24">
        <v>0.160441</v>
      </c>
      <c r="E1523" s="25">
        <v>8.7050000000000001</v>
      </c>
      <c r="F1523" s="25">
        <v>8.5009999999999994</v>
      </c>
      <c r="G1523" s="26">
        <v>0.2039</v>
      </c>
      <c r="H1523" s="27">
        <v>0.1273</v>
      </c>
      <c r="I1523" s="26">
        <v>1.601</v>
      </c>
      <c r="J1523" s="28">
        <v>6</v>
      </c>
      <c r="K1523" s="27">
        <v>0.29183999999999999</v>
      </c>
      <c r="L1523" s="29">
        <f t="shared" si="92"/>
        <v>0.53485518335167781</v>
      </c>
      <c r="M1523" s="29">
        <f t="shared" si="93"/>
        <v>0.20400000000000049</v>
      </c>
      <c r="N1523" s="30">
        <f t="shared" si="94"/>
        <v>0.79468463980228021</v>
      </c>
      <c r="O1523" s="31">
        <f t="shared" si="95"/>
        <v>1.151887642349358</v>
      </c>
    </row>
    <row r="1524" spans="1:15" x14ac:dyDescent="0.25">
      <c r="A1524" t="s">
        <v>7261</v>
      </c>
      <c r="B1524" t="s">
        <v>3051</v>
      </c>
      <c r="C1524" s="3" t="s">
        <v>3052</v>
      </c>
      <c r="D1524" s="24">
        <v>0.16100900000000001</v>
      </c>
      <c r="E1524" s="25">
        <v>9.9920000000000009</v>
      </c>
      <c r="F1524" s="25">
        <v>9.8420000000000005</v>
      </c>
      <c r="G1524" s="26">
        <v>0.1497</v>
      </c>
      <c r="H1524" s="27">
        <v>9.3630000000000005E-2</v>
      </c>
      <c r="I1524" s="26">
        <v>1.599</v>
      </c>
      <c r="J1524" s="28">
        <v>6</v>
      </c>
      <c r="K1524" s="27">
        <v>0.29183999999999999</v>
      </c>
      <c r="L1524" s="29">
        <f t="shared" si="92"/>
        <v>0.53485518335167781</v>
      </c>
      <c r="M1524" s="29">
        <f t="shared" si="93"/>
        <v>0.15000000000000063</v>
      </c>
      <c r="N1524" s="30">
        <f t="shared" si="94"/>
        <v>0.79314984731539728</v>
      </c>
      <c r="O1524" s="31">
        <f t="shared" si="95"/>
        <v>1.1095694720678455</v>
      </c>
    </row>
    <row r="1525" spans="1:15" x14ac:dyDescent="0.25">
      <c r="A1525" t="s">
        <v>7262</v>
      </c>
      <c r="B1525" t="s">
        <v>3029</v>
      </c>
      <c r="C1525" s="3" t="s">
        <v>3030</v>
      </c>
      <c r="D1525" s="24">
        <v>0.160633</v>
      </c>
      <c r="E1525" s="25">
        <v>13.95</v>
      </c>
      <c r="F1525" s="25">
        <v>14.16</v>
      </c>
      <c r="G1525" s="26">
        <v>-0.20649999999999999</v>
      </c>
      <c r="H1525" s="27">
        <v>0.12909999999999999</v>
      </c>
      <c r="I1525" s="26">
        <v>1.6</v>
      </c>
      <c r="J1525" s="28">
        <v>6</v>
      </c>
      <c r="K1525" s="27">
        <v>0.29183999999999999</v>
      </c>
      <c r="L1525" s="29">
        <f t="shared" si="92"/>
        <v>0.53485518335167781</v>
      </c>
      <c r="M1525" s="29">
        <f t="shared" si="93"/>
        <v>-0.21000000000000185</v>
      </c>
      <c r="N1525" s="30">
        <f t="shared" si="94"/>
        <v>0.79416522963225866</v>
      </c>
      <c r="O1525" s="31">
        <f t="shared" si="95"/>
        <v>0.86453723130786408</v>
      </c>
    </row>
    <row r="1526" spans="1:15" x14ac:dyDescent="0.25">
      <c r="A1526" t="s">
        <v>7263</v>
      </c>
      <c r="B1526" t="s">
        <v>3053</v>
      </c>
      <c r="C1526" s="3" t="s">
        <v>3054</v>
      </c>
      <c r="D1526" s="24">
        <v>0.16117600000000001</v>
      </c>
      <c r="E1526" s="25">
        <v>7.1589999999999998</v>
      </c>
      <c r="F1526" s="25">
        <v>6.5339999999999998</v>
      </c>
      <c r="G1526" s="26">
        <v>0.62539999999999996</v>
      </c>
      <c r="H1526" s="27">
        <v>0.39140000000000003</v>
      </c>
      <c r="I1526" s="26">
        <v>1.5980000000000001</v>
      </c>
      <c r="J1526" s="28">
        <v>6</v>
      </c>
      <c r="K1526" s="27">
        <v>0.29194999999999999</v>
      </c>
      <c r="L1526" s="29">
        <f t="shared" si="92"/>
        <v>0.53469152041269385</v>
      </c>
      <c r="M1526" s="29">
        <f t="shared" si="93"/>
        <v>0.62499999999999933</v>
      </c>
      <c r="N1526" s="30">
        <f t="shared" si="94"/>
        <v>0.79269962657282289</v>
      </c>
      <c r="O1526" s="31">
        <f t="shared" si="95"/>
        <v>1.5422108254079401</v>
      </c>
    </row>
    <row r="1527" spans="1:15" x14ac:dyDescent="0.25">
      <c r="A1527" t="s">
        <v>7264</v>
      </c>
      <c r="B1527" t="s">
        <v>3057</v>
      </c>
      <c r="C1527" s="3" t="s">
        <v>3058</v>
      </c>
      <c r="D1527" s="24">
        <v>0.16155700000000001</v>
      </c>
      <c r="E1527" s="25">
        <v>9.4830000000000005</v>
      </c>
      <c r="F1527" s="25">
        <v>9.68</v>
      </c>
      <c r="G1527" s="26">
        <v>-0.1963</v>
      </c>
      <c r="H1527" s="27">
        <v>0.123</v>
      </c>
      <c r="I1527" s="26">
        <v>1.5960000000000001</v>
      </c>
      <c r="J1527" s="28">
        <v>6</v>
      </c>
      <c r="K1527" s="27">
        <v>0.292078</v>
      </c>
      <c r="L1527" s="29">
        <f t="shared" si="92"/>
        <v>0.53450115387350849</v>
      </c>
      <c r="M1527" s="29">
        <f t="shared" si="93"/>
        <v>-0.19699999999999884</v>
      </c>
      <c r="N1527" s="30">
        <f t="shared" si="94"/>
        <v>0.79167421997062093</v>
      </c>
      <c r="O1527" s="31">
        <f t="shared" si="95"/>
        <v>0.87236270577075925</v>
      </c>
    </row>
    <row r="1528" spans="1:15" x14ac:dyDescent="0.25">
      <c r="A1528" t="s">
        <v>7265</v>
      </c>
      <c r="B1528" t="s">
        <v>3059</v>
      </c>
      <c r="C1528" s="3" t="s">
        <v>3060</v>
      </c>
      <c r="D1528" s="24">
        <v>0.16156300000000001</v>
      </c>
      <c r="E1528" s="25">
        <v>8.5570000000000004</v>
      </c>
      <c r="F1528" s="25">
        <v>8.3209999999999997</v>
      </c>
      <c r="G1528" s="26">
        <v>0.23649999999999999</v>
      </c>
      <c r="H1528" s="27">
        <v>0.1482</v>
      </c>
      <c r="I1528" s="26">
        <v>1.5960000000000001</v>
      </c>
      <c r="J1528" s="28">
        <v>6</v>
      </c>
      <c r="K1528" s="27">
        <v>0.292078</v>
      </c>
      <c r="L1528" s="29">
        <f t="shared" si="92"/>
        <v>0.53450115387350849</v>
      </c>
      <c r="M1528" s="29">
        <f t="shared" si="93"/>
        <v>0.23600000000000004</v>
      </c>
      <c r="N1528" s="30">
        <f t="shared" si="94"/>
        <v>0.79165809118322494</v>
      </c>
      <c r="O1528" s="31">
        <f t="shared" si="95"/>
        <v>1.1777227895949816</v>
      </c>
    </row>
    <row r="1529" spans="1:15" x14ac:dyDescent="0.25">
      <c r="A1529" t="s">
        <v>7266</v>
      </c>
      <c r="B1529" t="s">
        <v>3055</v>
      </c>
      <c r="C1529" s="3" t="s">
        <v>3056</v>
      </c>
      <c r="D1529" s="24">
        <v>0.161519</v>
      </c>
      <c r="E1529" s="25">
        <v>9.9540000000000006</v>
      </c>
      <c r="F1529" s="25">
        <v>10.15</v>
      </c>
      <c r="G1529" s="26">
        <v>-0.2001</v>
      </c>
      <c r="H1529" s="27">
        <v>0.12529999999999999</v>
      </c>
      <c r="I1529" s="26">
        <v>1.5960000000000001</v>
      </c>
      <c r="J1529" s="28">
        <v>6</v>
      </c>
      <c r="K1529" s="27">
        <v>0.292078</v>
      </c>
      <c r="L1529" s="29">
        <f t="shared" si="92"/>
        <v>0.53450115387350849</v>
      </c>
      <c r="M1529" s="29">
        <f t="shared" si="93"/>
        <v>-0.19600000000000098</v>
      </c>
      <c r="N1529" s="30">
        <f t="shared" si="94"/>
        <v>0.79177638286968155</v>
      </c>
      <c r="O1529" s="31">
        <f t="shared" si="95"/>
        <v>0.87296759113376232</v>
      </c>
    </row>
    <row r="1530" spans="1:15" x14ac:dyDescent="0.25">
      <c r="A1530" t="s">
        <v>7267</v>
      </c>
      <c r="B1530" t="s">
        <v>3061</v>
      </c>
      <c r="C1530" s="3" t="s">
        <v>3062</v>
      </c>
      <c r="D1530" s="24">
        <v>0.16176399999999999</v>
      </c>
      <c r="E1530" s="25">
        <v>7.9850000000000003</v>
      </c>
      <c r="F1530" s="25">
        <v>7.2610000000000001</v>
      </c>
      <c r="G1530" s="26">
        <v>0.72360000000000002</v>
      </c>
      <c r="H1530" s="27">
        <v>0.4536</v>
      </c>
      <c r="I1530" s="26">
        <v>1.595</v>
      </c>
      <c r="J1530" s="28">
        <v>6</v>
      </c>
      <c r="K1530" s="27">
        <v>0.29223900000000003</v>
      </c>
      <c r="L1530" s="29">
        <f t="shared" si="92"/>
        <v>0.53426182688710921</v>
      </c>
      <c r="M1530" s="29">
        <f t="shared" si="93"/>
        <v>0.72399999999999998</v>
      </c>
      <c r="N1530" s="30">
        <f t="shared" si="94"/>
        <v>0.79111812265533976</v>
      </c>
      <c r="O1530" s="31">
        <f t="shared" si="95"/>
        <v>1.6517553298714398</v>
      </c>
    </row>
    <row r="1531" spans="1:15" x14ac:dyDescent="0.25">
      <c r="A1531" t="s">
        <v>7268</v>
      </c>
      <c r="B1531" t="s">
        <v>3063</v>
      </c>
      <c r="C1531" s="3" t="s">
        <v>3064</v>
      </c>
      <c r="D1531" s="24">
        <v>0.16186900000000001</v>
      </c>
      <c r="E1531" s="25">
        <v>8.98</v>
      </c>
      <c r="F1531" s="25">
        <v>8.8520000000000003</v>
      </c>
      <c r="G1531" s="26">
        <v>0.12790000000000001</v>
      </c>
      <c r="H1531" s="27">
        <v>8.022E-2</v>
      </c>
      <c r="I1531" s="26">
        <v>1.595</v>
      </c>
      <c r="J1531" s="28">
        <v>6</v>
      </c>
      <c r="K1531" s="27">
        <v>0.29223900000000003</v>
      </c>
      <c r="L1531" s="29">
        <f t="shared" si="92"/>
        <v>0.53426182688710921</v>
      </c>
      <c r="M1531" s="29">
        <f t="shared" si="93"/>
        <v>0.12800000000000036</v>
      </c>
      <c r="N1531" s="30">
        <f t="shared" si="94"/>
        <v>0.79083631627465634</v>
      </c>
      <c r="O1531" s="31">
        <f t="shared" si="95"/>
        <v>1.0927777391009528</v>
      </c>
    </row>
    <row r="1532" spans="1:15" x14ac:dyDescent="0.25">
      <c r="A1532" t="s">
        <v>7269</v>
      </c>
      <c r="B1532" t="s">
        <v>3065</v>
      </c>
      <c r="C1532" s="3" t="s">
        <v>3066</v>
      </c>
      <c r="D1532" s="24">
        <v>0.16197</v>
      </c>
      <c r="E1532" s="25">
        <v>9.4559999999999995</v>
      </c>
      <c r="F1532" s="25">
        <v>9.891</v>
      </c>
      <c r="G1532" s="26">
        <v>-0.43490000000000001</v>
      </c>
      <c r="H1532" s="27">
        <v>0.27279999999999999</v>
      </c>
      <c r="I1532" s="26">
        <v>1.5940000000000001</v>
      </c>
      <c r="J1532" s="28">
        <v>6</v>
      </c>
      <c r="K1532" s="27">
        <v>0.29223900000000003</v>
      </c>
      <c r="L1532" s="29">
        <f t="shared" si="92"/>
        <v>0.53426182688710921</v>
      </c>
      <c r="M1532" s="29">
        <f t="shared" si="93"/>
        <v>-0.43500000000000077</v>
      </c>
      <c r="N1532" s="30">
        <f t="shared" si="94"/>
        <v>0.79056541780909495</v>
      </c>
      <c r="O1532" s="31">
        <f t="shared" si="95"/>
        <v>0.73969375462441833</v>
      </c>
    </row>
    <row r="1533" spans="1:15" x14ac:dyDescent="0.25">
      <c r="A1533" t="s">
        <v>7270</v>
      </c>
      <c r="B1533" t="s">
        <v>3067</v>
      </c>
      <c r="C1533" s="3" t="s">
        <v>3068</v>
      </c>
      <c r="D1533" s="24">
        <v>0.16208800000000001</v>
      </c>
      <c r="E1533" s="25">
        <v>11.27</v>
      </c>
      <c r="F1533" s="25">
        <v>11.39</v>
      </c>
      <c r="G1533" s="26">
        <v>-0.11559999999999999</v>
      </c>
      <c r="H1533" s="27">
        <v>7.2539999999999993E-2</v>
      </c>
      <c r="I1533" s="26">
        <v>1.5940000000000001</v>
      </c>
      <c r="J1533" s="28">
        <v>6</v>
      </c>
      <c r="K1533" s="27">
        <v>0.29226099999999999</v>
      </c>
      <c r="L1533" s="29">
        <f t="shared" si="92"/>
        <v>0.53422913406039807</v>
      </c>
      <c r="M1533" s="29">
        <f t="shared" si="93"/>
        <v>-0.12000000000000088</v>
      </c>
      <c r="N1533" s="30">
        <f t="shared" si="94"/>
        <v>0.790249136457426</v>
      </c>
      <c r="O1533" s="31">
        <f t="shared" si="95"/>
        <v>0.92018765062487451</v>
      </c>
    </row>
    <row r="1534" spans="1:15" x14ac:dyDescent="0.25">
      <c r="A1534" t="s">
        <v>7271</v>
      </c>
      <c r="B1534" t="s">
        <v>3069</v>
      </c>
      <c r="C1534" s="3" t="s">
        <v>3070</v>
      </c>
      <c r="D1534" s="24">
        <v>0.16300400000000001</v>
      </c>
      <c r="E1534" s="25">
        <v>11.7</v>
      </c>
      <c r="F1534" s="25">
        <v>11.98</v>
      </c>
      <c r="G1534" s="26">
        <v>-0.28460000000000002</v>
      </c>
      <c r="H1534" s="27">
        <v>0.17899999999999999</v>
      </c>
      <c r="I1534" s="26">
        <v>1.59</v>
      </c>
      <c r="J1534" s="28">
        <v>6</v>
      </c>
      <c r="K1534" s="27">
        <v>0.29372100000000001</v>
      </c>
      <c r="L1534" s="29">
        <f t="shared" si="92"/>
        <v>0.5320650018664338</v>
      </c>
      <c r="M1534" s="29">
        <f t="shared" si="93"/>
        <v>-0.28000000000000314</v>
      </c>
      <c r="N1534" s="30">
        <f t="shared" si="94"/>
        <v>0.78780173819350896</v>
      </c>
      <c r="O1534" s="31">
        <f t="shared" si="95"/>
        <v>0.82359101726757133</v>
      </c>
    </row>
    <row r="1535" spans="1:15" x14ac:dyDescent="0.25">
      <c r="A1535" t="s">
        <v>7272</v>
      </c>
      <c r="B1535" t="s">
        <v>3071</v>
      </c>
      <c r="C1535" s="3" t="s">
        <v>3072</v>
      </c>
      <c r="D1535" s="24">
        <v>0.163548</v>
      </c>
      <c r="E1535" s="25">
        <v>12.3</v>
      </c>
      <c r="F1535" s="25">
        <v>12.42</v>
      </c>
      <c r="G1535" s="26">
        <v>-0.1198</v>
      </c>
      <c r="H1535" s="27">
        <v>7.5469999999999995E-2</v>
      </c>
      <c r="I1535" s="26">
        <v>1.587</v>
      </c>
      <c r="J1535" s="28">
        <v>6</v>
      </c>
      <c r="K1535" s="27">
        <v>0.29450900000000002</v>
      </c>
      <c r="L1535" s="29">
        <f t="shared" si="92"/>
        <v>0.53090142892233394</v>
      </c>
      <c r="M1535" s="29">
        <f t="shared" si="93"/>
        <v>-0.11999999999999951</v>
      </c>
      <c r="N1535" s="30">
        <f t="shared" si="94"/>
        <v>0.78635476241808655</v>
      </c>
      <c r="O1535" s="31">
        <f t="shared" si="95"/>
        <v>0.9201876506248754</v>
      </c>
    </row>
    <row r="1536" spans="1:15" x14ac:dyDescent="0.25">
      <c r="A1536" t="s">
        <v>7273</v>
      </c>
      <c r="B1536" t="s">
        <v>3073</v>
      </c>
      <c r="C1536" s="3" t="s">
        <v>3074</v>
      </c>
      <c r="D1536" s="24">
        <v>0.16373399999999999</v>
      </c>
      <c r="E1536" s="25">
        <v>9.6859999999999999</v>
      </c>
      <c r="F1536" s="25">
        <v>9.8360000000000003</v>
      </c>
      <c r="G1536" s="26">
        <v>-0.1507</v>
      </c>
      <c r="H1536" s="27">
        <v>9.5009999999999997E-2</v>
      </c>
      <c r="I1536" s="26">
        <v>1.5860000000000001</v>
      </c>
      <c r="J1536" s="28">
        <v>6</v>
      </c>
      <c r="K1536" s="27">
        <v>0.29465200000000003</v>
      </c>
      <c r="L1536" s="29">
        <f t="shared" si="92"/>
        <v>0.53069060671199852</v>
      </c>
      <c r="M1536" s="29">
        <f t="shared" si="93"/>
        <v>-0.15000000000000063</v>
      </c>
      <c r="N1536" s="30">
        <f t="shared" si="94"/>
        <v>0.78586112829014332</v>
      </c>
      <c r="O1536" s="31">
        <f t="shared" si="95"/>
        <v>0.90125046261082986</v>
      </c>
    </row>
    <row r="1537" spans="1:15" x14ac:dyDescent="0.25">
      <c r="A1537" t="s">
        <v>7274</v>
      </c>
      <c r="B1537" t="s">
        <v>3077</v>
      </c>
      <c r="C1537" s="3" t="s">
        <v>3078</v>
      </c>
      <c r="D1537" s="24">
        <v>0.16417100000000001</v>
      </c>
      <c r="E1537" s="25">
        <v>8.8460000000000001</v>
      </c>
      <c r="F1537" s="25">
        <v>8.6989999999999998</v>
      </c>
      <c r="G1537" s="26">
        <v>0.14649999999999999</v>
      </c>
      <c r="H1537" s="27">
        <v>9.2450000000000004E-2</v>
      </c>
      <c r="I1537" s="26">
        <v>1.585</v>
      </c>
      <c r="J1537" s="28">
        <v>6</v>
      </c>
      <c r="K1537" s="27">
        <v>0.29496899999999998</v>
      </c>
      <c r="L1537" s="29">
        <f t="shared" si="92"/>
        <v>0.53022362414513635</v>
      </c>
      <c r="M1537" s="29">
        <f t="shared" si="93"/>
        <v>0.14700000000000082</v>
      </c>
      <c r="N1537" s="30">
        <f t="shared" si="94"/>
        <v>0.7847035564266357</v>
      </c>
      <c r="O1537" s="31">
        <f t="shared" si="95"/>
        <v>1.1072645844842857</v>
      </c>
    </row>
    <row r="1538" spans="1:15" x14ac:dyDescent="0.25">
      <c r="A1538" t="s">
        <v>7275</v>
      </c>
      <c r="B1538" t="s">
        <v>3079</v>
      </c>
      <c r="C1538" s="3" t="s">
        <v>3080</v>
      </c>
      <c r="D1538" s="24">
        <v>0.16423099999999999</v>
      </c>
      <c r="E1538" s="25">
        <v>10.64</v>
      </c>
      <c r="F1538" s="25">
        <v>10.45</v>
      </c>
      <c r="G1538" s="26">
        <v>0.18990000000000001</v>
      </c>
      <c r="H1538" s="27">
        <v>0.11990000000000001</v>
      </c>
      <c r="I1538" s="26">
        <v>1.5840000000000001</v>
      </c>
      <c r="J1538" s="28">
        <v>6</v>
      </c>
      <c r="K1538" s="27">
        <v>0.29496899999999998</v>
      </c>
      <c r="L1538" s="29">
        <f t="shared" ref="L1538:L1601" si="96">-LOG(K1538,10)</f>
        <v>0.53022362414513635</v>
      </c>
      <c r="M1538" s="29">
        <f t="shared" ref="M1538:M1601" si="97">LOG(O1538,2)</f>
        <v>0.19000000000000083</v>
      </c>
      <c r="N1538" s="30">
        <f t="shared" ref="N1538:N1601" si="98">-LOG(D1538,10)</f>
        <v>0.78454486269636536</v>
      </c>
      <c r="O1538" s="31">
        <f t="shared" ref="O1538:O1601" si="99">((2^E1538)/(2^F1538))</f>
        <v>1.1407637158684243</v>
      </c>
    </row>
    <row r="1539" spans="1:15" x14ac:dyDescent="0.25">
      <c r="A1539" t="s">
        <v>7276</v>
      </c>
      <c r="B1539" t="s">
        <v>3075</v>
      </c>
      <c r="C1539" s="3" t="s">
        <v>3076</v>
      </c>
      <c r="D1539" s="24">
        <v>0.16402700000000001</v>
      </c>
      <c r="E1539" s="25">
        <v>8.3330000000000002</v>
      </c>
      <c r="F1539" s="25">
        <v>8.516</v>
      </c>
      <c r="G1539" s="26">
        <v>-0.183</v>
      </c>
      <c r="H1539" s="27">
        <v>0.1154</v>
      </c>
      <c r="I1539" s="26">
        <v>1.585</v>
      </c>
      <c r="J1539" s="28">
        <v>6</v>
      </c>
      <c r="K1539" s="27">
        <v>0.29496899999999998</v>
      </c>
      <c r="L1539" s="29">
        <f t="shared" si="96"/>
        <v>0.53022362414513635</v>
      </c>
      <c r="M1539" s="29">
        <f t="shared" si="97"/>
        <v>-0.18300000000000058</v>
      </c>
      <c r="N1539" s="30">
        <f t="shared" si="98"/>
        <v>0.78508465813601325</v>
      </c>
      <c r="O1539" s="31">
        <f t="shared" si="99"/>
        <v>0.88086937412697885</v>
      </c>
    </row>
    <row r="1540" spans="1:15" x14ac:dyDescent="0.25">
      <c r="A1540" t="s">
        <v>7277</v>
      </c>
      <c r="B1540" t="s">
        <v>3081</v>
      </c>
      <c r="C1540" s="3" t="s">
        <v>3082</v>
      </c>
      <c r="D1540" s="24">
        <v>0.16456999999999999</v>
      </c>
      <c r="E1540" s="25">
        <v>8.3759999999999994</v>
      </c>
      <c r="F1540" s="25">
        <v>7.95</v>
      </c>
      <c r="G1540" s="26">
        <v>0.4259</v>
      </c>
      <c r="H1540" s="27">
        <v>0.26910000000000001</v>
      </c>
      <c r="I1540" s="26">
        <v>1.583</v>
      </c>
      <c r="J1540" s="28">
        <v>6</v>
      </c>
      <c r="K1540" s="27">
        <v>0.29538700000000001</v>
      </c>
      <c r="L1540" s="29">
        <f t="shared" si="96"/>
        <v>0.52960862193029656</v>
      </c>
      <c r="M1540" s="29">
        <f t="shared" si="97"/>
        <v>0.4259999999999981</v>
      </c>
      <c r="N1540" s="30">
        <f t="shared" si="98"/>
        <v>0.78364933086080368</v>
      </c>
      <c r="O1540" s="31">
        <f t="shared" si="99"/>
        <v>1.343503425721295</v>
      </c>
    </row>
    <row r="1541" spans="1:15" x14ac:dyDescent="0.25">
      <c r="A1541" t="s">
        <v>7278</v>
      </c>
      <c r="B1541" t="s">
        <v>3083</v>
      </c>
      <c r="C1541" s="3" t="s">
        <v>3084</v>
      </c>
      <c r="D1541" s="24">
        <v>0.164799</v>
      </c>
      <c r="E1541" s="25">
        <v>14.29</v>
      </c>
      <c r="F1541" s="25">
        <v>14.19</v>
      </c>
      <c r="G1541" s="26">
        <v>0.106</v>
      </c>
      <c r="H1541" s="27">
        <v>6.7019999999999996E-2</v>
      </c>
      <c r="I1541" s="26">
        <v>1.5820000000000001</v>
      </c>
      <c r="J1541" s="28">
        <v>6</v>
      </c>
      <c r="K1541" s="27">
        <v>0.29560500000000001</v>
      </c>
      <c r="L1541" s="29">
        <f t="shared" si="96"/>
        <v>0.52928822435689793</v>
      </c>
      <c r="M1541" s="29">
        <f t="shared" si="97"/>
        <v>9.9999999999998451E-2</v>
      </c>
      <c r="N1541" s="30">
        <f t="shared" si="98"/>
        <v>0.78304542792894871</v>
      </c>
      <c r="O1541" s="31">
        <f t="shared" si="99"/>
        <v>1.071773462536292</v>
      </c>
    </row>
    <row r="1542" spans="1:15" x14ac:dyDescent="0.25">
      <c r="A1542" t="s">
        <v>7279</v>
      </c>
      <c r="B1542" t="s">
        <v>3085</v>
      </c>
      <c r="C1542" s="3" t="s">
        <v>3086</v>
      </c>
      <c r="D1542" s="24">
        <v>0.16506199999999999</v>
      </c>
      <c r="E1542" s="25">
        <v>10.26</v>
      </c>
      <c r="F1542" s="25">
        <v>10.36</v>
      </c>
      <c r="G1542" s="26">
        <v>-0.10539999999999999</v>
      </c>
      <c r="H1542" s="27">
        <v>6.6710000000000005E-2</v>
      </c>
      <c r="I1542" s="26">
        <v>1.581</v>
      </c>
      <c r="J1542" s="28">
        <v>6</v>
      </c>
      <c r="K1542" s="27">
        <v>0.29588500000000001</v>
      </c>
      <c r="L1542" s="29">
        <f t="shared" si="96"/>
        <v>0.5288770510014188</v>
      </c>
      <c r="M1542" s="29">
        <f t="shared" si="97"/>
        <v>-9.9999999999998979E-2</v>
      </c>
      <c r="N1542" s="30">
        <f t="shared" si="98"/>
        <v>0.78235289699656496</v>
      </c>
      <c r="O1542" s="31">
        <f t="shared" si="99"/>
        <v>0.93303299153680808</v>
      </c>
    </row>
    <row r="1543" spans="1:15" x14ac:dyDescent="0.25">
      <c r="A1543" t="s">
        <v>7280</v>
      </c>
      <c r="B1543" t="s">
        <v>3087</v>
      </c>
      <c r="C1543" s="3" t="s">
        <v>3088</v>
      </c>
      <c r="D1543" s="24">
        <v>0.165246</v>
      </c>
      <c r="E1543" s="25">
        <v>8.5190000000000001</v>
      </c>
      <c r="F1543" s="25">
        <v>8.1880000000000006</v>
      </c>
      <c r="G1543" s="26">
        <v>0.33160000000000001</v>
      </c>
      <c r="H1543" s="27">
        <v>0.2099</v>
      </c>
      <c r="I1543" s="26">
        <v>1.58</v>
      </c>
      <c r="J1543" s="28">
        <v>6</v>
      </c>
      <c r="K1543" s="27">
        <v>0.29596099999999997</v>
      </c>
      <c r="L1543" s="29">
        <f t="shared" si="96"/>
        <v>0.52876551394344751</v>
      </c>
      <c r="M1543" s="29">
        <f t="shared" si="97"/>
        <v>0.33100000000000041</v>
      </c>
      <c r="N1543" s="30">
        <f t="shared" si="98"/>
        <v>0.78186904439271721</v>
      </c>
      <c r="O1543" s="31">
        <f t="shared" si="99"/>
        <v>1.2578849718360183</v>
      </c>
    </row>
    <row r="1544" spans="1:15" x14ac:dyDescent="0.25">
      <c r="A1544" t="s">
        <v>7281</v>
      </c>
      <c r="B1544" t="s">
        <v>3089</v>
      </c>
      <c r="C1544" s="3" t="s">
        <v>3090</v>
      </c>
      <c r="D1544" s="24">
        <v>0.16531899999999999</v>
      </c>
      <c r="E1544" s="25">
        <v>7.3369999999999997</v>
      </c>
      <c r="F1544" s="25">
        <v>7.65</v>
      </c>
      <c r="G1544" s="26">
        <v>-0.31319999999999998</v>
      </c>
      <c r="H1544" s="27">
        <v>0.1983</v>
      </c>
      <c r="I1544" s="26">
        <v>1.579</v>
      </c>
      <c r="J1544" s="28">
        <v>6</v>
      </c>
      <c r="K1544" s="27">
        <v>0.29596099999999997</v>
      </c>
      <c r="L1544" s="29">
        <f t="shared" si="96"/>
        <v>0.52876551394344751</v>
      </c>
      <c r="M1544" s="29">
        <f t="shared" si="97"/>
        <v>-0.31300000000000039</v>
      </c>
      <c r="N1544" s="30">
        <f t="shared" si="98"/>
        <v>0.78167723039126946</v>
      </c>
      <c r="O1544" s="31">
        <f t="shared" si="99"/>
        <v>0.80496613762112157</v>
      </c>
    </row>
    <row r="1545" spans="1:15" x14ac:dyDescent="0.25">
      <c r="A1545" t="s">
        <v>7282</v>
      </c>
      <c r="B1545" t="s">
        <v>3091</v>
      </c>
      <c r="C1545" s="3" t="s">
        <v>3092</v>
      </c>
      <c r="D1545" s="24">
        <v>0.165633</v>
      </c>
      <c r="E1545" s="25">
        <v>8.8610000000000007</v>
      </c>
      <c r="F1545" s="25">
        <v>7.8440000000000003</v>
      </c>
      <c r="G1545" s="26">
        <v>1.018</v>
      </c>
      <c r="H1545" s="27">
        <v>0.64480000000000004</v>
      </c>
      <c r="I1545" s="26">
        <v>1.5780000000000001</v>
      </c>
      <c r="J1545" s="28">
        <v>6</v>
      </c>
      <c r="K1545" s="27">
        <v>0.29633199999999998</v>
      </c>
      <c r="L1545" s="29">
        <f t="shared" si="96"/>
        <v>0.52822144783475333</v>
      </c>
      <c r="M1545" s="29">
        <f t="shared" si="97"/>
        <v>1.0169999999999997</v>
      </c>
      <c r="N1545" s="30">
        <f t="shared" si="98"/>
        <v>0.78085313198282125</v>
      </c>
      <c r="O1545" s="31">
        <f t="shared" si="99"/>
        <v>2.0237064020538571</v>
      </c>
    </row>
    <row r="1546" spans="1:15" x14ac:dyDescent="0.25">
      <c r="A1546" t="s">
        <v>7283</v>
      </c>
      <c r="B1546" t="s">
        <v>3093</v>
      </c>
      <c r="C1546" s="3" t="s">
        <v>3094</v>
      </c>
      <c r="D1546" s="24">
        <v>0.16594300000000001</v>
      </c>
      <c r="E1546" s="25">
        <v>7.8940000000000001</v>
      </c>
      <c r="F1546" s="25">
        <v>7.1589999999999998</v>
      </c>
      <c r="G1546" s="26">
        <v>0.73509999999999998</v>
      </c>
      <c r="H1546" s="27">
        <v>0.4662</v>
      </c>
      <c r="I1546" s="26">
        <v>1.577</v>
      </c>
      <c r="J1546" s="28">
        <v>6</v>
      </c>
      <c r="K1546" s="27">
        <v>0.29669400000000001</v>
      </c>
      <c r="L1546" s="29">
        <f t="shared" si="96"/>
        <v>0.52769123626906733</v>
      </c>
      <c r="M1546" s="29">
        <f t="shared" si="97"/>
        <v>0.73500000000000054</v>
      </c>
      <c r="N1546" s="30">
        <f t="shared" si="98"/>
        <v>0.78004106278229568</v>
      </c>
      <c r="O1546" s="31">
        <f t="shared" si="99"/>
        <v>1.6643974694230497</v>
      </c>
    </row>
    <row r="1547" spans="1:15" x14ac:dyDescent="0.25">
      <c r="A1547" t="s">
        <v>7284</v>
      </c>
      <c r="B1547" t="s">
        <v>3101</v>
      </c>
      <c r="C1547" s="3" t="s">
        <v>3102</v>
      </c>
      <c r="D1547" s="24">
        <v>0.16688500000000001</v>
      </c>
      <c r="E1547" s="25">
        <v>7.5149999999999997</v>
      </c>
      <c r="F1547" s="25">
        <v>6.1559999999999997</v>
      </c>
      <c r="G1547" s="26">
        <v>1.359</v>
      </c>
      <c r="H1547" s="27">
        <v>0.84060000000000001</v>
      </c>
      <c r="I1547" s="26">
        <v>1.617</v>
      </c>
      <c r="J1547" s="28">
        <v>5</v>
      </c>
      <c r="K1547" s="27">
        <v>0.29760700000000001</v>
      </c>
      <c r="L1547" s="29">
        <f t="shared" si="96"/>
        <v>0.52635685798630505</v>
      </c>
      <c r="M1547" s="29">
        <f t="shared" si="97"/>
        <v>1.3589999999999993</v>
      </c>
      <c r="N1547" s="30">
        <f t="shared" si="98"/>
        <v>0.77758269693360538</v>
      </c>
      <c r="O1547" s="31">
        <f t="shared" si="99"/>
        <v>2.5650732055244951</v>
      </c>
    </row>
    <row r="1548" spans="1:15" x14ac:dyDescent="0.25">
      <c r="A1548" t="s">
        <v>7285</v>
      </c>
      <c r="B1548" t="s">
        <v>3097</v>
      </c>
      <c r="C1548" s="3" t="s">
        <v>3098</v>
      </c>
      <c r="D1548" s="24">
        <v>0.166744</v>
      </c>
      <c r="E1548" s="25">
        <v>6.5780000000000003</v>
      </c>
      <c r="F1548" s="25">
        <v>6.9809999999999999</v>
      </c>
      <c r="G1548" s="26">
        <v>-0.40300000000000002</v>
      </c>
      <c r="H1548" s="27">
        <v>0.25619999999999998</v>
      </c>
      <c r="I1548" s="26">
        <v>1.573</v>
      </c>
      <c r="J1548" s="28">
        <v>6</v>
      </c>
      <c r="K1548" s="27">
        <v>0.29760700000000001</v>
      </c>
      <c r="L1548" s="29">
        <f t="shared" si="96"/>
        <v>0.52635685798630505</v>
      </c>
      <c r="M1548" s="29">
        <f t="shared" si="97"/>
        <v>-0.40299999999999891</v>
      </c>
      <c r="N1548" s="30">
        <f t="shared" si="98"/>
        <v>0.77794978448051622</v>
      </c>
      <c r="O1548" s="31">
        <f t="shared" si="99"/>
        <v>0.75628399864198148</v>
      </c>
    </row>
    <row r="1549" spans="1:15" x14ac:dyDescent="0.25">
      <c r="A1549" t="s">
        <v>7286</v>
      </c>
      <c r="B1549" t="s">
        <v>3095</v>
      </c>
      <c r="C1549" s="3" t="s">
        <v>3096</v>
      </c>
      <c r="D1549" s="24">
        <v>0.166744</v>
      </c>
      <c r="E1549" s="25">
        <v>6.5780000000000003</v>
      </c>
      <c r="F1549" s="25">
        <v>6.9809999999999999</v>
      </c>
      <c r="G1549" s="26">
        <v>-0.40300000000000002</v>
      </c>
      <c r="H1549" s="27">
        <v>0.25619999999999998</v>
      </c>
      <c r="I1549" s="26">
        <v>1.573</v>
      </c>
      <c r="J1549" s="28">
        <v>6</v>
      </c>
      <c r="K1549" s="27">
        <v>0.29760700000000001</v>
      </c>
      <c r="L1549" s="29">
        <f t="shared" si="96"/>
        <v>0.52635685798630505</v>
      </c>
      <c r="M1549" s="29">
        <f t="shared" si="97"/>
        <v>-0.40299999999999891</v>
      </c>
      <c r="N1549" s="30">
        <f t="shared" si="98"/>
        <v>0.77794978448051622</v>
      </c>
      <c r="O1549" s="31">
        <f t="shared" si="99"/>
        <v>0.75628399864198148</v>
      </c>
    </row>
    <row r="1550" spans="1:15" x14ac:dyDescent="0.25">
      <c r="A1550" t="s">
        <v>7287</v>
      </c>
      <c r="B1550" t="s">
        <v>3099</v>
      </c>
      <c r="C1550" s="3" t="s">
        <v>3100</v>
      </c>
      <c r="D1550" s="24">
        <v>0.16681699999999999</v>
      </c>
      <c r="E1550" s="25">
        <v>8.7520000000000007</v>
      </c>
      <c r="F1550" s="25">
        <v>8.5609999999999999</v>
      </c>
      <c r="G1550" s="26">
        <v>0.1913</v>
      </c>
      <c r="H1550" s="27">
        <v>0.1217</v>
      </c>
      <c r="I1550" s="26">
        <v>1.573</v>
      </c>
      <c r="J1550" s="28">
        <v>6</v>
      </c>
      <c r="K1550" s="27">
        <v>0.29760700000000001</v>
      </c>
      <c r="L1550" s="29">
        <f t="shared" si="96"/>
        <v>0.52635685798630505</v>
      </c>
      <c r="M1550" s="29">
        <f t="shared" si="97"/>
        <v>0.19099999999999984</v>
      </c>
      <c r="N1550" s="30">
        <f t="shared" si="98"/>
        <v>0.77775969332666384</v>
      </c>
      <c r="O1550" s="31">
        <f t="shared" si="99"/>
        <v>1.1415547071267735</v>
      </c>
    </row>
    <row r="1551" spans="1:15" x14ac:dyDescent="0.25">
      <c r="A1551" t="s">
        <v>7288</v>
      </c>
      <c r="B1551" t="s">
        <v>3103</v>
      </c>
      <c r="C1551" s="3" t="s">
        <v>3104</v>
      </c>
      <c r="D1551" s="24">
        <v>0.16720599999999999</v>
      </c>
      <c r="E1551" s="25">
        <v>11.34</v>
      </c>
      <c r="F1551" s="25">
        <v>11.12</v>
      </c>
      <c r="G1551" s="26">
        <v>0.21809999999999999</v>
      </c>
      <c r="H1551" s="27">
        <v>0.13880000000000001</v>
      </c>
      <c r="I1551" s="26">
        <v>1.571</v>
      </c>
      <c r="J1551" s="28">
        <v>6</v>
      </c>
      <c r="K1551" s="27">
        <v>0.297987</v>
      </c>
      <c r="L1551" s="29">
        <f t="shared" si="96"/>
        <v>0.52580268206943459</v>
      </c>
      <c r="M1551" s="29">
        <f t="shared" si="97"/>
        <v>0.22000000000000081</v>
      </c>
      <c r="N1551" s="30">
        <f t="shared" si="98"/>
        <v>0.77674814244641421</v>
      </c>
      <c r="O1551" s="31">
        <f t="shared" si="99"/>
        <v>1.1647335864684565</v>
      </c>
    </row>
    <row r="1552" spans="1:15" x14ac:dyDescent="0.25">
      <c r="A1552" t="s">
        <v>7289</v>
      </c>
      <c r="B1552" t="s">
        <v>3105</v>
      </c>
      <c r="C1552" s="3" t="s">
        <v>3106</v>
      </c>
      <c r="D1552" s="24">
        <v>0.16732</v>
      </c>
      <c r="E1552" s="25">
        <v>10.18</v>
      </c>
      <c r="F1552" s="25">
        <v>9.8829999999999991</v>
      </c>
      <c r="G1552" s="26">
        <v>0.29759999999999998</v>
      </c>
      <c r="H1552" s="27">
        <v>0.1895</v>
      </c>
      <c r="I1552" s="26">
        <v>1.571</v>
      </c>
      <c r="J1552" s="28">
        <v>6</v>
      </c>
      <c r="K1552" s="27">
        <v>0.29799999999999999</v>
      </c>
      <c r="L1552" s="29">
        <f t="shared" si="96"/>
        <v>0.52578373592374472</v>
      </c>
      <c r="M1552" s="29">
        <f t="shared" si="97"/>
        <v>0.29700000000000004</v>
      </c>
      <c r="N1552" s="30">
        <f t="shared" si="98"/>
        <v>0.77645214409140728</v>
      </c>
      <c r="O1552" s="31">
        <f t="shared" si="99"/>
        <v>1.22858698044565</v>
      </c>
    </row>
    <row r="1553" spans="1:15" x14ac:dyDescent="0.25">
      <c r="A1553" t="s">
        <v>7290</v>
      </c>
      <c r="B1553" t="s">
        <v>3107</v>
      </c>
      <c r="C1553" s="3" t="s">
        <v>3108</v>
      </c>
      <c r="D1553" s="24">
        <v>0.16777</v>
      </c>
      <c r="E1553" s="25">
        <v>12.41</v>
      </c>
      <c r="F1553" s="25">
        <v>12.75</v>
      </c>
      <c r="G1553" s="26">
        <v>-0.33479999999999999</v>
      </c>
      <c r="H1553" s="27">
        <v>0.21340000000000001</v>
      </c>
      <c r="I1553" s="26">
        <v>1.569</v>
      </c>
      <c r="J1553" s="28">
        <v>6</v>
      </c>
      <c r="K1553" s="27">
        <v>0.29860799999999998</v>
      </c>
      <c r="L1553" s="29">
        <f t="shared" si="96"/>
        <v>0.52489856128174317</v>
      </c>
      <c r="M1553" s="29">
        <f t="shared" si="97"/>
        <v>-0.33999999999999786</v>
      </c>
      <c r="N1553" s="30">
        <f t="shared" si="98"/>
        <v>0.77528569546960235</v>
      </c>
      <c r="O1553" s="31">
        <f t="shared" si="99"/>
        <v>0.79004131186337834</v>
      </c>
    </row>
    <row r="1554" spans="1:15" x14ac:dyDescent="0.25">
      <c r="A1554" t="s">
        <v>7291</v>
      </c>
      <c r="B1554" t="s">
        <v>3109</v>
      </c>
      <c r="C1554" s="3" t="s">
        <v>3110</v>
      </c>
      <c r="D1554" s="24">
        <v>0.16807900000000001</v>
      </c>
      <c r="E1554" s="25">
        <v>9.1769999999999996</v>
      </c>
      <c r="F1554" s="25">
        <v>9.0830000000000002</v>
      </c>
      <c r="G1554" s="26">
        <v>9.3789999999999998E-2</v>
      </c>
      <c r="H1554" s="27">
        <v>5.9839999999999997E-2</v>
      </c>
      <c r="I1554" s="26">
        <v>1.5669999999999999</v>
      </c>
      <c r="J1554" s="28">
        <v>6</v>
      </c>
      <c r="K1554" s="27">
        <v>0.29896600000000001</v>
      </c>
      <c r="L1554" s="29">
        <f t="shared" si="96"/>
        <v>0.52437819914041151</v>
      </c>
      <c r="M1554" s="29">
        <f t="shared" si="97"/>
        <v>9.399999999999864E-2</v>
      </c>
      <c r="N1554" s="30">
        <f t="shared" si="98"/>
        <v>0.7744865444655844</v>
      </c>
      <c r="O1554" s="31">
        <f t="shared" si="99"/>
        <v>1.067325338039959</v>
      </c>
    </row>
    <row r="1555" spans="1:15" x14ac:dyDescent="0.25">
      <c r="A1555" t="s">
        <v>7292</v>
      </c>
      <c r="B1555" t="s">
        <v>3111</v>
      </c>
      <c r="C1555" s="3" t="s">
        <v>3112</v>
      </c>
      <c r="D1555" s="24">
        <v>0.16853499999999999</v>
      </c>
      <c r="E1555" s="25">
        <v>8.0980000000000008</v>
      </c>
      <c r="F1555" s="25">
        <v>8.4860000000000007</v>
      </c>
      <c r="G1555" s="26">
        <v>-0.38719999999999999</v>
      </c>
      <c r="H1555" s="27">
        <v>0.24729999999999999</v>
      </c>
      <c r="I1555" s="26">
        <v>1.5649999999999999</v>
      </c>
      <c r="J1555" s="28">
        <v>6</v>
      </c>
      <c r="K1555" s="27">
        <v>0.29958299999999999</v>
      </c>
      <c r="L1555" s="29">
        <f t="shared" si="96"/>
        <v>0.52348283454955624</v>
      </c>
      <c r="M1555" s="29">
        <f t="shared" si="97"/>
        <v>-0.38800000000000012</v>
      </c>
      <c r="N1555" s="30">
        <f t="shared" si="98"/>
        <v>0.77330989462398791</v>
      </c>
      <c r="O1555" s="31">
        <f t="shared" si="99"/>
        <v>0.76418826038258325</v>
      </c>
    </row>
    <row r="1556" spans="1:15" x14ac:dyDescent="0.25">
      <c r="A1556" t="s">
        <v>7293</v>
      </c>
      <c r="B1556" t="s">
        <v>3113</v>
      </c>
      <c r="C1556" s="3" t="s">
        <v>3114</v>
      </c>
      <c r="D1556" s="24">
        <v>0.168792</v>
      </c>
      <c r="E1556" s="25">
        <v>7.3310000000000004</v>
      </c>
      <c r="F1556" s="25">
        <v>7.0270000000000001</v>
      </c>
      <c r="G1556" s="26">
        <v>0.30430000000000001</v>
      </c>
      <c r="H1556" s="27">
        <v>0.19450000000000001</v>
      </c>
      <c r="I1556" s="26">
        <v>1.5640000000000001</v>
      </c>
      <c r="J1556" s="28">
        <v>6</v>
      </c>
      <c r="K1556" s="27">
        <v>0.299848</v>
      </c>
      <c r="L1556" s="29">
        <f t="shared" si="96"/>
        <v>0.52309884358078085</v>
      </c>
      <c r="M1556" s="29">
        <f t="shared" si="97"/>
        <v>0.30400000000000044</v>
      </c>
      <c r="N1556" s="30">
        <f t="shared" si="98"/>
        <v>0.77264814087498768</v>
      </c>
      <c r="O1556" s="31">
        <f t="shared" si="99"/>
        <v>1.2345626068935387</v>
      </c>
    </row>
    <row r="1557" spans="1:15" x14ac:dyDescent="0.25">
      <c r="A1557" t="s">
        <v>7294</v>
      </c>
      <c r="B1557" t="s">
        <v>3115</v>
      </c>
      <c r="C1557" s="3" t="s">
        <v>3116</v>
      </c>
      <c r="D1557" s="24">
        <v>0.169264</v>
      </c>
      <c r="E1557" s="25">
        <v>8.09</v>
      </c>
      <c r="F1557" s="25">
        <v>8.4309999999999992</v>
      </c>
      <c r="G1557" s="26">
        <v>-0.3407</v>
      </c>
      <c r="H1557" s="27">
        <v>0.21809999999999999</v>
      </c>
      <c r="I1557" s="26">
        <v>1.5620000000000001</v>
      </c>
      <c r="J1557" s="28">
        <v>6</v>
      </c>
      <c r="K1557" s="27">
        <v>0.30049199999999998</v>
      </c>
      <c r="L1557" s="29">
        <f t="shared" si="96"/>
        <v>0.5221670857314703</v>
      </c>
      <c r="M1557" s="29">
        <f t="shared" si="97"/>
        <v>-0.34099999999999953</v>
      </c>
      <c r="N1557" s="30">
        <f t="shared" si="98"/>
        <v>0.77143540021272583</v>
      </c>
      <c r="O1557" s="31">
        <f t="shared" si="99"/>
        <v>0.7894938867005552</v>
      </c>
    </row>
    <row r="1558" spans="1:15" x14ac:dyDescent="0.25">
      <c r="A1558" t="s">
        <v>7295</v>
      </c>
      <c r="B1558" t="s">
        <v>3117</v>
      </c>
      <c r="C1558" s="3" t="s">
        <v>3118</v>
      </c>
      <c r="D1558" s="24">
        <v>0.17019200000000001</v>
      </c>
      <c r="E1558" s="25">
        <v>7.1239999999999997</v>
      </c>
      <c r="F1558" s="25">
        <v>6.5650000000000004</v>
      </c>
      <c r="G1558" s="26">
        <v>0.5585</v>
      </c>
      <c r="H1558" s="27">
        <v>0.3584</v>
      </c>
      <c r="I1558" s="26">
        <v>1.5580000000000001</v>
      </c>
      <c r="J1558" s="28">
        <v>6</v>
      </c>
      <c r="K1558" s="27">
        <v>0.30194599999999999</v>
      </c>
      <c r="L1558" s="29">
        <f t="shared" si="96"/>
        <v>0.52007071929108106</v>
      </c>
      <c r="M1558" s="29">
        <f t="shared" si="97"/>
        <v>0.5589999999999995</v>
      </c>
      <c r="N1558" s="30">
        <f t="shared" si="98"/>
        <v>0.76906085810284841</v>
      </c>
      <c r="O1558" s="31">
        <f t="shared" si="99"/>
        <v>1.4732476858164796</v>
      </c>
    </row>
    <row r="1559" spans="1:15" x14ac:dyDescent="0.25">
      <c r="A1559" t="s">
        <v>7296</v>
      </c>
      <c r="B1559" t="s">
        <v>3119</v>
      </c>
      <c r="C1559" s="3" t="s">
        <v>3120</v>
      </c>
      <c r="D1559" s="24">
        <v>0.17033599999999999</v>
      </c>
      <c r="E1559" s="25">
        <v>9.6039999999999992</v>
      </c>
      <c r="F1559" s="25">
        <v>9.3729999999999993</v>
      </c>
      <c r="G1559" s="26">
        <v>0.23150000000000001</v>
      </c>
      <c r="H1559" s="27">
        <v>0.14860000000000001</v>
      </c>
      <c r="I1559" s="26">
        <v>1.5580000000000001</v>
      </c>
      <c r="J1559" s="28">
        <v>6</v>
      </c>
      <c r="K1559" s="27">
        <v>0.302008</v>
      </c>
      <c r="L1559" s="29">
        <f t="shared" si="96"/>
        <v>0.51998155270563717</v>
      </c>
      <c r="M1559" s="29">
        <f t="shared" si="97"/>
        <v>0.23100000000000057</v>
      </c>
      <c r="N1559" s="30">
        <f t="shared" si="98"/>
        <v>0.76869355550733909</v>
      </c>
      <c r="O1559" s="31">
        <f t="shared" si="99"/>
        <v>1.173648178281353</v>
      </c>
    </row>
    <row r="1560" spans="1:15" x14ac:dyDescent="0.25">
      <c r="A1560" t="s">
        <v>7297</v>
      </c>
      <c r="B1560" t="s">
        <v>3121</v>
      </c>
      <c r="C1560" s="3" t="s">
        <v>3122</v>
      </c>
      <c r="D1560" s="24">
        <v>0.17096900000000001</v>
      </c>
      <c r="E1560" s="25">
        <v>8.7720000000000002</v>
      </c>
      <c r="F1560" s="25">
        <v>8.4510000000000005</v>
      </c>
      <c r="G1560" s="26">
        <v>0.3206</v>
      </c>
      <c r="H1560" s="27">
        <v>0.20619999999999999</v>
      </c>
      <c r="I1560" s="26">
        <v>1.5549999999999999</v>
      </c>
      <c r="J1560" s="28">
        <v>6</v>
      </c>
      <c r="K1560" s="27">
        <v>0.30293599999999998</v>
      </c>
      <c r="L1560" s="29">
        <f t="shared" si="96"/>
        <v>0.51864911335473984</v>
      </c>
      <c r="M1560" s="29">
        <f t="shared" si="97"/>
        <v>0.32099999999999884</v>
      </c>
      <c r="N1560" s="30">
        <f t="shared" si="98"/>
        <v>0.76708262849339337</v>
      </c>
      <c r="O1560" s="31">
        <f t="shared" si="99"/>
        <v>1.2491961256533757</v>
      </c>
    </row>
    <row r="1561" spans="1:15" x14ac:dyDescent="0.25">
      <c r="A1561" t="s">
        <v>7298</v>
      </c>
      <c r="B1561" t="s">
        <v>3123</v>
      </c>
      <c r="C1561" s="3" t="s">
        <v>3124</v>
      </c>
      <c r="D1561" s="24">
        <v>0.17116400000000001</v>
      </c>
      <c r="E1561" s="25">
        <v>9.702</v>
      </c>
      <c r="F1561" s="25">
        <v>9.8859999999999992</v>
      </c>
      <c r="G1561" s="26">
        <v>-0.18310000000000001</v>
      </c>
      <c r="H1561" s="27">
        <v>0.1178</v>
      </c>
      <c r="I1561" s="26">
        <v>1.554</v>
      </c>
      <c r="J1561" s="28">
        <v>6</v>
      </c>
      <c r="K1561" s="27">
        <v>0.30308600000000002</v>
      </c>
      <c r="L1561" s="29">
        <f t="shared" si="96"/>
        <v>0.5184341238869784</v>
      </c>
      <c r="M1561" s="29">
        <f t="shared" si="97"/>
        <v>-0.18399999999999975</v>
      </c>
      <c r="N1561" s="30">
        <f t="shared" si="98"/>
        <v>0.76658757286800039</v>
      </c>
      <c r="O1561" s="31">
        <f t="shared" si="99"/>
        <v>0.88025901356315106</v>
      </c>
    </row>
    <row r="1562" spans="1:15" x14ac:dyDescent="0.25">
      <c r="A1562" t="s">
        <v>7299</v>
      </c>
      <c r="B1562" t="s">
        <v>3125</v>
      </c>
      <c r="C1562" s="3" t="s">
        <v>3126</v>
      </c>
      <c r="D1562" s="24">
        <v>0.171676</v>
      </c>
      <c r="E1562" s="25">
        <v>8.8209999999999997</v>
      </c>
      <c r="F1562" s="25">
        <v>9.2319999999999993</v>
      </c>
      <c r="G1562" s="26">
        <v>-0.41060000000000002</v>
      </c>
      <c r="H1562" s="27">
        <v>0.2646</v>
      </c>
      <c r="I1562" s="26">
        <v>1.552</v>
      </c>
      <c r="J1562" s="28">
        <v>6</v>
      </c>
      <c r="K1562" s="27">
        <v>0.30379699999999998</v>
      </c>
      <c r="L1562" s="29">
        <f t="shared" si="96"/>
        <v>0.51741651911667774</v>
      </c>
      <c r="M1562" s="29">
        <f t="shared" si="97"/>
        <v>-0.41099999999999953</v>
      </c>
      <c r="N1562" s="30">
        <f t="shared" si="98"/>
        <v>0.7652904141931598</v>
      </c>
      <c r="O1562" s="31">
        <f t="shared" si="99"/>
        <v>0.75210187569434406</v>
      </c>
    </row>
    <row r="1563" spans="1:15" x14ac:dyDescent="0.25">
      <c r="A1563" t="s">
        <v>7300</v>
      </c>
      <c r="B1563" t="s">
        <v>3127</v>
      </c>
      <c r="C1563" s="3" t="s">
        <v>3128</v>
      </c>
      <c r="D1563" s="24">
        <v>0.172013</v>
      </c>
      <c r="E1563" s="25">
        <v>8.4890000000000008</v>
      </c>
      <c r="F1563" s="25">
        <v>8.8670000000000009</v>
      </c>
      <c r="G1563" s="26">
        <v>-0.37880000000000003</v>
      </c>
      <c r="H1563" s="27">
        <v>0.24429999999999999</v>
      </c>
      <c r="I1563" s="26">
        <v>1.55</v>
      </c>
      <c r="J1563" s="28">
        <v>6</v>
      </c>
      <c r="K1563" s="27">
        <v>0.304199</v>
      </c>
      <c r="L1563" s="29">
        <f t="shared" si="96"/>
        <v>0.51684221794638563</v>
      </c>
      <c r="M1563" s="29">
        <f t="shared" si="97"/>
        <v>-0.37799999999999978</v>
      </c>
      <c r="N1563" s="30">
        <f t="shared" si="98"/>
        <v>0.76443872974991778</v>
      </c>
      <c r="O1563" s="31">
        <f t="shared" si="99"/>
        <v>0.76950361008043133</v>
      </c>
    </row>
    <row r="1564" spans="1:15" x14ac:dyDescent="0.25">
      <c r="A1564" t="s">
        <v>7301</v>
      </c>
      <c r="B1564" t="s">
        <v>3131</v>
      </c>
      <c r="C1564" s="3" t="s">
        <v>3132</v>
      </c>
      <c r="D1564" s="24">
        <v>0.17236699999999999</v>
      </c>
      <c r="E1564" s="25">
        <v>8.0280000000000005</v>
      </c>
      <c r="F1564" s="25">
        <v>7.3470000000000004</v>
      </c>
      <c r="G1564" s="26">
        <v>0.68110000000000004</v>
      </c>
      <c r="H1564" s="27">
        <v>0.43969999999999998</v>
      </c>
      <c r="I1564" s="26">
        <v>1.5489999999999999</v>
      </c>
      <c r="J1564" s="28">
        <v>6</v>
      </c>
      <c r="K1564" s="27">
        <v>0.30443599999999998</v>
      </c>
      <c r="L1564" s="29">
        <f t="shared" si="96"/>
        <v>0.51650399291031857</v>
      </c>
      <c r="M1564" s="29">
        <f t="shared" si="97"/>
        <v>0.68099999999999972</v>
      </c>
      <c r="N1564" s="30">
        <f t="shared" si="98"/>
        <v>0.76354587708284305</v>
      </c>
      <c r="O1564" s="31">
        <f t="shared" si="99"/>
        <v>1.6032506587987871</v>
      </c>
    </row>
    <row r="1565" spans="1:15" x14ac:dyDescent="0.25">
      <c r="A1565" t="s">
        <v>7302</v>
      </c>
      <c r="B1565" t="s">
        <v>3129</v>
      </c>
      <c r="C1565" s="3" t="s">
        <v>3130</v>
      </c>
      <c r="D1565" s="24">
        <v>0.172345</v>
      </c>
      <c r="E1565" s="25">
        <v>8.0530000000000008</v>
      </c>
      <c r="F1565" s="25">
        <v>7.6470000000000002</v>
      </c>
      <c r="G1565" s="26">
        <v>0.40560000000000002</v>
      </c>
      <c r="H1565" s="27">
        <v>0.26190000000000002</v>
      </c>
      <c r="I1565" s="26">
        <v>1.5489999999999999</v>
      </c>
      <c r="J1565" s="28">
        <v>6</v>
      </c>
      <c r="K1565" s="27">
        <v>0.30443599999999998</v>
      </c>
      <c r="L1565" s="29">
        <f t="shared" si="96"/>
        <v>0.51650399291031857</v>
      </c>
      <c r="M1565" s="29">
        <f t="shared" si="97"/>
        <v>0.40599999999999986</v>
      </c>
      <c r="N1565" s="30">
        <f t="shared" si="98"/>
        <v>0.76360131164047296</v>
      </c>
      <c r="O1565" s="31">
        <f t="shared" si="99"/>
        <v>1.3250070170452073</v>
      </c>
    </row>
    <row r="1566" spans="1:15" x14ac:dyDescent="0.25">
      <c r="A1566" t="s">
        <v>7303</v>
      </c>
      <c r="B1566" t="s">
        <v>3135</v>
      </c>
      <c r="C1566" s="3" t="s">
        <v>3136</v>
      </c>
      <c r="D1566" s="24">
        <v>0.17332900000000001</v>
      </c>
      <c r="E1566" s="25">
        <v>13.61</v>
      </c>
      <c r="F1566" s="25">
        <v>13.97</v>
      </c>
      <c r="G1566" s="26">
        <v>-0.36070000000000002</v>
      </c>
      <c r="H1566" s="27">
        <v>0.23350000000000001</v>
      </c>
      <c r="I1566" s="26">
        <v>1.5449999999999999</v>
      </c>
      <c r="J1566" s="28">
        <v>6</v>
      </c>
      <c r="K1566" s="27">
        <v>0.30574499999999999</v>
      </c>
      <c r="L1566" s="29">
        <f t="shared" si="96"/>
        <v>0.51464063646719616</v>
      </c>
      <c r="M1566" s="29">
        <f t="shared" si="97"/>
        <v>-0.36000000000000099</v>
      </c>
      <c r="N1566" s="30">
        <f t="shared" si="98"/>
        <v>0.76112876858263012</v>
      </c>
      <c r="O1566" s="31">
        <f t="shared" si="99"/>
        <v>0.77916457966049935</v>
      </c>
    </row>
    <row r="1567" spans="1:15" x14ac:dyDescent="0.25">
      <c r="A1567" t="s">
        <v>7304</v>
      </c>
      <c r="B1567" t="s">
        <v>3133</v>
      </c>
      <c r="C1567" s="3" t="s">
        <v>3134</v>
      </c>
      <c r="D1567" s="24">
        <v>0.17332500000000001</v>
      </c>
      <c r="E1567" s="25">
        <v>9.2959999999999994</v>
      </c>
      <c r="F1567" s="25">
        <v>9.0730000000000004</v>
      </c>
      <c r="G1567" s="26">
        <v>0.2233</v>
      </c>
      <c r="H1567" s="27">
        <v>0.14449999999999999</v>
      </c>
      <c r="I1567" s="26">
        <v>1.5449999999999999</v>
      </c>
      <c r="J1567" s="28">
        <v>6</v>
      </c>
      <c r="K1567" s="27">
        <v>0.30574499999999999</v>
      </c>
      <c r="L1567" s="29">
        <f t="shared" si="96"/>
        <v>0.51464063646719616</v>
      </c>
      <c r="M1567" s="29">
        <f t="shared" si="97"/>
        <v>0.22299999999999956</v>
      </c>
      <c r="N1567" s="30">
        <f t="shared" si="98"/>
        <v>0.76113879112919047</v>
      </c>
      <c r="O1567" s="31">
        <f t="shared" si="99"/>
        <v>1.1671581018184671</v>
      </c>
    </row>
    <row r="1568" spans="1:15" x14ac:dyDescent="0.25">
      <c r="A1568" t="s">
        <v>7305</v>
      </c>
      <c r="B1568" t="s">
        <v>3139</v>
      </c>
      <c r="C1568" s="3" t="s">
        <v>3140</v>
      </c>
      <c r="D1568" s="24">
        <v>0.17431099999999999</v>
      </c>
      <c r="E1568" s="25">
        <v>8.66</v>
      </c>
      <c r="F1568" s="25">
        <v>8.3059999999999992</v>
      </c>
      <c r="G1568" s="26">
        <v>0.35370000000000001</v>
      </c>
      <c r="H1568" s="27">
        <v>0.22950000000000001</v>
      </c>
      <c r="I1568" s="26">
        <v>1.5409999999999999</v>
      </c>
      <c r="J1568" s="28">
        <v>6</v>
      </c>
      <c r="K1568" s="27">
        <v>0.30702299999999999</v>
      </c>
      <c r="L1568" s="29">
        <f t="shared" si="96"/>
        <v>0.51282908902141233</v>
      </c>
      <c r="M1568" s="29">
        <f t="shared" si="97"/>
        <v>0.35400000000000109</v>
      </c>
      <c r="N1568" s="30">
        <f t="shared" si="98"/>
        <v>0.75867520561196611</v>
      </c>
      <c r="O1568" s="31">
        <f t="shared" si="99"/>
        <v>1.2780993632030524</v>
      </c>
    </row>
    <row r="1569" spans="1:15" x14ac:dyDescent="0.25">
      <c r="A1569" t="s">
        <v>7306</v>
      </c>
      <c r="B1569" t="s">
        <v>3141</v>
      </c>
      <c r="C1569" s="3" t="s">
        <v>3142</v>
      </c>
      <c r="D1569" s="24">
        <v>0.17438699999999999</v>
      </c>
      <c r="E1569" s="25">
        <v>10.63</v>
      </c>
      <c r="F1569" s="25">
        <v>10.74</v>
      </c>
      <c r="G1569" s="26">
        <v>-0.1103</v>
      </c>
      <c r="H1569" s="27">
        <v>7.1590000000000001E-2</v>
      </c>
      <c r="I1569" s="26">
        <v>1.54</v>
      </c>
      <c r="J1569" s="28">
        <v>6</v>
      </c>
      <c r="K1569" s="27">
        <v>0.30702299999999999</v>
      </c>
      <c r="L1569" s="29">
        <f t="shared" si="96"/>
        <v>0.51282908902141233</v>
      </c>
      <c r="M1569" s="29">
        <f t="shared" si="97"/>
        <v>-0.11000000000000049</v>
      </c>
      <c r="N1569" s="30">
        <f t="shared" si="98"/>
        <v>0.75848589347855955</v>
      </c>
      <c r="O1569" s="31">
        <f t="shared" si="99"/>
        <v>0.92658806189037057</v>
      </c>
    </row>
    <row r="1570" spans="1:15" x14ac:dyDescent="0.25">
      <c r="A1570" t="s">
        <v>7307</v>
      </c>
      <c r="B1570" t="s">
        <v>3137</v>
      </c>
      <c r="C1570" s="3" t="s">
        <v>3138</v>
      </c>
      <c r="D1570" s="24">
        <v>0.17421200000000001</v>
      </c>
      <c r="E1570" s="25">
        <v>11.14</v>
      </c>
      <c r="F1570" s="25">
        <v>10.88</v>
      </c>
      <c r="G1570" s="26">
        <v>0.26850000000000002</v>
      </c>
      <c r="H1570" s="27">
        <v>0.17430000000000001</v>
      </c>
      <c r="I1570" s="26">
        <v>1.5409999999999999</v>
      </c>
      <c r="J1570" s="28">
        <v>6</v>
      </c>
      <c r="K1570" s="27">
        <v>0.30702299999999999</v>
      </c>
      <c r="L1570" s="29">
        <f t="shared" si="96"/>
        <v>0.51282908902141233</v>
      </c>
      <c r="M1570" s="29">
        <f t="shared" si="97"/>
        <v>0.2599999999999999</v>
      </c>
      <c r="N1570" s="30">
        <f t="shared" si="98"/>
        <v>0.7589219334024695</v>
      </c>
      <c r="O1570" s="31">
        <f t="shared" si="99"/>
        <v>1.1974787046189286</v>
      </c>
    </row>
    <row r="1571" spans="1:15" x14ac:dyDescent="0.25">
      <c r="A1571" t="s">
        <v>7308</v>
      </c>
      <c r="B1571" t="s">
        <v>3143</v>
      </c>
      <c r="C1571" s="3" t="s">
        <v>3144</v>
      </c>
      <c r="D1571" s="24">
        <v>0.17575399999999999</v>
      </c>
      <c r="E1571" s="25">
        <v>8.7780000000000005</v>
      </c>
      <c r="F1571" s="25">
        <v>8.4619999999999997</v>
      </c>
      <c r="G1571" s="26">
        <v>0.31590000000000001</v>
      </c>
      <c r="H1571" s="27">
        <v>0.20580000000000001</v>
      </c>
      <c r="I1571" s="26">
        <v>1.5349999999999999</v>
      </c>
      <c r="J1571" s="28">
        <v>6</v>
      </c>
      <c r="K1571" s="27">
        <v>0.30923099999999998</v>
      </c>
      <c r="L1571" s="29">
        <f t="shared" si="96"/>
        <v>0.50971697512212799</v>
      </c>
      <c r="M1571" s="29">
        <f t="shared" si="97"/>
        <v>0.31600000000000183</v>
      </c>
      <c r="N1571" s="30">
        <f t="shared" si="98"/>
        <v>0.75509478205118719</v>
      </c>
      <c r="O1571" s="31">
        <f t="shared" si="99"/>
        <v>1.2448742353821718</v>
      </c>
    </row>
    <row r="1572" spans="1:15" x14ac:dyDescent="0.25">
      <c r="A1572" t="s">
        <v>7309</v>
      </c>
      <c r="B1572" t="s">
        <v>3145</v>
      </c>
      <c r="C1572" s="3" t="s">
        <v>3146</v>
      </c>
      <c r="D1572" s="24">
        <v>0.17616699999999999</v>
      </c>
      <c r="E1572" s="25">
        <v>8.6310000000000002</v>
      </c>
      <c r="F1572" s="25">
        <v>9.0079999999999991</v>
      </c>
      <c r="G1572" s="26">
        <v>-0.37640000000000001</v>
      </c>
      <c r="H1572" s="27">
        <v>0.2455</v>
      </c>
      <c r="I1572" s="26">
        <v>1.5329999999999999</v>
      </c>
      <c r="J1572" s="28">
        <v>6</v>
      </c>
      <c r="K1572" s="27">
        <v>0.30976100000000001</v>
      </c>
      <c r="L1572" s="29">
        <f t="shared" si="96"/>
        <v>0.50897326233857498</v>
      </c>
      <c r="M1572" s="29">
        <f t="shared" si="97"/>
        <v>-0.37699999999999939</v>
      </c>
      <c r="N1572" s="30">
        <f t="shared" si="98"/>
        <v>0.75407544132773852</v>
      </c>
      <c r="O1572" s="31">
        <f t="shared" si="99"/>
        <v>0.77003717423607188</v>
      </c>
    </row>
    <row r="1573" spans="1:15" x14ac:dyDescent="0.25">
      <c r="A1573" t="s">
        <v>7310</v>
      </c>
      <c r="B1573" t="s">
        <v>3147</v>
      </c>
      <c r="C1573" s="3" t="s">
        <v>3148</v>
      </c>
      <c r="D1573" s="24">
        <v>0.176348</v>
      </c>
      <c r="E1573" s="25">
        <v>8.7170000000000005</v>
      </c>
      <c r="F1573" s="25">
        <v>8.3320000000000007</v>
      </c>
      <c r="G1573" s="26">
        <v>0.38519999999999999</v>
      </c>
      <c r="H1573" s="27">
        <v>0.25140000000000001</v>
      </c>
      <c r="I1573" s="26">
        <v>1.532</v>
      </c>
      <c r="J1573" s="28">
        <v>6</v>
      </c>
      <c r="K1573" s="27">
        <v>0.30988199999999999</v>
      </c>
      <c r="L1573" s="29">
        <f t="shared" si="96"/>
        <v>0.50880364972944936</v>
      </c>
      <c r="M1573" s="29">
        <f t="shared" si="97"/>
        <v>0.38500000000000006</v>
      </c>
      <c r="N1573" s="30">
        <f t="shared" si="98"/>
        <v>0.75362946139421882</v>
      </c>
      <c r="O1573" s="31">
        <f t="shared" si="99"/>
        <v>1.3058597870889177</v>
      </c>
    </row>
    <row r="1574" spans="1:15" x14ac:dyDescent="0.25">
      <c r="A1574" t="s">
        <v>7311</v>
      </c>
      <c r="B1574" t="s">
        <v>3149</v>
      </c>
      <c r="C1574" s="3" t="s">
        <v>3150</v>
      </c>
      <c r="D1574" s="24">
        <v>0.17679300000000001</v>
      </c>
      <c r="E1574" s="25">
        <v>7.5979999999999999</v>
      </c>
      <c r="F1574" s="25">
        <v>7.0750000000000002</v>
      </c>
      <c r="G1574" s="26">
        <v>0.52239999999999998</v>
      </c>
      <c r="H1574" s="27">
        <v>0.34129999999999999</v>
      </c>
      <c r="I1574" s="26">
        <v>1.53</v>
      </c>
      <c r="J1574" s="28">
        <v>6</v>
      </c>
      <c r="K1574" s="27">
        <v>0.31046600000000002</v>
      </c>
      <c r="L1574" s="29">
        <f t="shared" si="96"/>
        <v>0.50798595368672084</v>
      </c>
      <c r="M1574" s="29">
        <f t="shared" si="97"/>
        <v>0.5229999999999998</v>
      </c>
      <c r="N1574" s="30">
        <f t="shared" si="98"/>
        <v>0.75253493458062171</v>
      </c>
      <c r="O1574" s="31">
        <f t="shared" si="99"/>
        <v>1.436940176544063</v>
      </c>
    </row>
    <row r="1575" spans="1:15" x14ac:dyDescent="0.25">
      <c r="A1575" t="s">
        <v>7312</v>
      </c>
      <c r="B1575" t="s">
        <v>3151</v>
      </c>
      <c r="C1575" s="3" t="s">
        <v>3152</v>
      </c>
      <c r="D1575" s="24">
        <v>0.17757600000000001</v>
      </c>
      <c r="E1575" s="25">
        <v>8.202</v>
      </c>
      <c r="F1575" s="25">
        <v>7.66</v>
      </c>
      <c r="G1575" s="26">
        <v>0.54139999999999999</v>
      </c>
      <c r="H1575" s="27">
        <v>0.35449999999999998</v>
      </c>
      <c r="I1575" s="26">
        <v>1.5269999999999999</v>
      </c>
      <c r="J1575" s="28">
        <v>6</v>
      </c>
      <c r="K1575" s="27">
        <v>0.31152000000000002</v>
      </c>
      <c r="L1575" s="29">
        <f t="shared" si="96"/>
        <v>0.50651406582404357</v>
      </c>
      <c r="M1575" s="29">
        <f t="shared" si="97"/>
        <v>0.54200000000000004</v>
      </c>
      <c r="N1575" s="30">
        <f t="shared" si="98"/>
        <v>0.75061573096671086</v>
      </c>
      <c r="O1575" s="31">
        <f t="shared" si="99"/>
        <v>1.4559895489990866</v>
      </c>
    </row>
    <row r="1576" spans="1:15" x14ac:dyDescent="0.25">
      <c r="A1576" t="s">
        <v>7313</v>
      </c>
      <c r="B1576" t="s">
        <v>3153</v>
      </c>
      <c r="C1576" s="3" t="s">
        <v>3154</v>
      </c>
      <c r="D1576" s="24">
        <v>0.17762</v>
      </c>
      <c r="E1576" s="25">
        <v>10.78</v>
      </c>
      <c r="F1576" s="25">
        <v>10.63</v>
      </c>
      <c r="G1576" s="26">
        <v>0.14449999999999999</v>
      </c>
      <c r="H1576" s="27">
        <v>9.461E-2</v>
      </c>
      <c r="I1576" s="26">
        <v>1.5269999999999999</v>
      </c>
      <c r="J1576" s="28">
        <v>6</v>
      </c>
      <c r="K1576" s="27">
        <v>0.31152000000000002</v>
      </c>
      <c r="L1576" s="29">
        <f t="shared" si="96"/>
        <v>0.50651406582404357</v>
      </c>
      <c r="M1576" s="29">
        <f t="shared" si="97"/>
        <v>0.14999999999999949</v>
      </c>
      <c r="N1576" s="30">
        <f t="shared" si="98"/>
        <v>0.75050813427473517</v>
      </c>
      <c r="O1576" s="31">
        <f t="shared" si="99"/>
        <v>1.1095694720678446</v>
      </c>
    </row>
    <row r="1577" spans="1:15" x14ac:dyDescent="0.25">
      <c r="A1577" t="s">
        <v>7314</v>
      </c>
      <c r="B1577" t="s">
        <v>3155</v>
      </c>
      <c r="C1577" s="3" t="s">
        <v>3156</v>
      </c>
      <c r="D1577" s="24">
        <v>0.177731</v>
      </c>
      <c r="E1577" s="25">
        <v>8.1750000000000007</v>
      </c>
      <c r="F1577" s="25">
        <v>7.9729999999999999</v>
      </c>
      <c r="G1577" s="26">
        <v>0.2019</v>
      </c>
      <c r="H1577" s="27">
        <v>0.1323</v>
      </c>
      <c r="I1577" s="26">
        <v>1.5269999999999999</v>
      </c>
      <c r="J1577" s="28">
        <v>6</v>
      </c>
      <c r="K1577" s="27">
        <v>0.31152000000000002</v>
      </c>
      <c r="L1577" s="29">
        <f t="shared" si="96"/>
        <v>0.50651406582404357</v>
      </c>
      <c r="M1577" s="29">
        <f t="shared" si="97"/>
        <v>0.20200000000000085</v>
      </c>
      <c r="N1577" s="30">
        <f t="shared" si="98"/>
        <v>0.75023681555572685</v>
      </c>
      <c r="O1577" s="31">
        <f t="shared" si="99"/>
        <v>1.1502918933506059</v>
      </c>
    </row>
    <row r="1578" spans="1:15" x14ac:dyDescent="0.25">
      <c r="A1578" t="s">
        <v>7315</v>
      </c>
      <c r="B1578" t="s">
        <v>3157</v>
      </c>
      <c r="C1578" s="3" t="s">
        <v>3158</v>
      </c>
      <c r="D1578" s="24">
        <v>0.178448</v>
      </c>
      <c r="E1578" s="25">
        <v>7.407</v>
      </c>
      <c r="F1578" s="25">
        <v>6.73</v>
      </c>
      <c r="G1578" s="26">
        <v>0.67759999999999998</v>
      </c>
      <c r="H1578" s="27">
        <v>0.44469999999999998</v>
      </c>
      <c r="I1578" s="26">
        <v>1.524</v>
      </c>
      <c r="J1578" s="28">
        <v>6</v>
      </c>
      <c r="K1578" s="27">
        <v>0.31257800000000002</v>
      </c>
      <c r="L1578" s="29">
        <f t="shared" si="96"/>
        <v>0.50504159194328002</v>
      </c>
      <c r="M1578" s="29">
        <f t="shared" si="97"/>
        <v>0.67699999999999938</v>
      </c>
      <c r="N1578" s="30">
        <f t="shared" si="98"/>
        <v>0.74848831514363168</v>
      </c>
      <c r="O1578" s="31">
        <f t="shared" si="99"/>
        <v>1.5988116607049438</v>
      </c>
    </row>
    <row r="1579" spans="1:15" x14ac:dyDescent="0.25">
      <c r="A1579" t="s">
        <v>7316</v>
      </c>
      <c r="B1579" t="s">
        <v>3163</v>
      </c>
      <c r="C1579" s="3" t="s">
        <v>3164</v>
      </c>
      <c r="D1579" s="24">
        <v>0.17894399999999999</v>
      </c>
      <c r="E1579" s="25">
        <v>10.1</v>
      </c>
      <c r="F1579" s="25">
        <v>9.9499999999999993</v>
      </c>
      <c r="G1579" s="26">
        <v>0.14699999999999999</v>
      </c>
      <c r="H1579" s="27">
        <v>9.6579999999999999E-2</v>
      </c>
      <c r="I1579" s="26">
        <v>1.522</v>
      </c>
      <c r="J1579" s="28">
        <v>6</v>
      </c>
      <c r="K1579" s="27">
        <v>0.31283899999999998</v>
      </c>
      <c r="L1579" s="29">
        <f t="shared" si="96"/>
        <v>0.50467911101821072</v>
      </c>
      <c r="M1579" s="29">
        <f t="shared" si="97"/>
        <v>0.14999999999999949</v>
      </c>
      <c r="N1579" s="30">
        <f t="shared" si="98"/>
        <v>0.74728285894246893</v>
      </c>
      <c r="O1579" s="31">
        <f t="shared" si="99"/>
        <v>1.1095694720678446</v>
      </c>
    </row>
    <row r="1580" spans="1:15" x14ac:dyDescent="0.25">
      <c r="A1580" t="s">
        <v>7317</v>
      </c>
      <c r="B1580" t="s">
        <v>3161</v>
      </c>
      <c r="C1580" s="3" t="s">
        <v>3162</v>
      </c>
      <c r="D1580" s="24">
        <v>0.178872</v>
      </c>
      <c r="E1580" s="25">
        <v>7.7779999999999996</v>
      </c>
      <c r="F1580" s="25">
        <v>7.1589999999999998</v>
      </c>
      <c r="G1580" s="26">
        <v>0.61960000000000004</v>
      </c>
      <c r="H1580" s="27">
        <v>0.40720000000000001</v>
      </c>
      <c r="I1580" s="26">
        <v>1.522</v>
      </c>
      <c r="J1580" s="28">
        <v>6</v>
      </c>
      <c r="K1580" s="27">
        <v>0.31283899999999998</v>
      </c>
      <c r="L1580" s="29">
        <f t="shared" si="96"/>
        <v>0.50467911101821072</v>
      </c>
      <c r="M1580" s="29">
        <f t="shared" si="97"/>
        <v>0.61900000000000022</v>
      </c>
      <c r="N1580" s="30">
        <f t="shared" si="98"/>
        <v>0.74745763705814328</v>
      </c>
      <c r="O1580" s="31">
        <f t="shared" si="99"/>
        <v>1.5358102697020986</v>
      </c>
    </row>
    <row r="1581" spans="1:15" x14ac:dyDescent="0.25">
      <c r="A1581" t="s">
        <v>7318</v>
      </c>
      <c r="B1581" t="s">
        <v>3165</v>
      </c>
      <c r="C1581" s="3" t="s">
        <v>3166</v>
      </c>
      <c r="D1581" s="24">
        <v>0.17912900000000001</v>
      </c>
      <c r="E1581" s="25">
        <v>10.67</v>
      </c>
      <c r="F1581" s="25">
        <v>10.54</v>
      </c>
      <c r="G1581" s="26">
        <v>0.12959999999999999</v>
      </c>
      <c r="H1581" s="27">
        <v>8.5209999999999994E-2</v>
      </c>
      <c r="I1581" s="26">
        <v>1.5209999999999999</v>
      </c>
      <c r="J1581" s="28">
        <v>6</v>
      </c>
      <c r="K1581" s="27">
        <v>0.31283899999999998</v>
      </c>
      <c r="L1581" s="29">
        <f t="shared" si="96"/>
        <v>0.50467911101821072</v>
      </c>
      <c r="M1581" s="29">
        <f t="shared" si="97"/>
        <v>0.13000000000000136</v>
      </c>
      <c r="N1581" s="30">
        <f t="shared" si="98"/>
        <v>0.74683409857069594</v>
      </c>
      <c r="O1581" s="31">
        <f t="shared" si="99"/>
        <v>1.0942937012607405</v>
      </c>
    </row>
    <row r="1582" spans="1:15" x14ac:dyDescent="0.25">
      <c r="A1582" t="s">
        <v>7319</v>
      </c>
      <c r="B1582" t="s">
        <v>3167</v>
      </c>
      <c r="C1582" s="3" t="s">
        <v>3168</v>
      </c>
      <c r="D1582" s="24">
        <v>0.17916299999999999</v>
      </c>
      <c r="E1582" s="25">
        <v>8.8000000000000007</v>
      </c>
      <c r="F1582" s="25">
        <v>9.0180000000000007</v>
      </c>
      <c r="G1582" s="26">
        <v>-0.2177</v>
      </c>
      <c r="H1582" s="27">
        <v>0.14319999999999999</v>
      </c>
      <c r="I1582" s="26">
        <v>1.5209999999999999</v>
      </c>
      <c r="J1582" s="28">
        <v>6</v>
      </c>
      <c r="K1582" s="27">
        <v>0.31283899999999998</v>
      </c>
      <c r="L1582" s="29">
        <f t="shared" si="96"/>
        <v>0.50467911101821072</v>
      </c>
      <c r="M1582" s="29">
        <f t="shared" si="97"/>
        <v>-0.21800000000000017</v>
      </c>
      <c r="N1582" s="30">
        <f t="shared" si="98"/>
        <v>0.74675167411003807</v>
      </c>
      <c r="O1582" s="31">
        <f t="shared" si="99"/>
        <v>0.85975648624300638</v>
      </c>
    </row>
    <row r="1583" spans="1:15" x14ac:dyDescent="0.25">
      <c r="A1583" t="s">
        <v>7320</v>
      </c>
      <c r="B1583" t="s">
        <v>3159</v>
      </c>
      <c r="C1583" s="3" t="s">
        <v>3160</v>
      </c>
      <c r="D1583" s="24">
        <v>0.17879300000000001</v>
      </c>
      <c r="E1583" s="25">
        <v>10.33</v>
      </c>
      <c r="F1583" s="25">
        <v>10.17</v>
      </c>
      <c r="G1583" s="26">
        <v>0.15859999999999999</v>
      </c>
      <c r="H1583" s="27">
        <v>0.1042</v>
      </c>
      <c r="I1583" s="26">
        <v>1.522</v>
      </c>
      <c r="J1583" s="28">
        <v>6</v>
      </c>
      <c r="K1583" s="27">
        <v>0.31283899999999998</v>
      </c>
      <c r="L1583" s="29">
        <f t="shared" si="96"/>
        <v>0.50467911101821072</v>
      </c>
      <c r="M1583" s="29">
        <f t="shared" si="97"/>
        <v>0.16000000000000006</v>
      </c>
      <c r="N1583" s="30">
        <f t="shared" si="98"/>
        <v>0.74764948845332202</v>
      </c>
      <c r="O1583" s="31">
        <f t="shared" si="99"/>
        <v>1.11728713807222</v>
      </c>
    </row>
    <row r="1584" spans="1:15" x14ac:dyDescent="0.25">
      <c r="A1584" t="s">
        <v>7321</v>
      </c>
      <c r="B1584" t="s">
        <v>3169</v>
      </c>
      <c r="C1584" s="3" t="s">
        <v>3170</v>
      </c>
      <c r="D1584" s="24">
        <v>0.18010300000000001</v>
      </c>
      <c r="E1584" s="25">
        <v>9.17</v>
      </c>
      <c r="F1584" s="25">
        <v>9.0839999999999996</v>
      </c>
      <c r="G1584" s="26">
        <v>8.5739999999999997E-2</v>
      </c>
      <c r="H1584" s="27">
        <v>5.6529999999999997E-2</v>
      </c>
      <c r="I1584" s="26">
        <v>1.5169999999999999</v>
      </c>
      <c r="J1584" s="28">
        <v>6</v>
      </c>
      <c r="K1584" s="27">
        <v>0.31398900000000002</v>
      </c>
      <c r="L1584" s="29">
        <f t="shared" si="96"/>
        <v>0.50308556633118195</v>
      </c>
      <c r="M1584" s="29">
        <f t="shared" si="97"/>
        <v>8.6000000000000285E-2</v>
      </c>
      <c r="N1584" s="30">
        <f t="shared" si="98"/>
        <v>0.74447905301836492</v>
      </c>
      <c r="O1584" s="31">
        <f t="shared" si="99"/>
        <v>1.0614232089497948</v>
      </c>
    </row>
    <row r="1585" spans="1:15" x14ac:dyDescent="0.25">
      <c r="A1585" t="s">
        <v>7322</v>
      </c>
      <c r="B1585" t="s">
        <v>3173</v>
      </c>
      <c r="C1585" s="3" t="s">
        <v>3174</v>
      </c>
      <c r="D1585" s="24">
        <v>0.180287</v>
      </c>
      <c r="E1585" s="25">
        <v>10.98</v>
      </c>
      <c r="F1585" s="25">
        <v>10.81</v>
      </c>
      <c r="G1585" s="26">
        <v>0.17</v>
      </c>
      <c r="H1585" s="27">
        <v>0.11219999999999999</v>
      </c>
      <c r="I1585" s="26">
        <v>1.516</v>
      </c>
      <c r="J1585" s="28">
        <v>6</v>
      </c>
      <c r="K1585" s="27">
        <v>0.31398900000000002</v>
      </c>
      <c r="L1585" s="29">
        <f t="shared" si="96"/>
        <v>0.50308556633118195</v>
      </c>
      <c r="M1585" s="29">
        <f t="shared" si="97"/>
        <v>0.17000000000000007</v>
      </c>
      <c r="N1585" s="30">
        <f t="shared" si="98"/>
        <v>0.74403558792991309</v>
      </c>
      <c r="O1585" s="31">
        <f t="shared" si="99"/>
        <v>1.1250584846888094</v>
      </c>
    </row>
    <row r="1586" spans="1:15" x14ac:dyDescent="0.25">
      <c r="A1586" t="s">
        <v>7323</v>
      </c>
      <c r="B1586" t="s">
        <v>3177</v>
      </c>
      <c r="C1586" s="3" t="s">
        <v>3178</v>
      </c>
      <c r="D1586" s="24">
        <v>0.18038999999999999</v>
      </c>
      <c r="E1586" s="25">
        <v>8.9749999999999996</v>
      </c>
      <c r="F1586" s="25">
        <v>8.718</v>
      </c>
      <c r="G1586" s="26">
        <v>0.25740000000000002</v>
      </c>
      <c r="H1586" s="27">
        <v>0.16980000000000001</v>
      </c>
      <c r="I1586" s="26">
        <v>1.516</v>
      </c>
      <c r="J1586" s="28">
        <v>6</v>
      </c>
      <c r="K1586" s="27">
        <v>0.31398900000000002</v>
      </c>
      <c r="L1586" s="29">
        <f t="shared" si="96"/>
        <v>0.50308556633118195</v>
      </c>
      <c r="M1586" s="29">
        <f t="shared" si="97"/>
        <v>0.25699999999999984</v>
      </c>
      <c r="N1586" s="30">
        <f t="shared" si="98"/>
        <v>0.74378754143483838</v>
      </c>
      <c r="O1586" s="31">
        <f t="shared" si="99"/>
        <v>1.1949912048567821</v>
      </c>
    </row>
    <row r="1587" spans="1:15" x14ac:dyDescent="0.25">
      <c r="A1587" t="s">
        <v>7324</v>
      </c>
      <c r="B1587" t="s">
        <v>3171</v>
      </c>
      <c r="C1587" s="3" t="s">
        <v>3172</v>
      </c>
      <c r="D1587" s="24">
        <v>0.180147</v>
      </c>
      <c r="E1587" s="25">
        <v>9.7780000000000005</v>
      </c>
      <c r="F1587" s="25">
        <v>9.968</v>
      </c>
      <c r="G1587" s="26">
        <v>-0.18959999999999999</v>
      </c>
      <c r="H1587" s="27">
        <v>0.125</v>
      </c>
      <c r="I1587" s="26">
        <v>1.5169999999999999</v>
      </c>
      <c r="J1587" s="28">
        <v>6</v>
      </c>
      <c r="K1587" s="27">
        <v>0.31398900000000002</v>
      </c>
      <c r="L1587" s="29">
        <f t="shared" si="96"/>
        <v>0.50308556633118195</v>
      </c>
      <c r="M1587" s="29">
        <f t="shared" si="97"/>
        <v>-0.18999999999999981</v>
      </c>
      <c r="N1587" s="30">
        <f t="shared" si="98"/>
        <v>0.7443729658161512</v>
      </c>
      <c r="O1587" s="31">
        <f t="shared" si="99"/>
        <v>0.8766057213160352</v>
      </c>
    </row>
    <row r="1588" spans="1:15" x14ac:dyDescent="0.25">
      <c r="A1588" t="s">
        <v>7325</v>
      </c>
      <c r="B1588" t="s">
        <v>3175</v>
      </c>
      <c r="C1588" s="3" t="s">
        <v>3176</v>
      </c>
      <c r="D1588" s="24">
        <v>0.18031800000000001</v>
      </c>
      <c r="E1588" s="25">
        <v>10.73</v>
      </c>
      <c r="F1588" s="25">
        <v>10.94</v>
      </c>
      <c r="G1588" s="26">
        <v>-0.2147</v>
      </c>
      <c r="H1588" s="27">
        <v>0.1416</v>
      </c>
      <c r="I1588" s="26">
        <v>1.516</v>
      </c>
      <c r="J1588" s="28">
        <v>6</v>
      </c>
      <c r="K1588" s="27">
        <v>0.31398900000000002</v>
      </c>
      <c r="L1588" s="29">
        <f t="shared" si="96"/>
        <v>0.50308556633118195</v>
      </c>
      <c r="M1588" s="29">
        <f t="shared" si="97"/>
        <v>-0.2099999999999991</v>
      </c>
      <c r="N1588" s="30">
        <f t="shared" si="98"/>
        <v>0.74396091825549282</v>
      </c>
      <c r="O1588" s="31">
        <f t="shared" si="99"/>
        <v>0.86453723130786575</v>
      </c>
    </row>
    <row r="1589" spans="1:15" x14ac:dyDescent="0.25">
      <c r="A1589" t="s">
        <v>7326</v>
      </c>
      <c r="B1589" t="s">
        <v>3179</v>
      </c>
      <c r="C1589" s="3" t="s">
        <v>3180</v>
      </c>
      <c r="D1589" s="24">
        <v>0.18051700000000001</v>
      </c>
      <c r="E1589" s="25">
        <v>7.6449999999999996</v>
      </c>
      <c r="F1589" s="25">
        <v>7.3710000000000004</v>
      </c>
      <c r="G1589" s="26">
        <v>0.27400000000000002</v>
      </c>
      <c r="H1589" s="27">
        <v>0.18090000000000001</v>
      </c>
      <c r="I1589" s="26">
        <v>1.5149999999999999</v>
      </c>
      <c r="J1589" s="28">
        <v>6</v>
      </c>
      <c r="K1589" s="27">
        <v>0.31401200000000001</v>
      </c>
      <c r="L1589" s="29">
        <f t="shared" si="96"/>
        <v>0.5030537550025751</v>
      </c>
      <c r="M1589" s="29">
        <f t="shared" si="97"/>
        <v>0.27399999999999913</v>
      </c>
      <c r="N1589" s="30">
        <f t="shared" si="98"/>
        <v>0.74348189260298803</v>
      </c>
      <c r="O1589" s="31">
        <f t="shared" si="99"/>
        <v>1.2091556758333608</v>
      </c>
    </row>
    <row r="1590" spans="1:15" x14ac:dyDescent="0.25">
      <c r="A1590" t="s">
        <v>7327</v>
      </c>
      <c r="B1590" t="s">
        <v>3183</v>
      </c>
      <c r="C1590" s="3" t="s">
        <v>3184</v>
      </c>
      <c r="D1590" s="24">
        <v>0.18160499999999999</v>
      </c>
      <c r="E1590" s="25">
        <v>9.2840000000000007</v>
      </c>
      <c r="F1590" s="25">
        <v>9.42</v>
      </c>
      <c r="G1590" s="26">
        <v>-0.1356</v>
      </c>
      <c r="H1590" s="27">
        <v>8.9789999999999995E-2</v>
      </c>
      <c r="I1590" s="26">
        <v>1.5109999999999999</v>
      </c>
      <c r="J1590" s="28">
        <v>6</v>
      </c>
      <c r="K1590" s="27">
        <v>0.31549100000000002</v>
      </c>
      <c r="L1590" s="29">
        <f t="shared" si="96"/>
        <v>0.50101302534563941</v>
      </c>
      <c r="M1590" s="29">
        <f t="shared" si="97"/>
        <v>-0.13599999999999865</v>
      </c>
      <c r="N1590" s="30">
        <f t="shared" si="98"/>
        <v>0.74087219853235409</v>
      </c>
      <c r="O1590" s="31">
        <f t="shared" si="99"/>
        <v>0.91003882408089998</v>
      </c>
    </row>
    <row r="1591" spans="1:15" x14ac:dyDescent="0.25">
      <c r="A1591" t="s">
        <v>7328</v>
      </c>
      <c r="B1591" t="s">
        <v>3185</v>
      </c>
      <c r="C1591" s="3" t="s">
        <v>3186</v>
      </c>
      <c r="D1591" s="24">
        <v>0.18171000000000001</v>
      </c>
      <c r="E1591" s="25">
        <v>9.0519999999999996</v>
      </c>
      <c r="F1591" s="25">
        <v>8.8670000000000009</v>
      </c>
      <c r="G1591" s="26">
        <v>0.18440000000000001</v>
      </c>
      <c r="H1591" s="27">
        <v>0.1221</v>
      </c>
      <c r="I1591" s="26">
        <v>1.51</v>
      </c>
      <c r="J1591" s="28">
        <v>6</v>
      </c>
      <c r="K1591" s="27">
        <v>0.31549100000000002</v>
      </c>
      <c r="L1591" s="29">
        <f t="shared" si="96"/>
        <v>0.50101302534563941</v>
      </c>
      <c r="M1591" s="29">
        <f t="shared" si="97"/>
        <v>0.18499999999999861</v>
      </c>
      <c r="N1591" s="30">
        <f t="shared" si="98"/>
        <v>0.74062117161703567</v>
      </c>
      <c r="O1591" s="31">
        <f t="shared" si="99"/>
        <v>1.1368169732360129</v>
      </c>
    </row>
    <row r="1592" spans="1:15" x14ac:dyDescent="0.25">
      <c r="A1592" t="s">
        <v>7329</v>
      </c>
      <c r="B1592" t="s">
        <v>3181</v>
      </c>
      <c r="C1592" s="3" t="s">
        <v>3182</v>
      </c>
      <c r="D1592" s="24">
        <v>0.181589</v>
      </c>
      <c r="E1592" s="25">
        <v>10.28</v>
      </c>
      <c r="F1592" s="25">
        <v>10.46</v>
      </c>
      <c r="G1592" s="26">
        <v>-0.17430000000000001</v>
      </c>
      <c r="H1592" s="27">
        <v>0.1154</v>
      </c>
      <c r="I1592" s="26">
        <v>1.5109999999999999</v>
      </c>
      <c r="J1592" s="28">
        <v>6</v>
      </c>
      <c r="K1592" s="27">
        <v>0.31549100000000002</v>
      </c>
      <c r="L1592" s="29">
        <f t="shared" si="96"/>
        <v>0.50101302534563941</v>
      </c>
      <c r="M1592" s="29">
        <f t="shared" si="97"/>
        <v>-0.18000000000000166</v>
      </c>
      <c r="N1592" s="30">
        <f t="shared" si="98"/>
        <v>0.74091046299550567</v>
      </c>
      <c r="O1592" s="31">
        <f t="shared" si="99"/>
        <v>0.88270299629065385</v>
      </c>
    </row>
    <row r="1593" spans="1:15" x14ac:dyDescent="0.25">
      <c r="A1593" t="s">
        <v>7330</v>
      </c>
      <c r="B1593" t="s">
        <v>3187</v>
      </c>
      <c r="C1593" s="3" t="s">
        <v>3188</v>
      </c>
      <c r="D1593" s="24">
        <v>0.182003</v>
      </c>
      <c r="E1593" s="25">
        <v>8.9329999999999998</v>
      </c>
      <c r="F1593" s="25">
        <v>8.6739999999999995</v>
      </c>
      <c r="G1593" s="26">
        <v>0.25929999999999997</v>
      </c>
      <c r="H1593" s="27">
        <v>0.17180000000000001</v>
      </c>
      <c r="I1593" s="26">
        <v>1.5089999999999999</v>
      </c>
      <c r="J1593" s="28">
        <v>6</v>
      </c>
      <c r="K1593" s="27">
        <v>0.315801</v>
      </c>
      <c r="L1593" s="29">
        <f t="shared" si="96"/>
        <v>0.50058649910988318</v>
      </c>
      <c r="M1593" s="29">
        <f t="shared" si="97"/>
        <v>0.25900000000000062</v>
      </c>
      <c r="N1593" s="30">
        <f t="shared" si="98"/>
        <v>0.73992145337367365</v>
      </c>
      <c r="O1593" s="31">
        <f t="shared" si="99"/>
        <v>1.1966489632307149</v>
      </c>
    </row>
    <row r="1594" spans="1:15" x14ac:dyDescent="0.25">
      <c r="A1594" t="s">
        <v>7331</v>
      </c>
      <c r="B1594" t="s">
        <v>3191</v>
      </c>
      <c r="C1594" s="3" t="s">
        <v>3192</v>
      </c>
      <c r="D1594" s="24">
        <v>0.182255</v>
      </c>
      <c r="E1594" s="25">
        <v>8.8670000000000009</v>
      </c>
      <c r="F1594" s="25">
        <v>9.048</v>
      </c>
      <c r="G1594" s="26">
        <v>-0.18049999999999999</v>
      </c>
      <c r="H1594" s="27">
        <v>0.1197</v>
      </c>
      <c r="I1594" s="26">
        <v>1.508</v>
      </c>
      <c r="J1594" s="28">
        <v>6</v>
      </c>
      <c r="K1594" s="27">
        <v>0.31584200000000001</v>
      </c>
      <c r="L1594" s="29">
        <f t="shared" si="96"/>
        <v>0.50053011892746035</v>
      </c>
      <c r="M1594" s="29">
        <f t="shared" si="97"/>
        <v>-0.18099999999999972</v>
      </c>
      <c r="N1594" s="30">
        <f t="shared" si="98"/>
        <v>0.73932054837282413</v>
      </c>
      <c r="O1594" s="31">
        <f t="shared" si="99"/>
        <v>0.88209136519717668</v>
      </c>
    </row>
    <row r="1595" spans="1:15" x14ac:dyDescent="0.25">
      <c r="A1595" t="s">
        <v>7332</v>
      </c>
      <c r="B1595" t="s">
        <v>3189</v>
      </c>
      <c r="C1595" s="3" t="s">
        <v>3190</v>
      </c>
      <c r="D1595" s="24">
        <v>0.182145</v>
      </c>
      <c r="E1595" s="25">
        <v>9.6340000000000003</v>
      </c>
      <c r="F1595" s="25">
        <v>9.8350000000000009</v>
      </c>
      <c r="G1595" s="26">
        <v>-0.2016</v>
      </c>
      <c r="H1595" s="27">
        <v>0.13370000000000001</v>
      </c>
      <c r="I1595" s="26">
        <v>1.5089999999999999</v>
      </c>
      <c r="J1595" s="28">
        <v>6</v>
      </c>
      <c r="K1595" s="27">
        <v>0.31584200000000001</v>
      </c>
      <c r="L1595" s="29">
        <f t="shared" si="96"/>
        <v>0.50053011892746035</v>
      </c>
      <c r="M1595" s="29">
        <f t="shared" si="97"/>
        <v>-0.20100000000000037</v>
      </c>
      <c r="N1595" s="30">
        <f t="shared" si="98"/>
        <v>0.73958274592749162</v>
      </c>
      <c r="O1595" s="31">
        <f t="shared" si="99"/>
        <v>0.86994735270865053</v>
      </c>
    </row>
    <row r="1596" spans="1:15" x14ac:dyDescent="0.25">
      <c r="A1596" t="s">
        <v>7333</v>
      </c>
      <c r="B1596" t="s">
        <v>3193</v>
      </c>
      <c r="C1596" s="3" t="s">
        <v>3194</v>
      </c>
      <c r="D1596" s="24">
        <v>0.18242700000000001</v>
      </c>
      <c r="E1596" s="25">
        <v>8.7159999999999993</v>
      </c>
      <c r="F1596" s="25">
        <v>8.8379999999999992</v>
      </c>
      <c r="G1596" s="26">
        <v>-0.1221</v>
      </c>
      <c r="H1596" s="27">
        <v>8.097E-2</v>
      </c>
      <c r="I1596" s="26">
        <v>1.5069999999999999</v>
      </c>
      <c r="J1596" s="28">
        <v>6</v>
      </c>
      <c r="K1596" s="27">
        <v>0.31594100000000003</v>
      </c>
      <c r="L1596" s="29">
        <f t="shared" si="96"/>
        <v>0.50039401158028474</v>
      </c>
      <c r="M1596" s="29">
        <f t="shared" si="97"/>
        <v>-0.12200000000000022</v>
      </c>
      <c r="N1596" s="30">
        <f t="shared" si="98"/>
        <v>0.73891088375309399</v>
      </c>
      <c r="O1596" s="31">
        <f t="shared" si="99"/>
        <v>0.91891288347904976</v>
      </c>
    </row>
    <row r="1597" spans="1:15" x14ac:dyDescent="0.25">
      <c r="A1597" t="s">
        <v>7334</v>
      </c>
      <c r="B1597" t="s">
        <v>3197</v>
      </c>
      <c r="C1597" s="3" t="s">
        <v>3198</v>
      </c>
      <c r="D1597" s="24">
        <v>0.182838</v>
      </c>
      <c r="E1597" s="25">
        <v>8.6539999999999999</v>
      </c>
      <c r="F1597" s="25">
        <v>8.4179999999999993</v>
      </c>
      <c r="G1597" s="26">
        <v>0.2359</v>
      </c>
      <c r="H1597" s="27">
        <v>0.15670000000000001</v>
      </c>
      <c r="I1597" s="26">
        <v>1.506</v>
      </c>
      <c r="J1597" s="28">
        <v>6</v>
      </c>
      <c r="K1597" s="27">
        <v>0.31602799999999998</v>
      </c>
      <c r="L1597" s="29">
        <f t="shared" si="96"/>
        <v>0.50027443729684917</v>
      </c>
      <c r="M1597" s="29">
        <f t="shared" si="97"/>
        <v>0.23600000000000113</v>
      </c>
      <c r="N1597" s="30">
        <f t="shared" si="98"/>
        <v>0.73793353794994798</v>
      </c>
      <c r="O1597" s="31">
        <f t="shared" si="99"/>
        <v>1.1777227895949824</v>
      </c>
    </row>
    <row r="1598" spans="1:15" x14ac:dyDescent="0.25">
      <c r="A1598" t="s">
        <v>7335</v>
      </c>
      <c r="B1598" t="s">
        <v>3195</v>
      </c>
      <c r="C1598" s="3" t="s">
        <v>3196</v>
      </c>
      <c r="D1598" s="24">
        <v>0.18265300000000001</v>
      </c>
      <c r="E1598" s="25">
        <v>6.819</v>
      </c>
      <c r="F1598" s="25">
        <v>7.1310000000000002</v>
      </c>
      <c r="G1598" s="26">
        <v>-0.3115</v>
      </c>
      <c r="H1598" s="27">
        <v>0.20680000000000001</v>
      </c>
      <c r="I1598" s="26">
        <v>1.5069999999999999</v>
      </c>
      <c r="J1598" s="28">
        <v>6</v>
      </c>
      <c r="K1598" s="27">
        <v>0.31602799999999998</v>
      </c>
      <c r="L1598" s="29">
        <f t="shared" si="96"/>
        <v>0.50027443729684917</v>
      </c>
      <c r="M1598" s="29">
        <f t="shared" si="97"/>
        <v>-0.31200000000000022</v>
      </c>
      <c r="N1598" s="30">
        <f t="shared" si="98"/>
        <v>0.7383731902861953</v>
      </c>
      <c r="O1598" s="31">
        <f t="shared" si="99"/>
        <v>0.80552429104875012</v>
      </c>
    </row>
    <row r="1599" spans="1:15" x14ac:dyDescent="0.25">
      <c r="A1599" t="s">
        <v>7336</v>
      </c>
      <c r="B1599" t="s">
        <v>3201</v>
      </c>
      <c r="C1599" s="3" t="s">
        <v>3202</v>
      </c>
      <c r="D1599" s="24">
        <v>0.182981</v>
      </c>
      <c r="E1599" s="25">
        <v>10.87</v>
      </c>
      <c r="F1599" s="25">
        <v>10.79</v>
      </c>
      <c r="G1599" s="26">
        <v>8.387E-2</v>
      </c>
      <c r="H1599" s="27">
        <v>5.5719999999999999E-2</v>
      </c>
      <c r="I1599" s="26">
        <v>1.5049999999999999</v>
      </c>
      <c r="J1599" s="28">
        <v>6</v>
      </c>
      <c r="K1599" s="27">
        <v>0.31602799999999998</v>
      </c>
      <c r="L1599" s="29">
        <f t="shared" si="96"/>
        <v>0.50027443729684917</v>
      </c>
      <c r="M1599" s="29">
        <f t="shared" si="97"/>
        <v>8.000000000000046E-2</v>
      </c>
      <c r="N1599" s="30">
        <f t="shared" si="98"/>
        <v>0.73759400329441915</v>
      </c>
      <c r="O1599" s="31">
        <f t="shared" si="99"/>
        <v>1.0570180405613807</v>
      </c>
    </row>
    <row r="1600" spans="1:15" x14ac:dyDescent="0.25">
      <c r="A1600" t="s">
        <v>7337</v>
      </c>
      <c r="B1600" t="s">
        <v>3199</v>
      </c>
      <c r="C1600" s="3" t="s">
        <v>3200</v>
      </c>
      <c r="D1600" s="24">
        <v>0.18287300000000001</v>
      </c>
      <c r="E1600" s="25">
        <v>10.38</v>
      </c>
      <c r="F1600" s="25">
        <v>10.24</v>
      </c>
      <c r="G1600" s="26">
        <v>0.14549999999999999</v>
      </c>
      <c r="H1600" s="27">
        <v>9.6610000000000001E-2</v>
      </c>
      <c r="I1600" s="26">
        <v>1.506</v>
      </c>
      <c r="J1600" s="28">
        <v>6</v>
      </c>
      <c r="K1600" s="27">
        <v>0.31602799999999998</v>
      </c>
      <c r="L1600" s="29">
        <f t="shared" si="96"/>
        <v>0.50027443729684917</v>
      </c>
      <c r="M1600" s="29">
        <f t="shared" si="97"/>
        <v>0.14000000000000024</v>
      </c>
      <c r="N1600" s="30">
        <f t="shared" si="98"/>
        <v>0.73785041052466938</v>
      </c>
      <c r="O1600" s="31">
        <f t="shared" si="99"/>
        <v>1.1019051158766109</v>
      </c>
    </row>
    <row r="1601" spans="1:15" x14ac:dyDescent="0.25">
      <c r="A1601" t="s">
        <v>7338</v>
      </c>
      <c r="B1601" t="s">
        <v>3203</v>
      </c>
      <c r="C1601" s="3" t="s">
        <v>3204</v>
      </c>
      <c r="D1601" s="24">
        <v>0.18304899999999999</v>
      </c>
      <c r="E1601" s="25">
        <v>6.7750000000000004</v>
      </c>
      <c r="F1601" s="25">
        <v>6.3760000000000003</v>
      </c>
      <c r="G1601" s="26">
        <v>0.39950000000000002</v>
      </c>
      <c r="H1601" s="27">
        <v>0.26540000000000002</v>
      </c>
      <c r="I1601" s="26">
        <v>1.5049999999999999</v>
      </c>
      <c r="J1601" s="28">
        <v>6</v>
      </c>
      <c r="K1601" s="27">
        <v>0.31602799999999998</v>
      </c>
      <c r="L1601" s="29">
        <f t="shared" si="96"/>
        <v>0.50027443729684917</v>
      </c>
      <c r="M1601" s="29">
        <f t="shared" si="97"/>
        <v>0.39900000000000108</v>
      </c>
      <c r="N1601" s="30">
        <f t="shared" si="98"/>
        <v>0.73743263933458436</v>
      </c>
      <c r="O1601" s="31">
        <f t="shared" si="99"/>
        <v>1.3185936144923673</v>
      </c>
    </row>
    <row r="1602" spans="1:15" x14ac:dyDescent="0.25">
      <c r="A1602" t="s">
        <v>7339</v>
      </c>
      <c r="B1602" t="s">
        <v>3205</v>
      </c>
      <c r="C1602" s="3" t="s">
        <v>3206</v>
      </c>
      <c r="D1602" s="24">
        <v>0.18352199999999999</v>
      </c>
      <c r="E1602" s="25">
        <v>8.7569999999999997</v>
      </c>
      <c r="F1602" s="25">
        <v>9.0440000000000005</v>
      </c>
      <c r="G1602" s="26">
        <v>-0.28720000000000001</v>
      </c>
      <c r="H1602" s="27">
        <v>0.19109999999999999</v>
      </c>
      <c r="I1602" s="26">
        <v>1.5029999999999999</v>
      </c>
      <c r="J1602" s="28">
        <v>6</v>
      </c>
      <c r="K1602" s="27">
        <v>0.31652000000000002</v>
      </c>
      <c r="L1602" s="29">
        <f t="shared" ref="L1602:L1665" si="100">-LOG(K1602,10)</f>
        <v>0.49959884294452822</v>
      </c>
      <c r="M1602" s="29">
        <f t="shared" ref="M1602:M1665" si="101">LOG(O1602,2)</f>
        <v>-0.28700000000000087</v>
      </c>
      <c r="N1602" s="30">
        <f t="shared" ref="N1602:N1665" si="102">-LOG(D1602,10)</f>
        <v>0.73631186652960512</v>
      </c>
      <c r="O1602" s="31">
        <f t="shared" ref="O1602:O1665" si="103">((2^E1602)/(2^F1602))</f>
        <v>0.81960460763751664</v>
      </c>
    </row>
    <row r="1603" spans="1:15" x14ac:dyDescent="0.25">
      <c r="A1603" t="s">
        <v>7340</v>
      </c>
      <c r="B1603" t="s">
        <v>3207</v>
      </c>
      <c r="C1603" s="3" t="s">
        <v>3208</v>
      </c>
      <c r="D1603" s="24">
        <v>0.183563</v>
      </c>
      <c r="E1603" s="25">
        <v>8.8469999999999995</v>
      </c>
      <c r="F1603" s="25">
        <v>9.1839999999999993</v>
      </c>
      <c r="G1603" s="26">
        <v>-0.33700000000000002</v>
      </c>
      <c r="H1603" s="27">
        <v>0.22420000000000001</v>
      </c>
      <c r="I1603" s="26">
        <v>1.5029999999999999</v>
      </c>
      <c r="J1603" s="28">
        <v>6</v>
      </c>
      <c r="K1603" s="27">
        <v>0.31652000000000002</v>
      </c>
      <c r="L1603" s="29">
        <f t="shared" si="100"/>
        <v>0.49959884294452822</v>
      </c>
      <c r="M1603" s="29">
        <f t="shared" si="101"/>
        <v>-0.3370000000000003</v>
      </c>
      <c r="N1603" s="30">
        <f t="shared" si="102"/>
        <v>0.73621485317394042</v>
      </c>
      <c r="O1603" s="31">
        <f t="shared" si="103"/>
        <v>0.79168586587127154</v>
      </c>
    </row>
    <row r="1604" spans="1:15" x14ac:dyDescent="0.25">
      <c r="A1604" t="s">
        <v>7341</v>
      </c>
      <c r="B1604" t="s">
        <v>3209</v>
      </c>
      <c r="C1604" s="3" t="s">
        <v>3210</v>
      </c>
      <c r="D1604" s="24">
        <v>0.18429499999999999</v>
      </c>
      <c r="E1604" s="25">
        <v>8.1660000000000004</v>
      </c>
      <c r="F1604" s="25">
        <v>7.6219999999999999</v>
      </c>
      <c r="G1604" s="26">
        <v>0.54469999999999996</v>
      </c>
      <c r="H1604" s="27">
        <v>0.36309999999999998</v>
      </c>
      <c r="I1604" s="26">
        <v>1.5</v>
      </c>
      <c r="J1604" s="28">
        <v>6</v>
      </c>
      <c r="K1604" s="27">
        <v>0.31758399999999998</v>
      </c>
      <c r="L1604" s="29">
        <f t="shared" si="100"/>
        <v>0.49814138561127275</v>
      </c>
      <c r="M1604" s="29">
        <f t="shared" si="101"/>
        <v>0.54399999999999926</v>
      </c>
      <c r="N1604" s="30">
        <f t="shared" si="102"/>
        <v>0.73448644721101686</v>
      </c>
      <c r="O1604" s="31">
        <f t="shared" si="103"/>
        <v>1.4580093788165782</v>
      </c>
    </row>
    <row r="1605" spans="1:15" x14ac:dyDescent="0.25">
      <c r="A1605" t="s">
        <v>7342</v>
      </c>
      <c r="B1605" t="s">
        <v>3211</v>
      </c>
      <c r="C1605" s="3" t="s">
        <v>3212</v>
      </c>
      <c r="D1605" s="24">
        <v>0.184421</v>
      </c>
      <c r="E1605" s="25">
        <v>10.57</v>
      </c>
      <c r="F1605" s="25">
        <v>10.84</v>
      </c>
      <c r="G1605" s="26">
        <v>-0.2727</v>
      </c>
      <c r="H1605" s="27">
        <v>0.18190000000000001</v>
      </c>
      <c r="I1605" s="26">
        <v>1.4990000000000001</v>
      </c>
      <c r="J1605" s="28">
        <v>6</v>
      </c>
      <c r="K1605" s="27">
        <v>0.317602</v>
      </c>
      <c r="L1605" s="29">
        <f t="shared" si="100"/>
        <v>0.49811677140165111</v>
      </c>
      <c r="M1605" s="29">
        <f t="shared" si="101"/>
        <v>-0.26999999999999891</v>
      </c>
      <c r="N1605" s="30">
        <f t="shared" si="102"/>
        <v>0.73418962739929261</v>
      </c>
      <c r="O1605" s="31">
        <f t="shared" si="103"/>
        <v>0.82931954581444234</v>
      </c>
    </row>
    <row r="1606" spans="1:15" x14ac:dyDescent="0.25">
      <c r="A1606" t="s">
        <v>7343</v>
      </c>
      <c r="B1606" t="s">
        <v>3213</v>
      </c>
      <c r="C1606" s="3" t="s">
        <v>3214</v>
      </c>
      <c r="D1606" s="24">
        <v>0.18454300000000001</v>
      </c>
      <c r="E1606" s="25">
        <v>8.0969999999999995</v>
      </c>
      <c r="F1606" s="25">
        <v>8.4309999999999992</v>
      </c>
      <c r="G1606" s="26">
        <v>-0.33350000000000002</v>
      </c>
      <c r="H1606" s="27">
        <v>0.2225</v>
      </c>
      <c r="I1606" s="26">
        <v>1.4990000000000001</v>
      </c>
      <c r="J1606" s="28">
        <v>6</v>
      </c>
      <c r="K1606" s="27">
        <v>0.31761499999999998</v>
      </c>
      <c r="L1606" s="29">
        <f t="shared" si="100"/>
        <v>0.49809899534003593</v>
      </c>
      <c r="M1606" s="29">
        <f t="shared" si="101"/>
        <v>-0.33399999999999896</v>
      </c>
      <c r="N1606" s="30">
        <f t="shared" si="102"/>
        <v>0.73390242361397384</v>
      </c>
      <c r="O1606" s="31">
        <f t="shared" si="103"/>
        <v>0.79333384319114342</v>
      </c>
    </row>
    <row r="1607" spans="1:15" x14ac:dyDescent="0.25">
      <c r="A1607" t="s">
        <v>7344</v>
      </c>
      <c r="B1607" t="s">
        <v>3215</v>
      </c>
      <c r="C1607" s="3" t="s">
        <v>3216</v>
      </c>
      <c r="D1607" s="24">
        <v>0.18548999999999999</v>
      </c>
      <c r="E1607" s="25">
        <v>10.23</v>
      </c>
      <c r="F1607" s="25">
        <v>10.11</v>
      </c>
      <c r="G1607" s="26">
        <v>0.11890000000000001</v>
      </c>
      <c r="H1607" s="27">
        <v>7.9549999999999996E-2</v>
      </c>
      <c r="I1607" s="26">
        <v>1.4950000000000001</v>
      </c>
      <c r="J1607" s="28">
        <v>6</v>
      </c>
      <c r="K1607" s="27">
        <v>0.31904700000000003</v>
      </c>
      <c r="L1607" s="29">
        <f t="shared" si="100"/>
        <v>0.49614533469484534</v>
      </c>
      <c r="M1607" s="29">
        <f t="shared" si="101"/>
        <v>0.12000000000000074</v>
      </c>
      <c r="N1607" s="30">
        <f t="shared" si="102"/>
        <v>0.73167949878146221</v>
      </c>
      <c r="O1607" s="31">
        <f t="shared" si="103"/>
        <v>1.0867348625260587</v>
      </c>
    </row>
    <row r="1608" spans="1:15" x14ac:dyDescent="0.25">
      <c r="A1608" t="s">
        <v>7345</v>
      </c>
      <c r="B1608" t="s">
        <v>3217</v>
      </c>
      <c r="C1608" s="3" t="s">
        <v>3218</v>
      </c>
      <c r="D1608" s="24">
        <v>0.18573200000000001</v>
      </c>
      <c r="E1608" s="25">
        <v>8.1649999999999991</v>
      </c>
      <c r="F1608" s="25">
        <v>8.3800000000000008</v>
      </c>
      <c r="G1608" s="26">
        <v>-0.2145</v>
      </c>
      <c r="H1608" s="27">
        <v>0.14349999999999999</v>
      </c>
      <c r="I1608" s="26">
        <v>1.494</v>
      </c>
      <c r="J1608" s="28">
        <v>6</v>
      </c>
      <c r="K1608" s="27">
        <v>0.31926500000000002</v>
      </c>
      <c r="L1608" s="29">
        <f t="shared" si="100"/>
        <v>0.49584868916496055</v>
      </c>
      <c r="M1608" s="29">
        <f t="shared" si="101"/>
        <v>-0.21500000000000141</v>
      </c>
      <c r="N1608" s="30">
        <f t="shared" si="102"/>
        <v>0.73111326467082871</v>
      </c>
      <c r="O1608" s="31">
        <f t="shared" si="103"/>
        <v>0.86154615971201631</v>
      </c>
    </row>
    <row r="1609" spans="1:15" x14ac:dyDescent="0.25">
      <c r="A1609" t="s">
        <v>7346</v>
      </c>
      <c r="B1609" t="s">
        <v>3219</v>
      </c>
      <c r="C1609" s="3" t="s">
        <v>3220</v>
      </c>
      <c r="D1609" s="24">
        <v>0.18604399999999999</v>
      </c>
      <c r="E1609" s="25">
        <v>8.827</v>
      </c>
      <c r="F1609" s="25">
        <v>8.6980000000000004</v>
      </c>
      <c r="G1609" s="26">
        <v>0.12970000000000001</v>
      </c>
      <c r="H1609" s="27">
        <v>8.6840000000000001E-2</v>
      </c>
      <c r="I1609" s="26">
        <v>1.4930000000000001</v>
      </c>
      <c r="J1609" s="28">
        <v>6</v>
      </c>
      <c r="K1609" s="27">
        <v>0.31960100000000002</v>
      </c>
      <c r="L1609" s="29">
        <f t="shared" si="100"/>
        <v>0.49539187049132999</v>
      </c>
      <c r="M1609" s="29">
        <f t="shared" si="101"/>
        <v>0.12899999999999942</v>
      </c>
      <c r="N1609" s="30">
        <f t="shared" si="102"/>
        <v>0.73038433160272398</v>
      </c>
      <c r="O1609" s="31">
        <f t="shared" si="103"/>
        <v>1.0935354574846319</v>
      </c>
    </row>
    <row r="1610" spans="1:15" x14ac:dyDescent="0.25">
      <c r="A1610" t="s">
        <v>7347</v>
      </c>
      <c r="B1610" t="s">
        <v>3221</v>
      </c>
      <c r="C1610" s="3" t="s">
        <v>3222</v>
      </c>
      <c r="D1610" s="24">
        <v>0.186615</v>
      </c>
      <c r="E1610" s="25">
        <v>9.7579999999999991</v>
      </c>
      <c r="F1610" s="25">
        <v>9.5090000000000003</v>
      </c>
      <c r="G1610" s="26">
        <v>0.2487</v>
      </c>
      <c r="H1610" s="27">
        <v>0.1668</v>
      </c>
      <c r="I1610" s="26">
        <v>1.4910000000000001</v>
      </c>
      <c r="J1610" s="28">
        <v>6</v>
      </c>
      <c r="K1610" s="27">
        <v>0.320382</v>
      </c>
      <c r="L1610" s="29">
        <f t="shared" si="100"/>
        <v>0.4943318918395776</v>
      </c>
      <c r="M1610" s="29">
        <f t="shared" si="101"/>
        <v>0.24899999999999903</v>
      </c>
      <c r="N1610" s="30">
        <f t="shared" si="102"/>
        <v>0.72905345086063844</v>
      </c>
      <c r="O1610" s="31">
        <f t="shared" si="103"/>
        <v>1.1883831050569311</v>
      </c>
    </row>
    <row r="1611" spans="1:15" x14ac:dyDescent="0.25">
      <c r="A1611" t="s">
        <v>7348</v>
      </c>
      <c r="B1611" t="s">
        <v>3223</v>
      </c>
      <c r="C1611" s="3" t="s">
        <v>3224</v>
      </c>
      <c r="D1611" s="24">
        <v>0.18698200000000001</v>
      </c>
      <c r="E1611" s="25">
        <v>9.3179999999999996</v>
      </c>
      <c r="F1611" s="25">
        <v>9.0220000000000002</v>
      </c>
      <c r="G1611" s="26">
        <v>0.29670000000000002</v>
      </c>
      <c r="H1611" s="27">
        <v>0.19919999999999999</v>
      </c>
      <c r="I1611" s="26">
        <v>1.4890000000000001</v>
      </c>
      <c r="J1611" s="28">
        <v>6</v>
      </c>
      <c r="K1611" s="27">
        <v>0.32081199999999999</v>
      </c>
      <c r="L1611" s="29">
        <f t="shared" si="100"/>
        <v>0.49374939526221107</v>
      </c>
      <c r="M1611" s="29">
        <f t="shared" si="101"/>
        <v>0.29599999999999982</v>
      </c>
      <c r="N1611" s="30">
        <f t="shared" si="102"/>
        <v>0.72820019922249635</v>
      </c>
      <c r="O1611" s="31">
        <f t="shared" si="103"/>
        <v>1.2277356839150602</v>
      </c>
    </row>
    <row r="1612" spans="1:15" x14ac:dyDescent="0.25">
      <c r="A1612" t="s">
        <v>7349</v>
      </c>
      <c r="B1612" t="s">
        <v>3231</v>
      </c>
      <c r="C1612" s="3" t="s">
        <v>3232</v>
      </c>
      <c r="D1612" s="24">
        <v>0.187446</v>
      </c>
      <c r="E1612" s="25">
        <v>10.42</v>
      </c>
      <c r="F1612" s="25">
        <v>9.2739999999999991</v>
      </c>
      <c r="G1612" s="26">
        <v>1.1439999999999999</v>
      </c>
      <c r="H1612" s="27">
        <v>0.76929999999999998</v>
      </c>
      <c r="I1612" s="26">
        <v>1.4870000000000001</v>
      </c>
      <c r="J1612" s="28">
        <v>6</v>
      </c>
      <c r="K1612" s="27">
        <v>0.32081199999999999</v>
      </c>
      <c r="L1612" s="29">
        <f t="shared" si="100"/>
        <v>0.49374939526221107</v>
      </c>
      <c r="M1612" s="29">
        <f t="shared" si="101"/>
        <v>1.1460000000000004</v>
      </c>
      <c r="N1612" s="30">
        <f t="shared" si="102"/>
        <v>0.72712382276156995</v>
      </c>
      <c r="O1612" s="31">
        <f t="shared" si="103"/>
        <v>2.2129947061845447</v>
      </c>
    </row>
    <row r="1613" spans="1:15" x14ac:dyDescent="0.25">
      <c r="A1613" t="s">
        <v>7350</v>
      </c>
      <c r="B1613" t="s">
        <v>3229</v>
      </c>
      <c r="C1613" s="3" t="s">
        <v>3230</v>
      </c>
      <c r="D1613" s="24">
        <v>0.18737599999999999</v>
      </c>
      <c r="E1613" s="25">
        <v>9.3230000000000004</v>
      </c>
      <c r="F1613" s="25">
        <v>8.6229999999999993</v>
      </c>
      <c r="G1613" s="26">
        <v>0.69979999999999998</v>
      </c>
      <c r="H1613" s="27">
        <v>0.47039999999999998</v>
      </c>
      <c r="I1613" s="26">
        <v>1.488</v>
      </c>
      <c r="J1613" s="28">
        <v>6</v>
      </c>
      <c r="K1613" s="27">
        <v>0.32081199999999999</v>
      </c>
      <c r="L1613" s="29">
        <f t="shared" si="100"/>
        <v>0.49374939526221107</v>
      </c>
      <c r="M1613" s="29">
        <f t="shared" si="101"/>
        <v>0.70000000000000151</v>
      </c>
      <c r="N1613" s="30">
        <f t="shared" si="102"/>
        <v>0.72728603636742384</v>
      </c>
      <c r="O1613" s="31">
        <f t="shared" si="103"/>
        <v>1.6245047927124727</v>
      </c>
    </row>
    <row r="1614" spans="1:15" x14ac:dyDescent="0.25">
      <c r="A1614" t="s">
        <v>7351</v>
      </c>
      <c r="B1614" t="s">
        <v>3227</v>
      </c>
      <c r="C1614" s="3" t="s">
        <v>3228</v>
      </c>
      <c r="D1614" s="24">
        <v>0.187282</v>
      </c>
      <c r="E1614" s="25">
        <v>7.7389999999999999</v>
      </c>
      <c r="F1614" s="25">
        <v>6.38</v>
      </c>
      <c r="G1614" s="26">
        <v>1.359</v>
      </c>
      <c r="H1614" s="27">
        <v>0.91339999999999999</v>
      </c>
      <c r="I1614" s="26">
        <v>1.488</v>
      </c>
      <c r="J1614" s="28">
        <v>6</v>
      </c>
      <c r="K1614" s="27">
        <v>0.32081199999999999</v>
      </c>
      <c r="L1614" s="29">
        <f t="shared" si="100"/>
        <v>0.49374939526221107</v>
      </c>
      <c r="M1614" s="29">
        <f t="shared" si="101"/>
        <v>1.3589999999999998</v>
      </c>
      <c r="N1614" s="30">
        <f t="shared" si="102"/>
        <v>0.72750396141990092</v>
      </c>
      <c r="O1614" s="31">
        <f t="shared" si="103"/>
        <v>2.5650732055244956</v>
      </c>
    </row>
    <row r="1615" spans="1:15" x14ac:dyDescent="0.25">
      <c r="A1615" t="s">
        <v>7352</v>
      </c>
      <c r="B1615" t="s">
        <v>3225</v>
      </c>
      <c r="C1615" s="3" t="s">
        <v>3226</v>
      </c>
      <c r="D1615" s="24">
        <v>0.187227</v>
      </c>
      <c r="E1615" s="25">
        <v>9.0370000000000008</v>
      </c>
      <c r="F1615" s="25">
        <v>8.9209999999999994</v>
      </c>
      <c r="G1615" s="26">
        <v>0.1154</v>
      </c>
      <c r="H1615" s="27">
        <v>7.7560000000000004E-2</v>
      </c>
      <c r="I1615" s="26">
        <v>1.488</v>
      </c>
      <c r="J1615" s="28">
        <v>6</v>
      </c>
      <c r="K1615" s="27">
        <v>0.32081199999999999</v>
      </c>
      <c r="L1615" s="29">
        <f t="shared" si="100"/>
        <v>0.49374939526221107</v>
      </c>
      <c r="M1615" s="29">
        <f t="shared" si="101"/>
        <v>0.1160000000000017</v>
      </c>
      <c r="N1615" s="30">
        <f t="shared" si="102"/>
        <v>0.72763152148749033</v>
      </c>
      <c r="O1615" s="31">
        <f t="shared" si="103"/>
        <v>1.0837259668447814</v>
      </c>
    </row>
    <row r="1616" spans="1:15" x14ac:dyDescent="0.25">
      <c r="A1616" t="s">
        <v>7353</v>
      </c>
      <c r="B1616" t="s">
        <v>3233</v>
      </c>
      <c r="C1616" s="3" t="s">
        <v>3234</v>
      </c>
      <c r="D1616" s="24">
        <v>0.18779399999999999</v>
      </c>
      <c r="E1616" s="25">
        <v>8.9809999999999999</v>
      </c>
      <c r="F1616" s="25">
        <v>8.8170000000000002</v>
      </c>
      <c r="G1616" s="26">
        <v>0.16370000000000001</v>
      </c>
      <c r="H1616" s="27">
        <v>0.1101</v>
      </c>
      <c r="I1616" s="26">
        <v>1.486</v>
      </c>
      <c r="J1616" s="28">
        <v>6</v>
      </c>
      <c r="K1616" s="27">
        <v>0.32120900000000002</v>
      </c>
      <c r="L1616" s="29">
        <f t="shared" si="100"/>
        <v>0.49321229466490668</v>
      </c>
      <c r="M1616" s="29">
        <f t="shared" si="101"/>
        <v>0.16400000000000031</v>
      </c>
      <c r="N1616" s="30">
        <f t="shared" si="102"/>
        <v>0.72631828751462546</v>
      </c>
      <c r="O1616" s="31">
        <f t="shared" si="103"/>
        <v>1.1203892141941763</v>
      </c>
    </row>
    <row r="1617" spans="1:15" x14ac:dyDescent="0.25">
      <c r="A1617" t="s">
        <v>7354</v>
      </c>
      <c r="B1617" t="s">
        <v>3235</v>
      </c>
      <c r="C1617" s="3" t="s">
        <v>3236</v>
      </c>
      <c r="D1617" s="24">
        <v>0.18812499999999999</v>
      </c>
      <c r="E1617" s="25">
        <v>9.6620000000000008</v>
      </c>
      <c r="F1617" s="25">
        <v>9.3309999999999995</v>
      </c>
      <c r="G1617" s="26">
        <v>0.33090000000000003</v>
      </c>
      <c r="H1617" s="27">
        <v>0.22289999999999999</v>
      </c>
      <c r="I1617" s="26">
        <v>1.4850000000000001</v>
      </c>
      <c r="J1617" s="28">
        <v>6</v>
      </c>
      <c r="K1617" s="27">
        <v>0.32157599999999997</v>
      </c>
      <c r="L1617" s="29">
        <f t="shared" si="100"/>
        <v>0.49271637116893907</v>
      </c>
      <c r="M1617" s="29">
        <f t="shared" si="101"/>
        <v>0.33100000000000168</v>
      </c>
      <c r="N1617" s="30">
        <f t="shared" si="102"/>
        <v>0.72555348706208134</v>
      </c>
      <c r="O1617" s="31">
        <f t="shared" si="103"/>
        <v>1.2578849718360194</v>
      </c>
    </row>
    <row r="1618" spans="1:15" x14ac:dyDescent="0.25">
      <c r="A1618" t="s">
        <v>7355</v>
      </c>
      <c r="B1618" t="s">
        <v>3237</v>
      </c>
      <c r="C1618" s="3" t="s">
        <v>3238</v>
      </c>
      <c r="D1618" s="24">
        <v>0.189056</v>
      </c>
      <c r="E1618" s="25">
        <v>10.42</v>
      </c>
      <c r="F1618" s="25">
        <v>10.57</v>
      </c>
      <c r="G1618" s="26">
        <v>-0.15279999999999999</v>
      </c>
      <c r="H1618" s="27">
        <v>0.1032</v>
      </c>
      <c r="I1618" s="26">
        <v>1.4810000000000001</v>
      </c>
      <c r="J1618" s="28">
        <v>6</v>
      </c>
      <c r="K1618" s="27">
        <v>0.32285199999999997</v>
      </c>
      <c r="L1618" s="29">
        <f t="shared" si="100"/>
        <v>0.49099651888715379</v>
      </c>
      <c r="M1618" s="29">
        <f t="shared" si="101"/>
        <v>-0.15000000000000077</v>
      </c>
      <c r="N1618" s="30">
        <f t="shared" si="102"/>
        <v>0.72340953504018202</v>
      </c>
      <c r="O1618" s="31">
        <f t="shared" si="103"/>
        <v>0.90125046261082975</v>
      </c>
    </row>
    <row r="1619" spans="1:15" x14ac:dyDescent="0.25">
      <c r="A1619" t="s">
        <v>7356</v>
      </c>
      <c r="B1619" t="s">
        <v>3239</v>
      </c>
      <c r="C1619" s="3" t="s">
        <v>3240</v>
      </c>
      <c r="D1619" s="24">
        <v>0.189142</v>
      </c>
      <c r="E1619" s="25">
        <v>8.8740000000000006</v>
      </c>
      <c r="F1619" s="25">
        <v>9.1010000000000009</v>
      </c>
      <c r="G1619" s="26">
        <v>-0.22700000000000001</v>
      </c>
      <c r="H1619" s="27">
        <v>0.15329999999999999</v>
      </c>
      <c r="I1619" s="26">
        <v>1.4810000000000001</v>
      </c>
      <c r="J1619" s="28">
        <v>6</v>
      </c>
      <c r="K1619" s="27">
        <v>0.32285199999999997</v>
      </c>
      <c r="L1619" s="29">
        <f t="shared" si="100"/>
        <v>0.49099651888715379</v>
      </c>
      <c r="M1619" s="29">
        <f t="shared" si="101"/>
        <v>-0.22699999999999995</v>
      </c>
      <c r="N1619" s="30">
        <f t="shared" si="102"/>
        <v>0.72321202301691689</v>
      </c>
      <c r="O1619" s="31">
        <f t="shared" si="103"/>
        <v>0.85440974088973309</v>
      </c>
    </row>
    <row r="1620" spans="1:15" x14ac:dyDescent="0.25">
      <c r="A1620" t="s">
        <v>7357</v>
      </c>
      <c r="B1620" t="s">
        <v>3241</v>
      </c>
      <c r="C1620" s="3" t="s">
        <v>3242</v>
      </c>
      <c r="D1620" s="24">
        <v>0.189222</v>
      </c>
      <c r="E1620" s="25">
        <v>8.7050000000000001</v>
      </c>
      <c r="F1620" s="25">
        <v>8.4220000000000006</v>
      </c>
      <c r="G1620" s="26">
        <v>0.28260000000000002</v>
      </c>
      <c r="H1620" s="27">
        <v>0.1908</v>
      </c>
      <c r="I1620" s="26">
        <v>1.4810000000000001</v>
      </c>
      <c r="J1620" s="28">
        <v>6</v>
      </c>
      <c r="K1620" s="27">
        <v>0.32285199999999997</v>
      </c>
      <c r="L1620" s="29">
        <f t="shared" si="100"/>
        <v>0.49099651888715379</v>
      </c>
      <c r="M1620" s="29">
        <f t="shared" si="101"/>
        <v>0.28299999999999909</v>
      </c>
      <c r="N1620" s="30">
        <f t="shared" si="102"/>
        <v>0.72302837151164678</v>
      </c>
      <c r="O1620" s="31">
        <f t="shared" si="103"/>
        <v>1.216722358634067</v>
      </c>
    </row>
    <row r="1621" spans="1:15" x14ac:dyDescent="0.25">
      <c r="A1621" t="s">
        <v>7358</v>
      </c>
      <c r="B1621" t="s">
        <v>3243</v>
      </c>
      <c r="C1621" s="3" t="s">
        <v>3244</v>
      </c>
      <c r="D1621" s="24">
        <v>0.19018099999999999</v>
      </c>
      <c r="E1621" s="25">
        <v>10.210000000000001</v>
      </c>
      <c r="F1621" s="25">
        <v>10.38</v>
      </c>
      <c r="G1621" s="26">
        <v>-0.1774</v>
      </c>
      <c r="H1621" s="27">
        <v>0.1202</v>
      </c>
      <c r="I1621" s="26">
        <v>1.4770000000000001</v>
      </c>
      <c r="J1621" s="28">
        <v>6</v>
      </c>
      <c r="K1621" s="27">
        <v>0.32428699999999999</v>
      </c>
      <c r="L1621" s="29">
        <f t="shared" si="100"/>
        <v>0.48907046095215223</v>
      </c>
      <c r="M1621" s="29">
        <f t="shared" si="101"/>
        <v>-0.17000000000000004</v>
      </c>
      <c r="N1621" s="30">
        <f t="shared" si="102"/>
        <v>0.72083287334670954</v>
      </c>
      <c r="O1621" s="31">
        <f t="shared" si="103"/>
        <v>0.88884268116657017</v>
      </c>
    </row>
    <row r="1622" spans="1:15" x14ac:dyDescent="0.25">
      <c r="A1622" t="s">
        <v>7359</v>
      </c>
      <c r="B1622" t="s">
        <v>3245</v>
      </c>
      <c r="C1622" s="3" t="s">
        <v>3246</v>
      </c>
      <c r="D1622" s="24">
        <v>0.19073499999999999</v>
      </c>
      <c r="E1622" s="25">
        <v>9.7110000000000003</v>
      </c>
      <c r="F1622" s="25">
        <v>9.4719999999999995</v>
      </c>
      <c r="G1622" s="26">
        <v>0.23910000000000001</v>
      </c>
      <c r="H1622" s="27">
        <v>0.16220000000000001</v>
      </c>
      <c r="I1622" s="26">
        <v>1.4750000000000001</v>
      </c>
      <c r="J1622" s="28">
        <v>6</v>
      </c>
      <c r="K1622" s="27">
        <v>0.32503100000000001</v>
      </c>
      <c r="L1622" s="29">
        <f t="shared" si="100"/>
        <v>0.48807521598453435</v>
      </c>
      <c r="M1622" s="29">
        <f t="shared" si="101"/>
        <v>0.23899999999999999</v>
      </c>
      <c r="N1622" s="30">
        <f t="shared" si="102"/>
        <v>0.71956960631346967</v>
      </c>
      <c r="O1622" s="31">
        <f t="shared" si="103"/>
        <v>1.1801743433362017</v>
      </c>
    </row>
    <row r="1623" spans="1:15" x14ac:dyDescent="0.25">
      <c r="A1623" t="s">
        <v>7360</v>
      </c>
      <c r="B1623" t="s">
        <v>3247</v>
      </c>
      <c r="C1623" s="3" t="s">
        <v>3248</v>
      </c>
      <c r="D1623" s="24">
        <v>0.19159999999999999</v>
      </c>
      <c r="E1623" s="25">
        <v>9.6639999999999997</v>
      </c>
      <c r="F1623" s="25">
        <v>9.44</v>
      </c>
      <c r="G1623" s="26">
        <v>0.22459999999999999</v>
      </c>
      <c r="H1623" s="27">
        <v>0.15260000000000001</v>
      </c>
      <c r="I1623" s="26">
        <v>1.4710000000000001</v>
      </c>
      <c r="J1623" s="28">
        <v>6</v>
      </c>
      <c r="K1623" s="27">
        <v>0.32630399999999998</v>
      </c>
      <c r="L1623" s="29">
        <f t="shared" si="100"/>
        <v>0.48637760237737188</v>
      </c>
      <c r="M1623" s="29">
        <f t="shared" si="101"/>
        <v>0.22399999999999987</v>
      </c>
      <c r="N1623" s="30">
        <f t="shared" si="102"/>
        <v>0.71760449525747438</v>
      </c>
      <c r="O1623" s="31">
        <f t="shared" si="103"/>
        <v>1.1679673946131177</v>
      </c>
    </row>
    <row r="1624" spans="1:15" x14ac:dyDescent="0.25">
      <c r="A1624" t="s">
        <v>7361</v>
      </c>
      <c r="B1624" t="s">
        <v>3249</v>
      </c>
      <c r="C1624" s="3" t="s">
        <v>3250</v>
      </c>
      <c r="D1624" s="24">
        <v>0.191967</v>
      </c>
      <c r="E1624" s="25">
        <v>11.41</v>
      </c>
      <c r="F1624" s="25">
        <v>11.33</v>
      </c>
      <c r="G1624" s="26">
        <v>8.0409999999999995E-2</v>
      </c>
      <c r="H1624" s="27">
        <v>5.4699999999999999E-2</v>
      </c>
      <c r="I1624" s="26">
        <v>1.47</v>
      </c>
      <c r="J1624" s="28">
        <v>6</v>
      </c>
      <c r="K1624" s="27">
        <v>0.32672899999999999</v>
      </c>
      <c r="L1624" s="29">
        <f t="shared" si="100"/>
        <v>0.48581231645501266</v>
      </c>
      <c r="M1624" s="29">
        <f t="shared" si="101"/>
        <v>7.9999999999999252E-2</v>
      </c>
      <c r="N1624" s="30">
        <f t="shared" si="102"/>
        <v>0.71677342207601258</v>
      </c>
      <c r="O1624" s="31">
        <f t="shared" si="103"/>
        <v>1.0570180405613798</v>
      </c>
    </row>
    <row r="1625" spans="1:15" x14ac:dyDescent="0.25">
      <c r="A1625" t="s">
        <v>7362</v>
      </c>
      <c r="B1625" t="s">
        <v>3251</v>
      </c>
      <c r="C1625" s="3" t="s">
        <v>3252</v>
      </c>
      <c r="D1625" s="24">
        <v>0.19247700000000001</v>
      </c>
      <c r="E1625" s="25">
        <v>9.4179999999999993</v>
      </c>
      <c r="F1625" s="25">
        <v>9.2240000000000002</v>
      </c>
      <c r="G1625" s="26">
        <v>0.19359999999999999</v>
      </c>
      <c r="H1625" s="27">
        <v>0.13189999999999999</v>
      </c>
      <c r="I1625" s="26">
        <v>1.468</v>
      </c>
      <c r="J1625" s="28">
        <v>6</v>
      </c>
      <c r="K1625" s="27">
        <v>0.32739499999999999</v>
      </c>
      <c r="L1625" s="29">
        <f t="shared" si="100"/>
        <v>0.4849279574500116</v>
      </c>
      <c r="M1625" s="29">
        <f t="shared" si="101"/>
        <v>0.19399999999999851</v>
      </c>
      <c r="N1625" s="30">
        <f t="shared" si="102"/>
        <v>0.7156211589859387</v>
      </c>
      <c r="O1625" s="31">
        <f t="shared" si="103"/>
        <v>1.1439309732038063</v>
      </c>
    </row>
    <row r="1626" spans="1:15" x14ac:dyDescent="0.25">
      <c r="A1626" t="s">
        <v>7363</v>
      </c>
      <c r="B1626" t="s">
        <v>3253</v>
      </c>
      <c r="C1626" s="3" t="s">
        <v>3254</v>
      </c>
      <c r="D1626" s="24">
        <v>0.194267</v>
      </c>
      <c r="E1626" s="25">
        <v>11.85</v>
      </c>
      <c r="F1626" s="25">
        <v>12.11</v>
      </c>
      <c r="G1626" s="26">
        <v>-0.26379999999999998</v>
      </c>
      <c r="H1626" s="27">
        <v>0.18049999999999999</v>
      </c>
      <c r="I1626" s="26">
        <v>1.4610000000000001</v>
      </c>
      <c r="J1626" s="28">
        <v>6</v>
      </c>
      <c r="K1626" s="27">
        <v>0.33023599999999997</v>
      </c>
      <c r="L1626" s="29">
        <f t="shared" si="100"/>
        <v>0.48117558477058869</v>
      </c>
      <c r="M1626" s="29">
        <f t="shared" si="101"/>
        <v>-0.25999999999999984</v>
      </c>
      <c r="N1626" s="30">
        <f t="shared" si="102"/>
        <v>0.71160096643620996</v>
      </c>
      <c r="O1626" s="31">
        <f t="shared" si="103"/>
        <v>0.83508791942836946</v>
      </c>
    </row>
    <row r="1627" spans="1:15" x14ac:dyDescent="0.25">
      <c r="A1627" t="s">
        <v>7364</v>
      </c>
      <c r="B1627" t="s">
        <v>3255</v>
      </c>
      <c r="C1627" s="3" t="s">
        <v>3256</v>
      </c>
      <c r="D1627" s="24">
        <v>0.19440199999999999</v>
      </c>
      <c r="E1627" s="25">
        <v>6.6849999999999996</v>
      </c>
      <c r="F1627" s="25">
        <v>6.26</v>
      </c>
      <c r="G1627" s="26">
        <v>0.42549999999999999</v>
      </c>
      <c r="H1627" s="27">
        <v>0.2913</v>
      </c>
      <c r="I1627" s="26">
        <v>1.4610000000000001</v>
      </c>
      <c r="J1627" s="28">
        <v>6</v>
      </c>
      <c r="K1627" s="27">
        <v>0.330262</v>
      </c>
      <c r="L1627" s="29">
        <f t="shared" si="100"/>
        <v>0.48114139342849432</v>
      </c>
      <c r="M1627" s="29">
        <f t="shared" si="101"/>
        <v>0.42500000000000032</v>
      </c>
      <c r="N1627" s="30">
        <f t="shared" si="102"/>
        <v>0.71129927138250248</v>
      </c>
      <c r="O1627" s="31">
        <f t="shared" si="103"/>
        <v>1.3425725027802637</v>
      </c>
    </row>
    <row r="1628" spans="1:15" x14ac:dyDescent="0.25">
      <c r="A1628" t="s">
        <v>7365</v>
      </c>
      <c r="B1628" t="s">
        <v>3257</v>
      </c>
      <c r="C1628" s="3" t="s">
        <v>3258</v>
      </c>
      <c r="D1628" s="24">
        <v>0.195072</v>
      </c>
      <c r="E1628" s="25">
        <v>7.2409999999999997</v>
      </c>
      <c r="F1628" s="25">
        <v>7.55</v>
      </c>
      <c r="G1628" s="26">
        <v>-0.309</v>
      </c>
      <c r="H1628" s="27">
        <v>0.21190000000000001</v>
      </c>
      <c r="I1628" s="26">
        <v>1.458</v>
      </c>
      <c r="J1628" s="28">
        <v>6</v>
      </c>
      <c r="K1628" s="27">
        <v>0.33119700000000002</v>
      </c>
      <c r="L1628" s="29">
        <f t="shared" si="100"/>
        <v>0.47991360573180258</v>
      </c>
      <c r="M1628" s="29">
        <f t="shared" si="101"/>
        <v>-0.30900000000000011</v>
      </c>
      <c r="N1628" s="30">
        <f t="shared" si="102"/>
        <v>0.70980506334854987</v>
      </c>
      <c r="O1628" s="31">
        <f t="shared" si="103"/>
        <v>0.80720107450476486</v>
      </c>
    </row>
    <row r="1629" spans="1:15" x14ac:dyDescent="0.25">
      <c r="A1629" t="s">
        <v>7366</v>
      </c>
      <c r="B1629" t="s">
        <v>3263</v>
      </c>
      <c r="C1629" s="3" t="s">
        <v>3264</v>
      </c>
      <c r="D1629" s="24">
        <v>0.196962</v>
      </c>
      <c r="E1629" s="25">
        <v>10.5</v>
      </c>
      <c r="F1629" s="25">
        <v>10.29</v>
      </c>
      <c r="G1629" s="26">
        <v>0.21249999999999999</v>
      </c>
      <c r="H1629" s="27">
        <v>0.14649999999999999</v>
      </c>
      <c r="I1629" s="26">
        <v>1.4510000000000001</v>
      </c>
      <c r="J1629" s="28">
        <v>6</v>
      </c>
      <c r="K1629" s="27">
        <v>0.333791</v>
      </c>
      <c r="L1629" s="29">
        <f t="shared" si="100"/>
        <v>0.47652537737226364</v>
      </c>
      <c r="M1629" s="29">
        <f t="shared" si="101"/>
        <v>0.21000000000000185</v>
      </c>
      <c r="N1629" s="30">
        <f t="shared" si="102"/>
        <v>0.70561755445868768</v>
      </c>
      <c r="O1629" s="31">
        <f t="shared" si="103"/>
        <v>1.1566881839052889</v>
      </c>
    </row>
    <row r="1630" spans="1:15" x14ac:dyDescent="0.25">
      <c r="A1630" t="s">
        <v>7367</v>
      </c>
      <c r="B1630" t="s">
        <v>3259</v>
      </c>
      <c r="C1630" s="3" t="s">
        <v>3260</v>
      </c>
      <c r="D1630" s="24">
        <v>0.19678200000000001</v>
      </c>
      <c r="E1630" s="25">
        <v>6.9119999999999999</v>
      </c>
      <c r="F1630" s="25">
        <v>6.6150000000000002</v>
      </c>
      <c r="G1630" s="26">
        <v>0.29709999999999998</v>
      </c>
      <c r="H1630" s="27">
        <v>0.2046</v>
      </c>
      <c r="I1630" s="26">
        <v>1.452</v>
      </c>
      <c r="J1630" s="28">
        <v>6</v>
      </c>
      <c r="K1630" s="27">
        <v>0.333791</v>
      </c>
      <c r="L1630" s="29">
        <f t="shared" si="100"/>
        <v>0.47652537737226364</v>
      </c>
      <c r="M1630" s="29">
        <f t="shared" si="101"/>
        <v>0.29700000000000004</v>
      </c>
      <c r="N1630" s="30">
        <f t="shared" si="102"/>
        <v>0.70601462977761698</v>
      </c>
      <c r="O1630" s="31">
        <f t="shared" si="103"/>
        <v>1.22858698044565</v>
      </c>
    </row>
    <row r="1631" spans="1:15" x14ac:dyDescent="0.25">
      <c r="A1631" t="s">
        <v>7368</v>
      </c>
      <c r="B1631" t="s">
        <v>3261</v>
      </c>
      <c r="C1631" s="3" t="s">
        <v>3262</v>
      </c>
      <c r="D1631" s="24">
        <v>0.196848</v>
      </c>
      <c r="E1631" s="25">
        <v>8.8490000000000002</v>
      </c>
      <c r="F1631" s="25">
        <v>8.4909999999999997</v>
      </c>
      <c r="G1631" s="26">
        <v>0.3579</v>
      </c>
      <c r="H1631" s="27">
        <v>0.2465</v>
      </c>
      <c r="I1631" s="26">
        <v>1.4510000000000001</v>
      </c>
      <c r="J1631" s="28">
        <v>6</v>
      </c>
      <c r="K1631" s="27">
        <v>0.333791</v>
      </c>
      <c r="L1631" s="29">
        <f t="shared" si="100"/>
        <v>0.47652537737226364</v>
      </c>
      <c r="M1631" s="29">
        <f t="shared" si="101"/>
        <v>0.35800000000000037</v>
      </c>
      <c r="N1631" s="30">
        <f t="shared" si="102"/>
        <v>0.70586899333692799</v>
      </c>
      <c r="O1631" s="31">
        <f t="shared" si="103"/>
        <v>1.2816479241601932</v>
      </c>
    </row>
    <row r="1632" spans="1:15" x14ac:dyDescent="0.25">
      <c r="A1632" t="s">
        <v>7369</v>
      </c>
      <c r="B1632" t="s">
        <v>3265</v>
      </c>
      <c r="C1632" s="3" t="s">
        <v>3266</v>
      </c>
      <c r="D1632" s="24">
        <v>0.197325</v>
      </c>
      <c r="E1632" s="25">
        <v>9.6720000000000006</v>
      </c>
      <c r="F1632" s="25">
        <v>9.5150000000000006</v>
      </c>
      <c r="G1632" s="26">
        <v>0.15659999999999999</v>
      </c>
      <c r="H1632" s="27">
        <v>0.108</v>
      </c>
      <c r="I1632" s="26">
        <v>1.45</v>
      </c>
      <c r="J1632" s="28">
        <v>6</v>
      </c>
      <c r="K1632" s="27">
        <v>0.3342</v>
      </c>
      <c r="L1632" s="29">
        <f t="shared" si="100"/>
        <v>0.47599355444262742</v>
      </c>
      <c r="M1632" s="29">
        <f t="shared" si="101"/>
        <v>0.15699999999999997</v>
      </c>
      <c r="N1632" s="30">
        <f t="shared" si="102"/>
        <v>0.70481788852259697</v>
      </c>
      <c r="O1632" s="31">
        <f t="shared" si="103"/>
        <v>1.1149662187276974</v>
      </c>
    </row>
    <row r="1633" spans="1:15" x14ac:dyDescent="0.25">
      <c r="A1633" t="s">
        <v>7370</v>
      </c>
      <c r="B1633" t="s">
        <v>3267</v>
      </c>
      <c r="C1633" s="3" t="s">
        <v>3268</v>
      </c>
      <c r="D1633" s="24">
        <v>0.197543</v>
      </c>
      <c r="E1633" s="25">
        <v>7.984</v>
      </c>
      <c r="F1633" s="25">
        <v>8.1479999999999997</v>
      </c>
      <c r="G1633" s="26">
        <v>-0.1638</v>
      </c>
      <c r="H1633" s="27">
        <v>0.11310000000000001</v>
      </c>
      <c r="I1633" s="26">
        <v>1.4490000000000001</v>
      </c>
      <c r="J1633" s="28">
        <v>6</v>
      </c>
      <c r="K1633" s="27">
        <v>0.33436399999999999</v>
      </c>
      <c r="L1633" s="29">
        <f t="shared" si="100"/>
        <v>0.47578048794051031</v>
      </c>
      <c r="M1633" s="29">
        <f t="shared" si="101"/>
        <v>-0.1640000000000002</v>
      </c>
      <c r="N1633" s="30">
        <f t="shared" si="102"/>
        <v>0.70433835507509601</v>
      </c>
      <c r="O1633" s="31">
        <f t="shared" si="103"/>
        <v>0.89254697147297657</v>
      </c>
    </row>
    <row r="1634" spans="1:15" x14ac:dyDescent="0.25">
      <c r="A1634" t="s">
        <v>7371</v>
      </c>
      <c r="B1634" t="s">
        <v>3271</v>
      </c>
      <c r="C1634" s="3" t="s">
        <v>3272</v>
      </c>
      <c r="D1634" s="24">
        <v>0.198049</v>
      </c>
      <c r="E1634" s="25">
        <v>11.68</v>
      </c>
      <c r="F1634" s="25">
        <v>11.9</v>
      </c>
      <c r="G1634" s="26">
        <v>-0.2248</v>
      </c>
      <c r="H1634" s="27">
        <v>0.15540000000000001</v>
      </c>
      <c r="I1634" s="26">
        <v>1.4470000000000001</v>
      </c>
      <c r="J1634" s="28">
        <v>6</v>
      </c>
      <c r="K1634" s="27">
        <v>0.33481100000000003</v>
      </c>
      <c r="L1634" s="29">
        <f t="shared" si="100"/>
        <v>0.47520028197858782</v>
      </c>
      <c r="M1634" s="29">
        <f t="shared" si="101"/>
        <v>-0.22000000000000061</v>
      </c>
      <c r="N1634" s="30">
        <f t="shared" si="102"/>
        <v>0.7032273461179479</v>
      </c>
      <c r="O1634" s="31">
        <f t="shared" si="103"/>
        <v>0.8585654364377534</v>
      </c>
    </row>
    <row r="1635" spans="1:15" x14ac:dyDescent="0.25">
      <c r="A1635" t="s">
        <v>7372</v>
      </c>
      <c r="B1635" t="s">
        <v>3269</v>
      </c>
      <c r="C1635" s="3" t="s">
        <v>3270</v>
      </c>
      <c r="D1635" s="24">
        <v>0.19800499999999999</v>
      </c>
      <c r="E1635" s="25">
        <v>8.1790000000000003</v>
      </c>
      <c r="F1635" s="25">
        <v>8.0549999999999997</v>
      </c>
      <c r="G1635" s="26">
        <v>0.1241</v>
      </c>
      <c r="H1635" s="27">
        <v>8.5760000000000003E-2</v>
      </c>
      <c r="I1635" s="26">
        <v>1.4470000000000001</v>
      </c>
      <c r="J1635" s="28">
        <v>6</v>
      </c>
      <c r="K1635" s="27">
        <v>0.33481100000000003</v>
      </c>
      <c r="L1635" s="29">
        <f t="shared" si="100"/>
        <v>0.47520028197858782</v>
      </c>
      <c r="M1635" s="29">
        <f t="shared" si="101"/>
        <v>0.1240000000000001</v>
      </c>
      <c r="N1635" s="30">
        <f t="shared" si="102"/>
        <v>0.70332384284456784</v>
      </c>
      <c r="O1635" s="31">
        <f t="shared" si="103"/>
        <v>1.0897521122133282</v>
      </c>
    </row>
    <row r="1636" spans="1:15" x14ac:dyDescent="0.25">
      <c r="A1636" t="s">
        <v>7373</v>
      </c>
      <c r="B1636" t="s">
        <v>3275</v>
      </c>
      <c r="C1636" s="3" t="s">
        <v>3276</v>
      </c>
      <c r="D1636" s="24">
        <v>0.19869400000000001</v>
      </c>
      <c r="E1636" s="25">
        <v>8.0109999999999992</v>
      </c>
      <c r="F1636" s="25">
        <v>7.6779999999999999</v>
      </c>
      <c r="G1636" s="26">
        <v>0.33300000000000002</v>
      </c>
      <c r="H1636" s="27">
        <v>0.23050000000000001</v>
      </c>
      <c r="I1636" s="26">
        <v>1.4450000000000001</v>
      </c>
      <c r="J1636" s="28">
        <v>6</v>
      </c>
      <c r="K1636" s="27">
        <v>0.33549000000000001</v>
      </c>
      <c r="L1636" s="29">
        <f t="shared" si="100"/>
        <v>0.47432042038185585</v>
      </c>
      <c r="M1636" s="29">
        <f t="shared" si="101"/>
        <v>0.33300000000000002</v>
      </c>
      <c r="N1636" s="30">
        <f t="shared" si="102"/>
        <v>0.70181524716413768</v>
      </c>
      <c r="O1636" s="31">
        <f t="shared" si="103"/>
        <v>1.2596299799473993</v>
      </c>
    </row>
    <row r="1637" spans="1:15" x14ac:dyDescent="0.25">
      <c r="A1637" t="s">
        <v>7374</v>
      </c>
      <c r="B1637" t="s">
        <v>3273</v>
      </c>
      <c r="C1637" s="3" t="s">
        <v>3274</v>
      </c>
      <c r="D1637" s="24">
        <v>0.19858999999999999</v>
      </c>
      <c r="E1637" s="25">
        <v>11.26</v>
      </c>
      <c r="F1637" s="25">
        <v>11.53</v>
      </c>
      <c r="G1637" s="26">
        <v>-0.27050000000000002</v>
      </c>
      <c r="H1637" s="27">
        <v>0.18720000000000001</v>
      </c>
      <c r="I1637" s="26">
        <v>1.4450000000000001</v>
      </c>
      <c r="J1637" s="28">
        <v>6</v>
      </c>
      <c r="K1637" s="27">
        <v>0.33549000000000001</v>
      </c>
      <c r="L1637" s="29">
        <f t="shared" si="100"/>
        <v>0.47432042038185585</v>
      </c>
      <c r="M1637" s="29">
        <f t="shared" si="101"/>
        <v>-0.26999999999999891</v>
      </c>
      <c r="N1637" s="30">
        <f t="shared" si="102"/>
        <v>0.70204262418989083</v>
      </c>
      <c r="O1637" s="31">
        <f t="shared" si="103"/>
        <v>0.82931954581444234</v>
      </c>
    </row>
    <row r="1638" spans="1:15" x14ac:dyDescent="0.25">
      <c r="A1638" t="s">
        <v>7375</v>
      </c>
      <c r="B1638" t="s">
        <v>3277</v>
      </c>
      <c r="C1638" s="3" t="s">
        <v>3278</v>
      </c>
      <c r="D1638" s="24">
        <v>0.19908999999999999</v>
      </c>
      <c r="E1638" s="25">
        <v>10.45</v>
      </c>
      <c r="F1638" s="25">
        <v>10.55</v>
      </c>
      <c r="G1638" s="26">
        <v>-0.1011</v>
      </c>
      <c r="H1638" s="27">
        <v>7.0040000000000005E-2</v>
      </c>
      <c r="I1638" s="26">
        <v>1.4430000000000001</v>
      </c>
      <c r="J1638" s="28">
        <v>6</v>
      </c>
      <c r="K1638" s="27">
        <v>0.335955</v>
      </c>
      <c r="L1638" s="29">
        <f t="shared" si="100"/>
        <v>0.47371889094498443</v>
      </c>
      <c r="M1638" s="29">
        <f t="shared" si="101"/>
        <v>-0.10000000000000121</v>
      </c>
      <c r="N1638" s="30">
        <f t="shared" si="102"/>
        <v>0.70095055340246026</v>
      </c>
      <c r="O1638" s="31">
        <f t="shared" si="103"/>
        <v>0.93303299153680663</v>
      </c>
    </row>
    <row r="1639" spans="1:15" x14ac:dyDescent="0.25">
      <c r="A1639" t="s">
        <v>7376</v>
      </c>
      <c r="B1639" t="s">
        <v>3279</v>
      </c>
      <c r="C1639" s="3" t="s">
        <v>3280</v>
      </c>
      <c r="D1639" s="24">
        <v>0.199296</v>
      </c>
      <c r="E1639" s="25">
        <v>9.3539999999999992</v>
      </c>
      <c r="F1639" s="25">
        <v>9.0709999999999997</v>
      </c>
      <c r="G1639" s="26">
        <v>0.2828</v>
      </c>
      <c r="H1639" s="27">
        <v>0.1961</v>
      </c>
      <c r="I1639" s="26">
        <v>1.4419999999999999</v>
      </c>
      <c r="J1639" s="28">
        <v>6</v>
      </c>
      <c r="K1639" s="27">
        <v>0.33609600000000001</v>
      </c>
      <c r="L1639" s="29">
        <f t="shared" si="100"/>
        <v>0.47353665619539886</v>
      </c>
      <c r="M1639" s="29">
        <f t="shared" si="101"/>
        <v>0.28299999999999909</v>
      </c>
      <c r="N1639" s="30">
        <f t="shared" si="102"/>
        <v>0.7005014177840112</v>
      </c>
      <c r="O1639" s="31">
        <f t="shared" si="103"/>
        <v>1.216722358634067</v>
      </c>
    </row>
    <row r="1640" spans="1:15" x14ac:dyDescent="0.25">
      <c r="A1640" t="s">
        <v>7377</v>
      </c>
      <c r="B1640" t="s">
        <v>3281</v>
      </c>
      <c r="C1640" s="3" t="s">
        <v>3282</v>
      </c>
      <c r="D1640" s="24">
        <v>0.200431</v>
      </c>
      <c r="E1640" s="25">
        <v>8.9450000000000003</v>
      </c>
      <c r="F1640" s="25">
        <v>8.77</v>
      </c>
      <c r="G1640" s="26">
        <v>0.1759</v>
      </c>
      <c r="H1640" s="27">
        <v>0.12230000000000001</v>
      </c>
      <c r="I1640" s="26">
        <v>1.4379999999999999</v>
      </c>
      <c r="J1640" s="28">
        <v>6</v>
      </c>
      <c r="K1640" s="27">
        <v>0.33774900000000002</v>
      </c>
      <c r="L1640" s="29">
        <f t="shared" si="100"/>
        <v>0.47140592815382165</v>
      </c>
      <c r="M1640" s="29">
        <f t="shared" si="101"/>
        <v>0.17500000000000102</v>
      </c>
      <c r="N1640" s="30">
        <f t="shared" si="102"/>
        <v>0.69803510671828228</v>
      </c>
      <c r="O1640" s="31">
        <f t="shared" si="103"/>
        <v>1.128964404806132</v>
      </c>
    </row>
    <row r="1641" spans="1:15" x14ac:dyDescent="0.25">
      <c r="A1641" t="s">
        <v>7378</v>
      </c>
      <c r="B1641" t="s">
        <v>3283</v>
      </c>
      <c r="C1641" s="3" t="s">
        <v>3284</v>
      </c>
      <c r="D1641" s="24">
        <v>0.200521</v>
      </c>
      <c r="E1641" s="25">
        <v>9.2989999999999995</v>
      </c>
      <c r="F1641" s="25">
        <v>9.2309999999999999</v>
      </c>
      <c r="G1641" s="26">
        <v>6.8180000000000004E-2</v>
      </c>
      <c r="H1641" s="27">
        <v>4.7419999999999997E-2</v>
      </c>
      <c r="I1641" s="26">
        <v>1.4379999999999999</v>
      </c>
      <c r="J1641" s="28">
        <v>6</v>
      </c>
      <c r="K1641" s="27">
        <v>0.33774900000000002</v>
      </c>
      <c r="L1641" s="29">
        <f t="shared" si="100"/>
        <v>0.47140592815382165</v>
      </c>
      <c r="M1641" s="29">
        <f t="shared" si="101"/>
        <v>6.7999999999999103E-2</v>
      </c>
      <c r="N1641" s="30">
        <f t="shared" si="102"/>
        <v>0.69784013822316193</v>
      </c>
      <c r="O1641" s="31">
        <f t="shared" si="103"/>
        <v>1.0482624755169281</v>
      </c>
    </row>
    <row r="1642" spans="1:15" x14ac:dyDescent="0.25">
      <c r="A1642" t="s">
        <v>7379</v>
      </c>
      <c r="B1642" t="s">
        <v>3287</v>
      </c>
      <c r="C1642" s="3" t="s">
        <v>3288</v>
      </c>
      <c r="D1642" s="24">
        <v>0.201264</v>
      </c>
      <c r="E1642" s="25">
        <v>10.96</v>
      </c>
      <c r="F1642" s="25">
        <v>10.83</v>
      </c>
      <c r="G1642" s="26">
        <v>0.12859999999999999</v>
      </c>
      <c r="H1642" s="27">
        <v>8.9590000000000003E-2</v>
      </c>
      <c r="I1642" s="26">
        <v>1.4350000000000001</v>
      </c>
      <c r="J1642" s="28">
        <v>6</v>
      </c>
      <c r="K1642" s="27">
        <v>0.338588</v>
      </c>
      <c r="L1642" s="29">
        <f t="shared" si="100"/>
        <v>0.47032843791678675</v>
      </c>
      <c r="M1642" s="29">
        <f t="shared" si="101"/>
        <v>0.12999999999999987</v>
      </c>
      <c r="N1642" s="30">
        <f t="shared" si="102"/>
        <v>0.69623390022084453</v>
      </c>
      <c r="O1642" s="31">
        <f t="shared" si="103"/>
        <v>1.0942937012607394</v>
      </c>
    </row>
    <row r="1643" spans="1:15" x14ac:dyDescent="0.25">
      <c r="A1643" t="s">
        <v>7380</v>
      </c>
      <c r="B1643" t="s">
        <v>3285</v>
      </c>
      <c r="C1643" s="3" t="s">
        <v>3286</v>
      </c>
      <c r="D1643" s="24">
        <v>0.201215</v>
      </c>
      <c r="E1643" s="25">
        <v>8.6449999999999996</v>
      </c>
      <c r="F1643" s="25">
        <v>7.9779999999999998</v>
      </c>
      <c r="G1643" s="26">
        <v>0.66759999999999997</v>
      </c>
      <c r="H1643" s="27">
        <v>0.46510000000000001</v>
      </c>
      <c r="I1643" s="26">
        <v>1.4350000000000001</v>
      </c>
      <c r="J1643" s="28">
        <v>6</v>
      </c>
      <c r="K1643" s="27">
        <v>0.338588</v>
      </c>
      <c r="L1643" s="29">
        <f t="shared" si="100"/>
        <v>0.47032843791678675</v>
      </c>
      <c r="M1643" s="29">
        <f t="shared" si="101"/>
        <v>0.66700000000000004</v>
      </c>
      <c r="N1643" s="30">
        <f t="shared" si="102"/>
        <v>0.6963396470037494</v>
      </c>
      <c r="O1643" s="31">
        <f t="shared" si="103"/>
        <v>1.5877678618633051</v>
      </c>
    </row>
    <row r="1644" spans="1:15" x14ac:dyDescent="0.25">
      <c r="A1644" t="s">
        <v>7381</v>
      </c>
      <c r="B1644" t="s">
        <v>3289</v>
      </c>
      <c r="C1644" s="3" t="s">
        <v>3290</v>
      </c>
      <c r="D1644" s="24">
        <v>0.20270299999999999</v>
      </c>
      <c r="E1644" s="25">
        <v>8.3219999999999992</v>
      </c>
      <c r="F1644" s="25">
        <v>7.96</v>
      </c>
      <c r="G1644" s="26">
        <v>0.36220000000000002</v>
      </c>
      <c r="H1644" s="27">
        <v>0.25330000000000003</v>
      </c>
      <c r="I1644" s="26">
        <v>1.43</v>
      </c>
      <c r="J1644" s="28">
        <v>6</v>
      </c>
      <c r="K1644" s="27">
        <v>0.34080199999999999</v>
      </c>
      <c r="L1644" s="29">
        <f t="shared" si="100"/>
        <v>0.46749786523627901</v>
      </c>
      <c r="M1644" s="29">
        <f t="shared" si="101"/>
        <v>0.36199999999999921</v>
      </c>
      <c r="N1644" s="30">
        <f t="shared" si="102"/>
        <v>0.69313982371052196</v>
      </c>
      <c r="O1644" s="31">
        <f t="shared" si="103"/>
        <v>1.2852063374693723</v>
      </c>
    </row>
    <row r="1645" spans="1:15" x14ac:dyDescent="0.25">
      <c r="A1645" t="s">
        <v>7382</v>
      </c>
      <c r="B1645" t="s">
        <v>3291</v>
      </c>
      <c r="C1645" s="3" t="s">
        <v>3292</v>
      </c>
      <c r="D1645" s="24">
        <v>0.202935</v>
      </c>
      <c r="E1645" s="25">
        <v>8.5449999999999999</v>
      </c>
      <c r="F1645" s="25">
        <v>8.1189999999999998</v>
      </c>
      <c r="G1645" s="26">
        <v>0.42630000000000001</v>
      </c>
      <c r="H1645" s="27">
        <v>0.29110000000000003</v>
      </c>
      <c r="I1645" s="26">
        <v>1.4650000000000001</v>
      </c>
      <c r="J1645" s="28">
        <v>5</v>
      </c>
      <c r="K1645" s="27">
        <v>0.34088299999999999</v>
      </c>
      <c r="L1645" s="29">
        <f t="shared" si="100"/>
        <v>0.46739465670682701</v>
      </c>
      <c r="M1645" s="29">
        <f t="shared" si="101"/>
        <v>0.42599999999999955</v>
      </c>
      <c r="N1645" s="30">
        <f t="shared" si="102"/>
        <v>0.69264304416428701</v>
      </c>
      <c r="O1645" s="31">
        <f t="shared" si="103"/>
        <v>1.3435034257212963</v>
      </c>
    </row>
    <row r="1646" spans="1:15" x14ac:dyDescent="0.25">
      <c r="A1646" t="s">
        <v>7383</v>
      </c>
      <c r="B1646" t="s">
        <v>3293</v>
      </c>
      <c r="C1646" s="3" t="s">
        <v>3294</v>
      </c>
      <c r="D1646" s="24">
        <v>0.203096</v>
      </c>
      <c r="E1646" s="25">
        <v>9.4930000000000003</v>
      </c>
      <c r="F1646" s="25">
        <v>9.577</v>
      </c>
      <c r="G1646" s="26">
        <v>-8.3839999999999998E-2</v>
      </c>
      <c r="H1646" s="27">
        <v>5.8689999999999999E-2</v>
      </c>
      <c r="I1646" s="26">
        <v>1.4279999999999999</v>
      </c>
      <c r="J1646" s="28">
        <v>6</v>
      </c>
      <c r="K1646" s="27">
        <v>0.34088299999999999</v>
      </c>
      <c r="L1646" s="29">
        <f t="shared" si="100"/>
        <v>0.46739465670682701</v>
      </c>
      <c r="M1646" s="29">
        <f t="shared" si="101"/>
        <v>-8.3999999999999742E-2</v>
      </c>
      <c r="N1646" s="30">
        <f t="shared" si="102"/>
        <v>0.69229862999270408</v>
      </c>
      <c r="O1646" s="31">
        <f t="shared" si="103"/>
        <v>0.94343825089536026</v>
      </c>
    </row>
    <row r="1647" spans="1:15" x14ac:dyDescent="0.25">
      <c r="A1647" t="s">
        <v>7384</v>
      </c>
      <c r="B1647" t="s">
        <v>3295</v>
      </c>
      <c r="C1647" s="3" t="s">
        <v>3296</v>
      </c>
      <c r="D1647" s="24">
        <v>0.203121</v>
      </c>
      <c r="E1647" s="25">
        <v>9.07</v>
      </c>
      <c r="F1647" s="25">
        <v>9.6010000000000009</v>
      </c>
      <c r="G1647" s="26">
        <v>-0.53139999999999998</v>
      </c>
      <c r="H1647" s="27">
        <v>0.372</v>
      </c>
      <c r="I1647" s="26">
        <v>1.4279999999999999</v>
      </c>
      <c r="J1647" s="28">
        <v>6</v>
      </c>
      <c r="K1647" s="27">
        <v>0.34088299999999999</v>
      </c>
      <c r="L1647" s="29">
        <f t="shared" si="100"/>
        <v>0.46739465670682701</v>
      </c>
      <c r="M1647" s="29">
        <f t="shared" si="101"/>
        <v>-0.53100000000000014</v>
      </c>
      <c r="N1647" s="30">
        <f t="shared" si="102"/>
        <v>0.69224517402182506</v>
      </c>
      <c r="O1647" s="31">
        <f t="shared" si="103"/>
        <v>0.69207485802573998</v>
      </c>
    </row>
    <row r="1648" spans="1:15" x14ac:dyDescent="0.25">
      <c r="A1648" t="s">
        <v>7385</v>
      </c>
      <c r="B1648" t="s">
        <v>3301</v>
      </c>
      <c r="C1648" s="3" t="s">
        <v>3302</v>
      </c>
      <c r="D1648" s="24">
        <v>0.20371500000000001</v>
      </c>
      <c r="E1648" s="25">
        <v>8.7509999999999994</v>
      </c>
      <c r="F1648" s="25">
        <v>8.3710000000000004</v>
      </c>
      <c r="G1648" s="26">
        <v>0.38059999999999999</v>
      </c>
      <c r="H1648" s="27">
        <v>0.26690000000000003</v>
      </c>
      <c r="I1648" s="26">
        <v>1.4259999999999999</v>
      </c>
      <c r="J1648" s="28">
        <v>6</v>
      </c>
      <c r="K1648" s="27">
        <v>0.34111799999999998</v>
      </c>
      <c r="L1648" s="29">
        <f t="shared" si="100"/>
        <v>0.46709536328266349</v>
      </c>
      <c r="M1648" s="29">
        <f t="shared" si="101"/>
        <v>0.37999999999999928</v>
      </c>
      <c r="N1648" s="30">
        <f t="shared" si="102"/>
        <v>0.69097699172940397</v>
      </c>
      <c r="O1648" s="31">
        <f t="shared" si="103"/>
        <v>1.3013418554419329</v>
      </c>
    </row>
    <row r="1649" spans="1:15" x14ac:dyDescent="0.25">
      <c r="A1649" t="s">
        <v>7386</v>
      </c>
      <c r="B1649" t="s">
        <v>3297</v>
      </c>
      <c r="C1649" s="3" t="s">
        <v>3298</v>
      </c>
      <c r="D1649" s="24">
        <v>0.20357800000000001</v>
      </c>
      <c r="E1649" s="25">
        <v>7.9969999999999999</v>
      </c>
      <c r="F1649" s="25">
        <v>7.5830000000000002</v>
      </c>
      <c r="G1649" s="26">
        <v>0.41389999999999999</v>
      </c>
      <c r="H1649" s="27">
        <v>0.29010000000000002</v>
      </c>
      <c r="I1649" s="26">
        <v>1.427</v>
      </c>
      <c r="J1649" s="28">
        <v>6</v>
      </c>
      <c r="K1649" s="27">
        <v>0.34111799999999998</v>
      </c>
      <c r="L1649" s="29">
        <f t="shared" si="100"/>
        <v>0.46709536328266349</v>
      </c>
      <c r="M1649" s="29">
        <f t="shared" si="101"/>
        <v>0.41399999999999948</v>
      </c>
      <c r="N1649" s="30">
        <f t="shared" si="102"/>
        <v>0.69126915656535592</v>
      </c>
      <c r="O1649" s="31">
        <f t="shared" si="103"/>
        <v>1.3323748250920213</v>
      </c>
    </row>
    <row r="1650" spans="1:15" x14ac:dyDescent="0.25">
      <c r="A1650" t="s">
        <v>7387</v>
      </c>
      <c r="B1650" t="s">
        <v>3299</v>
      </c>
      <c r="C1650" s="3" t="s">
        <v>3300</v>
      </c>
      <c r="D1650" s="24">
        <v>0.20367499999999999</v>
      </c>
      <c r="E1650" s="25">
        <v>9.2059999999999995</v>
      </c>
      <c r="F1650" s="25">
        <v>8.8789999999999996</v>
      </c>
      <c r="G1650" s="26">
        <v>0.32669999999999999</v>
      </c>
      <c r="H1650" s="27">
        <v>0.2291</v>
      </c>
      <c r="I1650" s="26">
        <v>1.4259999999999999</v>
      </c>
      <c r="J1650" s="28">
        <v>6</v>
      </c>
      <c r="K1650" s="27">
        <v>0.34111799999999998</v>
      </c>
      <c r="L1650" s="29">
        <f t="shared" si="100"/>
        <v>0.46709536328266349</v>
      </c>
      <c r="M1650" s="29">
        <f t="shared" si="101"/>
        <v>0.32699999999999996</v>
      </c>
      <c r="N1650" s="30">
        <f t="shared" si="102"/>
        <v>0.69106227501731954</v>
      </c>
      <c r="O1650" s="31">
        <f t="shared" si="103"/>
        <v>1.2544022045209948</v>
      </c>
    </row>
    <row r="1651" spans="1:15" x14ac:dyDescent="0.25">
      <c r="A1651" t="s">
        <v>7388</v>
      </c>
      <c r="B1651" t="s">
        <v>3303</v>
      </c>
      <c r="C1651" s="3" t="s">
        <v>3304</v>
      </c>
      <c r="D1651" s="24">
        <v>0.20375599999999999</v>
      </c>
      <c r="E1651" s="25">
        <v>9.3219999999999992</v>
      </c>
      <c r="F1651" s="25">
        <v>9.5079999999999991</v>
      </c>
      <c r="G1651" s="26">
        <v>-0.18559999999999999</v>
      </c>
      <c r="H1651" s="27">
        <v>0.13009999999999999</v>
      </c>
      <c r="I1651" s="26">
        <v>1.4259999999999999</v>
      </c>
      <c r="J1651" s="28">
        <v>6</v>
      </c>
      <c r="K1651" s="27">
        <v>0.34111799999999998</v>
      </c>
      <c r="L1651" s="29">
        <f t="shared" si="100"/>
        <v>0.46709536328266349</v>
      </c>
      <c r="M1651" s="29">
        <f t="shared" si="101"/>
        <v>-0.18599999999999908</v>
      </c>
      <c r="N1651" s="30">
        <f t="shared" si="102"/>
        <v>0.69088959373632897</v>
      </c>
      <c r="O1651" s="31">
        <f t="shared" si="103"/>
        <v>0.87903956091178759</v>
      </c>
    </row>
    <row r="1652" spans="1:15" x14ac:dyDescent="0.25">
      <c r="A1652" t="s">
        <v>7389</v>
      </c>
      <c r="B1652" t="s">
        <v>3311</v>
      </c>
      <c r="C1652" s="3" t="s">
        <v>3312</v>
      </c>
      <c r="D1652" s="24">
        <v>0.20500099999999999</v>
      </c>
      <c r="E1652" s="25">
        <v>8.5030000000000001</v>
      </c>
      <c r="F1652" s="25">
        <v>8.3409999999999993</v>
      </c>
      <c r="G1652" s="26">
        <v>0.16250000000000001</v>
      </c>
      <c r="H1652" s="27">
        <v>0.1143</v>
      </c>
      <c r="I1652" s="26">
        <v>1.4219999999999999</v>
      </c>
      <c r="J1652" s="28">
        <v>6</v>
      </c>
      <c r="K1652" s="27">
        <v>0.34237299999999998</v>
      </c>
      <c r="L1652" s="29">
        <f t="shared" si="100"/>
        <v>0.46550049169745872</v>
      </c>
      <c r="M1652" s="29">
        <f t="shared" si="101"/>
        <v>0.16200000000000078</v>
      </c>
      <c r="N1652" s="30">
        <f t="shared" si="102"/>
        <v>0.68824402043974497</v>
      </c>
      <c r="O1652" s="31">
        <f t="shared" si="103"/>
        <v>1.1188371010357119</v>
      </c>
    </row>
    <row r="1653" spans="1:15" x14ac:dyDescent="0.25">
      <c r="A1653" t="s">
        <v>7390</v>
      </c>
      <c r="B1653" t="s">
        <v>3305</v>
      </c>
      <c r="C1653" s="3" t="s">
        <v>3306</v>
      </c>
      <c r="D1653" s="24">
        <v>0.20491599999999999</v>
      </c>
      <c r="E1653" s="25">
        <v>8.3149999999999995</v>
      </c>
      <c r="F1653" s="25">
        <v>7.16</v>
      </c>
      <c r="G1653" s="26">
        <v>1.1559999999999999</v>
      </c>
      <c r="H1653" s="27">
        <v>0.79320000000000002</v>
      </c>
      <c r="I1653" s="26">
        <v>1.4570000000000001</v>
      </c>
      <c r="J1653" s="28">
        <v>5</v>
      </c>
      <c r="K1653" s="27">
        <v>0.34237299999999998</v>
      </c>
      <c r="L1653" s="29">
        <f t="shared" si="100"/>
        <v>0.46550049169745872</v>
      </c>
      <c r="M1653" s="29">
        <f t="shared" si="101"/>
        <v>1.1550000000000002</v>
      </c>
      <c r="N1653" s="30">
        <f t="shared" si="102"/>
        <v>0.68842413022533988</v>
      </c>
      <c r="O1653" s="31">
        <f t="shared" si="103"/>
        <v>2.2268432364573729</v>
      </c>
    </row>
    <row r="1654" spans="1:15" x14ac:dyDescent="0.25">
      <c r="A1654" t="s">
        <v>7391</v>
      </c>
      <c r="B1654" t="s">
        <v>3307</v>
      </c>
      <c r="C1654" s="3" t="s">
        <v>3308</v>
      </c>
      <c r="D1654" s="24">
        <v>0.20491599999999999</v>
      </c>
      <c r="E1654" s="25">
        <v>8.3149999999999995</v>
      </c>
      <c r="F1654" s="25">
        <v>7.16</v>
      </c>
      <c r="G1654" s="26">
        <v>1.1559999999999999</v>
      </c>
      <c r="H1654" s="27">
        <v>0.79320000000000002</v>
      </c>
      <c r="I1654" s="26">
        <v>1.4570000000000001</v>
      </c>
      <c r="J1654" s="28">
        <v>5</v>
      </c>
      <c r="K1654" s="27">
        <v>0.34237299999999998</v>
      </c>
      <c r="L1654" s="29">
        <f t="shared" si="100"/>
        <v>0.46550049169745872</v>
      </c>
      <c r="M1654" s="29">
        <f t="shared" si="101"/>
        <v>1.1550000000000002</v>
      </c>
      <c r="N1654" s="30">
        <f t="shared" si="102"/>
        <v>0.68842413022533988</v>
      </c>
      <c r="O1654" s="31">
        <f t="shared" si="103"/>
        <v>2.2268432364573729</v>
      </c>
    </row>
    <row r="1655" spans="1:15" x14ac:dyDescent="0.25">
      <c r="A1655" t="s">
        <v>7392</v>
      </c>
      <c r="B1655" t="s">
        <v>3309</v>
      </c>
      <c r="C1655" s="3" t="s">
        <v>3310</v>
      </c>
      <c r="D1655" s="24">
        <v>0.20497499999999999</v>
      </c>
      <c r="E1655" s="25">
        <v>9.0380000000000003</v>
      </c>
      <c r="F1655" s="25">
        <v>9.2370000000000001</v>
      </c>
      <c r="G1655" s="26">
        <v>-0.1991</v>
      </c>
      <c r="H1655" s="27">
        <v>0.1401</v>
      </c>
      <c r="I1655" s="26">
        <v>1.4219999999999999</v>
      </c>
      <c r="J1655" s="28">
        <v>6</v>
      </c>
      <c r="K1655" s="27">
        <v>0.34237299999999998</v>
      </c>
      <c r="L1655" s="29">
        <f t="shared" si="100"/>
        <v>0.46550049169745872</v>
      </c>
      <c r="M1655" s="29">
        <f t="shared" si="101"/>
        <v>-0.1989999999999994</v>
      </c>
      <c r="N1655" s="30">
        <f t="shared" si="102"/>
        <v>0.68829910491563928</v>
      </c>
      <c r="O1655" s="31">
        <f t="shared" si="103"/>
        <v>0.87115419214225653</v>
      </c>
    </row>
    <row r="1656" spans="1:15" x14ac:dyDescent="0.25">
      <c r="A1656" t="s">
        <v>7393</v>
      </c>
      <c r="B1656" t="s">
        <v>3315</v>
      </c>
      <c r="C1656" s="3" t="s">
        <v>3316</v>
      </c>
      <c r="D1656" s="24">
        <v>0.20565800000000001</v>
      </c>
      <c r="E1656" s="25">
        <v>11.12</v>
      </c>
      <c r="F1656" s="25">
        <v>10.96</v>
      </c>
      <c r="G1656" s="26">
        <v>0.16259999999999999</v>
      </c>
      <c r="H1656" s="27">
        <v>0.11459999999999999</v>
      </c>
      <c r="I1656" s="26">
        <v>1.419</v>
      </c>
      <c r="J1656" s="28">
        <v>6</v>
      </c>
      <c r="K1656" s="27">
        <v>0.34305600000000003</v>
      </c>
      <c r="L1656" s="29">
        <f t="shared" si="100"/>
        <v>0.46463498052324559</v>
      </c>
      <c r="M1656" s="29">
        <f t="shared" si="101"/>
        <v>0.15999999999999864</v>
      </c>
      <c r="N1656" s="30">
        <f t="shared" si="102"/>
        <v>0.68685439197401854</v>
      </c>
      <c r="O1656" s="31">
        <f t="shared" si="103"/>
        <v>1.1172871380722189</v>
      </c>
    </row>
    <row r="1657" spans="1:15" x14ac:dyDescent="0.25">
      <c r="A1657" t="s">
        <v>7394</v>
      </c>
      <c r="B1657" t="s">
        <v>3313</v>
      </c>
      <c r="C1657" s="3" t="s">
        <v>3314</v>
      </c>
      <c r="D1657" s="24">
        <v>0.20562900000000001</v>
      </c>
      <c r="E1657" s="25">
        <v>12.32</v>
      </c>
      <c r="F1657" s="25">
        <v>12.46</v>
      </c>
      <c r="G1657" s="26">
        <v>-0.1376</v>
      </c>
      <c r="H1657" s="27">
        <v>9.6930000000000002E-2</v>
      </c>
      <c r="I1657" s="26">
        <v>1.419</v>
      </c>
      <c r="J1657" s="28">
        <v>6</v>
      </c>
      <c r="K1657" s="27">
        <v>0.34305600000000003</v>
      </c>
      <c r="L1657" s="29">
        <f t="shared" si="100"/>
        <v>0.46463498052324559</v>
      </c>
      <c r="M1657" s="29">
        <f t="shared" si="101"/>
        <v>-0.14000000000000032</v>
      </c>
      <c r="N1657" s="30">
        <f t="shared" si="102"/>
        <v>0.68691563650640619</v>
      </c>
      <c r="O1657" s="31">
        <f t="shared" si="103"/>
        <v>0.90751915531716065</v>
      </c>
    </row>
    <row r="1658" spans="1:15" x14ac:dyDescent="0.25">
      <c r="A1658" t="s">
        <v>7395</v>
      </c>
      <c r="B1658" t="s">
        <v>3317</v>
      </c>
      <c r="C1658" s="3" t="s">
        <v>3318</v>
      </c>
      <c r="D1658" s="24">
        <v>0.20607300000000001</v>
      </c>
      <c r="E1658" s="25">
        <v>11.3</v>
      </c>
      <c r="F1658" s="25">
        <v>10.78</v>
      </c>
      <c r="G1658" s="26">
        <v>0.52190000000000003</v>
      </c>
      <c r="H1658" s="27">
        <v>0.36820000000000003</v>
      </c>
      <c r="I1658" s="26">
        <v>1.4179999999999999</v>
      </c>
      <c r="J1658" s="28">
        <v>6</v>
      </c>
      <c r="K1658" s="27">
        <v>0.34354000000000001</v>
      </c>
      <c r="L1658" s="29">
        <f t="shared" si="100"/>
        <v>0.46402268868333224</v>
      </c>
      <c r="M1658" s="29">
        <f t="shared" si="101"/>
        <v>0.52000000000000057</v>
      </c>
      <c r="N1658" s="30">
        <f t="shared" si="102"/>
        <v>0.68597890642143655</v>
      </c>
      <c r="O1658" s="31">
        <f t="shared" si="103"/>
        <v>1.433955248015828</v>
      </c>
    </row>
    <row r="1659" spans="1:15" x14ac:dyDescent="0.25">
      <c r="A1659" t="s">
        <v>7396</v>
      </c>
      <c r="B1659" t="s">
        <v>3321</v>
      </c>
      <c r="C1659" s="3" t="s">
        <v>3322</v>
      </c>
      <c r="D1659" s="24">
        <v>0.20633399999999999</v>
      </c>
      <c r="E1659" s="25">
        <v>7.0759999999999996</v>
      </c>
      <c r="F1659" s="25">
        <v>6.758</v>
      </c>
      <c r="G1659" s="26">
        <v>0.31840000000000002</v>
      </c>
      <c r="H1659" s="27">
        <v>0.2248</v>
      </c>
      <c r="I1659" s="26">
        <v>1.417</v>
      </c>
      <c r="J1659" s="28">
        <v>6</v>
      </c>
      <c r="K1659" s="27">
        <v>0.34355999999999998</v>
      </c>
      <c r="L1659" s="29">
        <f t="shared" si="100"/>
        <v>0.46399740593077649</v>
      </c>
      <c r="M1659" s="29">
        <f t="shared" si="101"/>
        <v>0.31800000000000012</v>
      </c>
      <c r="N1659" s="30">
        <f t="shared" si="102"/>
        <v>0.6854292024886226</v>
      </c>
      <c r="O1659" s="31">
        <f t="shared" si="103"/>
        <v>1.2466011942750974</v>
      </c>
    </row>
    <row r="1660" spans="1:15" x14ac:dyDescent="0.25">
      <c r="A1660" t="s">
        <v>7397</v>
      </c>
      <c r="B1660" t="s">
        <v>3319</v>
      </c>
      <c r="C1660" s="3" t="s">
        <v>3320</v>
      </c>
      <c r="D1660" s="24">
        <v>0.20622099999999999</v>
      </c>
      <c r="E1660" s="25">
        <v>8.907</v>
      </c>
      <c r="F1660" s="25">
        <v>9.08</v>
      </c>
      <c r="G1660" s="26">
        <v>-0.1731</v>
      </c>
      <c r="H1660" s="27">
        <v>0.1222</v>
      </c>
      <c r="I1660" s="26">
        <v>1.417</v>
      </c>
      <c r="J1660" s="28">
        <v>6</v>
      </c>
      <c r="K1660" s="27">
        <v>0.34355999999999998</v>
      </c>
      <c r="L1660" s="29">
        <f t="shared" si="100"/>
        <v>0.46399740593077649</v>
      </c>
      <c r="M1660" s="29">
        <f t="shared" si="101"/>
        <v>-0.17300000000000029</v>
      </c>
      <c r="N1660" s="30">
        <f t="shared" si="102"/>
        <v>0.68566711150769799</v>
      </c>
      <c r="O1660" s="31">
        <f t="shared" si="103"/>
        <v>0.88699630515214978</v>
      </c>
    </row>
    <row r="1661" spans="1:15" x14ac:dyDescent="0.25">
      <c r="A1661" t="s">
        <v>7398</v>
      </c>
      <c r="B1661" t="s">
        <v>3323</v>
      </c>
      <c r="C1661" s="3" t="s">
        <v>3324</v>
      </c>
      <c r="D1661" s="24">
        <v>0.20675099999999999</v>
      </c>
      <c r="E1661" s="25">
        <v>8.2949999999999999</v>
      </c>
      <c r="F1661" s="25">
        <v>8.6059999999999999</v>
      </c>
      <c r="G1661" s="26">
        <v>-0.31169999999999998</v>
      </c>
      <c r="H1661" s="27">
        <v>0.22020000000000001</v>
      </c>
      <c r="I1661" s="26">
        <v>1.415</v>
      </c>
      <c r="J1661" s="28">
        <v>6</v>
      </c>
      <c r="K1661" s="27">
        <v>0.34404800000000002</v>
      </c>
      <c r="L1661" s="29">
        <f t="shared" si="100"/>
        <v>0.46338096242589683</v>
      </c>
      <c r="M1661" s="29">
        <f t="shared" si="101"/>
        <v>-0.31099999999999944</v>
      </c>
      <c r="N1661" s="30">
        <f t="shared" si="102"/>
        <v>0.68455238120259043</v>
      </c>
      <c r="O1661" s="31">
        <f t="shared" si="103"/>
        <v>0.80608283149296789</v>
      </c>
    </row>
    <row r="1662" spans="1:15" x14ac:dyDescent="0.25">
      <c r="A1662" t="s">
        <v>7399</v>
      </c>
      <c r="B1662" t="s">
        <v>3325</v>
      </c>
      <c r="C1662" s="3" t="s">
        <v>3326</v>
      </c>
      <c r="D1662" s="24">
        <v>0.207512</v>
      </c>
      <c r="E1662" s="25">
        <v>10.99</v>
      </c>
      <c r="F1662" s="25">
        <v>11.2</v>
      </c>
      <c r="G1662" s="26">
        <v>-0.2054</v>
      </c>
      <c r="H1662" s="27">
        <v>0.1454</v>
      </c>
      <c r="I1662" s="26">
        <v>1.4119999999999999</v>
      </c>
      <c r="J1662" s="28">
        <v>6</v>
      </c>
      <c r="K1662" s="27">
        <v>0.34510600000000002</v>
      </c>
      <c r="L1662" s="29">
        <f t="shared" si="100"/>
        <v>0.46204749001526646</v>
      </c>
      <c r="M1662" s="29">
        <f t="shared" si="101"/>
        <v>-0.2099999999999991</v>
      </c>
      <c r="N1662" s="30">
        <f t="shared" si="102"/>
        <v>0.68295678385264169</v>
      </c>
      <c r="O1662" s="31">
        <f t="shared" si="103"/>
        <v>0.86453723130786575</v>
      </c>
    </row>
    <row r="1663" spans="1:15" x14ac:dyDescent="0.25">
      <c r="A1663" t="s">
        <v>7400</v>
      </c>
      <c r="B1663" t="s">
        <v>3327</v>
      </c>
      <c r="C1663" s="3" t="s">
        <v>3328</v>
      </c>
      <c r="D1663" s="24">
        <v>0.208206</v>
      </c>
      <c r="E1663" s="25">
        <v>16.53</v>
      </c>
      <c r="F1663" s="25">
        <v>16.03</v>
      </c>
      <c r="G1663" s="26">
        <v>0.50280000000000002</v>
      </c>
      <c r="H1663" s="27">
        <v>0.35659999999999997</v>
      </c>
      <c r="I1663" s="26">
        <v>1.41</v>
      </c>
      <c r="J1663" s="28">
        <v>6</v>
      </c>
      <c r="K1663" s="27">
        <v>0.34590599999999999</v>
      </c>
      <c r="L1663" s="29">
        <f t="shared" si="100"/>
        <v>0.46104190475553791</v>
      </c>
      <c r="M1663" s="29">
        <f t="shared" si="101"/>
        <v>0.50000000000000144</v>
      </c>
      <c r="N1663" s="30">
        <f t="shared" si="102"/>
        <v>0.6815067593146994</v>
      </c>
      <c r="O1663" s="31">
        <f t="shared" si="103"/>
        <v>1.4142135623730965</v>
      </c>
    </row>
    <row r="1664" spans="1:15" x14ac:dyDescent="0.25">
      <c r="A1664" t="s">
        <v>7401</v>
      </c>
      <c r="B1664" t="s">
        <v>3329</v>
      </c>
      <c r="C1664" s="3" t="s">
        <v>3330</v>
      </c>
      <c r="D1664" s="24">
        <v>0.208255</v>
      </c>
      <c r="E1664" s="25">
        <v>9.0039999999999996</v>
      </c>
      <c r="F1664" s="25">
        <v>9.1980000000000004</v>
      </c>
      <c r="G1664" s="26">
        <v>-0.1938</v>
      </c>
      <c r="H1664" s="27">
        <v>0.13750000000000001</v>
      </c>
      <c r="I1664" s="26">
        <v>1.41</v>
      </c>
      <c r="J1664" s="28">
        <v>6</v>
      </c>
      <c r="K1664" s="27">
        <v>0.34590599999999999</v>
      </c>
      <c r="L1664" s="29">
        <f t="shared" si="100"/>
        <v>0.46104190475553791</v>
      </c>
      <c r="M1664" s="29">
        <f t="shared" si="101"/>
        <v>-0.19400000000000159</v>
      </c>
      <c r="N1664" s="30">
        <f t="shared" si="102"/>
        <v>0.68140456280788864</v>
      </c>
      <c r="O1664" s="31">
        <f t="shared" si="103"/>
        <v>0.8741786204103722</v>
      </c>
    </row>
    <row r="1665" spans="1:15" x14ac:dyDescent="0.25">
      <c r="A1665" t="s">
        <v>7402</v>
      </c>
      <c r="B1665" t="s">
        <v>3331</v>
      </c>
      <c r="C1665" s="3" t="s">
        <v>3332</v>
      </c>
      <c r="D1665" s="24">
        <v>0.208369</v>
      </c>
      <c r="E1665" s="25">
        <v>9.0280000000000005</v>
      </c>
      <c r="F1665" s="25">
        <v>8.9280000000000008</v>
      </c>
      <c r="G1665" s="26">
        <v>9.9510000000000001E-2</v>
      </c>
      <c r="H1665" s="27">
        <v>7.0599999999999996E-2</v>
      </c>
      <c r="I1665" s="26">
        <v>1.409</v>
      </c>
      <c r="J1665" s="28">
        <v>6</v>
      </c>
      <c r="K1665" s="27">
        <v>0.34590599999999999</v>
      </c>
      <c r="L1665" s="29">
        <f t="shared" si="100"/>
        <v>0.46104190475553791</v>
      </c>
      <c r="M1665" s="29">
        <f t="shared" si="101"/>
        <v>9.999999999999995E-2</v>
      </c>
      <c r="N1665" s="30">
        <f t="shared" si="102"/>
        <v>0.68116689252402307</v>
      </c>
      <c r="O1665" s="31">
        <f t="shared" si="103"/>
        <v>1.0717734625362931</v>
      </c>
    </row>
    <row r="1666" spans="1:15" x14ac:dyDescent="0.25">
      <c r="A1666" t="s">
        <v>7403</v>
      </c>
      <c r="B1666" t="s">
        <v>3333</v>
      </c>
      <c r="C1666" s="3" t="s">
        <v>3334</v>
      </c>
      <c r="D1666" s="24">
        <v>0.20921300000000001</v>
      </c>
      <c r="E1666" s="25">
        <v>8.968</v>
      </c>
      <c r="F1666" s="25">
        <v>8.7829999999999995</v>
      </c>
      <c r="G1666" s="26">
        <v>0.1842</v>
      </c>
      <c r="H1666" s="27">
        <v>0.13100000000000001</v>
      </c>
      <c r="I1666" s="26">
        <v>1.4059999999999999</v>
      </c>
      <c r="J1666" s="28">
        <v>6</v>
      </c>
      <c r="K1666" s="27">
        <v>0.34710000000000002</v>
      </c>
      <c r="L1666" s="29">
        <f t="shared" ref="L1666:L1729" si="104">-LOG(K1666,10)</f>
        <v>0.45954538632858788</v>
      </c>
      <c r="M1666" s="29">
        <f t="shared" ref="M1666:M1729" si="105">LOG(O1666,2)</f>
        <v>0.18500000000000003</v>
      </c>
      <c r="N1666" s="30">
        <f t="shared" ref="N1666:N1729" si="106">-LOG(D1666,10)</f>
        <v>0.67941133293644629</v>
      </c>
      <c r="O1666" s="31">
        <f t="shared" ref="O1666:O1729" si="107">((2^E1666)/(2^F1666))</f>
        <v>1.1368169732360141</v>
      </c>
    </row>
    <row r="1667" spans="1:15" x14ac:dyDescent="0.25">
      <c r="A1667" t="s">
        <v>7404</v>
      </c>
      <c r="B1667" t="s">
        <v>3335</v>
      </c>
      <c r="C1667" s="3" t="s">
        <v>3336</v>
      </c>
      <c r="D1667" s="24">
        <v>0.20956</v>
      </c>
      <c r="E1667" s="25">
        <v>9.1890000000000001</v>
      </c>
      <c r="F1667" s="25">
        <v>8.7759999999999998</v>
      </c>
      <c r="G1667" s="26">
        <v>0.41289999999999999</v>
      </c>
      <c r="H1667" s="27">
        <v>0.29380000000000001</v>
      </c>
      <c r="I1667" s="26">
        <v>1.405</v>
      </c>
      <c r="J1667" s="28">
        <v>6</v>
      </c>
      <c r="K1667" s="27">
        <v>0.347466</v>
      </c>
      <c r="L1667" s="29">
        <f t="shared" si="104"/>
        <v>0.45908768527472454</v>
      </c>
      <c r="M1667" s="29">
        <f t="shared" si="105"/>
        <v>0.41300000000000053</v>
      </c>
      <c r="N1667" s="30">
        <f t="shared" si="106"/>
        <v>0.6786916102240913</v>
      </c>
      <c r="O1667" s="31">
        <f t="shared" si="107"/>
        <v>1.3314516132363714</v>
      </c>
    </row>
    <row r="1668" spans="1:15" x14ac:dyDescent="0.25">
      <c r="A1668" t="s">
        <v>7405</v>
      </c>
      <c r="B1668" t="s">
        <v>3337</v>
      </c>
      <c r="C1668" s="3" t="s">
        <v>3338</v>
      </c>
      <c r="D1668" s="24">
        <v>0.21055499999999999</v>
      </c>
      <c r="E1668" s="25">
        <v>10.61</v>
      </c>
      <c r="F1668" s="25">
        <v>10.48</v>
      </c>
      <c r="G1668" s="26">
        <v>0.1221</v>
      </c>
      <c r="H1668" s="27">
        <v>8.7099999999999997E-2</v>
      </c>
      <c r="I1668" s="26">
        <v>1.4019999999999999</v>
      </c>
      <c r="J1668" s="28">
        <v>6</v>
      </c>
      <c r="K1668" s="27">
        <v>0.34890599999999999</v>
      </c>
      <c r="L1668" s="29">
        <f t="shared" si="104"/>
        <v>0.4572915620953511</v>
      </c>
      <c r="M1668" s="29">
        <f t="shared" si="105"/>
        <v>0.12999999999999842</v>
      </c>
      <c r="N1668" s="30">
        <f t="shared" si="106"/>
        <v>0.67663444103247594</v>
      </c>
      <c r="O1668" s="31">
        <f t="shared" si="107"/>
        <v>1.0942937012607383</v>
      </c>
    </row>
    <row r="1669" spans="1:15" x14ac:dyDescent="0.25">
      <c r="A1669" t="s">
        <v>7406</v>
      </c>
      <c r="B1669" t="s">
        <v>3339</v>
      </c>
      <c r="C1669" s="3" t="s">
        <v>3340</v>
      </c>
      <c r="D1669" s="24">
        <v>0.21184</v>
      </c>
      <c r="E1669" s="25">
        <v>12.99</v>
      </c>
      <c r="F1669" s="25">
        <v>12.87</v>
      </c>
      <c r="G1669" s="26">
        <v>0.12189999999999999</v>
      </c>
      <c r="H1669" s="27">
        <v>8.7239999999999998E-2</v>
      </c>
      <c r="I1669" s="26">
        <v>1.397</v>
      </c>
      <c r="J1669" s="28">
        <v>6</v>
      </c>
      <c r="K1669" s="27">
        <v>0.35082600000000003</v>
      </c>
      <c r="L1669" s="29">
        <f t="shared" si="104"/>
        <v>0.45490822819624155</v>
      </c>
      <c r="M1669" s="29">
        <f t="shared" si="105"/>
        <v>0.12000000000000192</v>
      </c>
      <c r="N1669" s="30">
        <f t="shared" si="106"/>
        <v>0.67399203224039395</v>
      </c>
      <c r="O1669" s="31">
        <f t="shared" si="107"/>
        <v>1.0867348625260596</v>
      </c>
    </row>
    <row r="1670" spans="1:15" x14ac:dyDescent="0.25">
      <c r="A1670" t="s">
        <v>7407</v>
      </c>
      <c r="B1670" t="s">
        <v>3341</v>
      </c>
      <c r="C1670" s="3" t="s">
        <v>3342</v>
      </c>
      <c r="D1670" s="24">
        <v>0.212951</v>
      </c>
      <c r="E1670" s="25">
        <v>15.74</v>
      </c>
      <c r="F1670" s="25">
        <v>15.92</v>
      </c>
      <c r="G1670" s="26">
        <v>-0.18160000000000001</v>
      </c>
      <c r="H1670" s="27">
        <v>0.1303</v>
      </c>
      <c r="I1670" s="26">
        <v>1.393</v>
      </c>
      <c r="J1670" s="28">
        <v>6</v>
      </c>
      <c r="K1670" s="27">
        <v>0.35227700000000001</v>
      </c>
      <c r="L1670" s="29">
        <f t="shared" si="104"/>
        <v>0.45311571077606044</v>
      </c>
      <c r="M1670" s="29">
        <f t="shared" si="105"/>
        <v>-0.1799999999999993</v>
      </c>
      <c r="N1670" s="30">
        <f t="shared" si="106"/>
        <v>0.67172031617505412</v>
      </c>
      <c r="O1670" s="31">
        <f t="shared" si="107"/>
        <v>0.8827029962906553</v>
      </c>
    </row>
    <row r="1671" spans="1:15" x14ac:dyDescent="0.25">
      <c r="A1671" t="s">
        <v>7408</v>
      </c>
      <c r="B1671" t="s">
        <v>3343</v>
      </c>
      <c r="C1671" s="3" t="s">
        <v>3344</v>
      </c>
      <c r="D1671" s="24">
        <v>0.21297199999999999</v>
      </c>
      <c r="E1671" s="25">
        <v>10.16</v>
      </c>
      <c r="F1671" s="25">
        <v>10.42</v>
      </c>
      <c r="G1671" s="26">
        <v>-0.26250000000000001</v>
      </c>
      <c r="H1671" s="27">
        <v>0.18840000000000001</v>
      </c>
      <c r="I1671" s="26">
        <v>1.393</v>
      </c>
      <c r="J1671" s="28">
        <v>6</v>
      </c>
      <c r="K1671" s="27">
        <v>0.35227700000000001</v>
      </c>
      <c r="L1671" s="29">
        <f t="shared" si="104"/>
        <v>0.45311571077606044</v>
      </c>
      <c r="M1671" s="29">
        <f t="shared" si="105"/>
        <v>-0.25999999999999962</v>
      </c>
      <c r="N1671" s="30">
        <f t="shared" si="106"/>
        <v>0.67167749066843729</v>
      </c>
      <c r="O1671" s="31">
        <f t="shared" si="107"/>
        <v>0.83508791942836957</v>
      </c>
    </row>
    <row r="1672" spans="1:15" x14ac:dyDescent="0.25">
      <c r="A1672" t="s">
        <v>7409</v>
      </c>
      <c r="B1672" t="s">
        <v>3345</v>
      </c>
      <c r="C1672" s="3" t="s">
        <v>3346</v>
      </c>
      <c r="D1672" s="24">
        <v>0.21325</v>
      </c>
      <c r="E1672" s="25">
        <v>8.3230000000000004</v>
      </c>
      <c r="F1672" s="25">
        <v>8.1199999999999992</v>
      </c>
      <c r="G1672" s="26">
        <v>0.2026</v>
      </c>
      <c r="H1672" s="27">
        <v>0.14549999999999999</v>
      </c>
      <c r="I1672" s="26">
        <v>1.3919999999999999</v>
      </c>
      <c r="J1672" s="28">
        <v>6</v>
      </c>
      <c r="K1672" s="27">
        <v>0.35252600000000001</v>
      </c>
      <c r="L1672" s="29">
        <f t="shared" si="104"/>
        <v>0.45280884678571698</v>
      </c>
      <c r="M1672" s="29">
        <f t="shared" si="105"/>
        <v>0.20300000000000146</v>
      </c>
      <c r="N1672" s="30">
        <f t="shared" si="106"/>
        <v>0.67111096016043925</v>
      </c>
      <c r="O1672" s="31">
        <f t="shared" si="107"/>
        <v>1.1510894913277638</v>
      </c>
    </row>
    <row r="1673" spans="1:15" x14ac:dyDescent="0.25">
      <c r="A1673" t="s">
        <v>7410</v>
      </c>
      <c r="B1673" t="s">
        <v>3347</v>
      </c>
      <c r="C1673" s="3" t="s">
        <v>3348</v>
      </c>
      <c r="D1673" s="24">
        <v>0.21395</v>
      </c>
      <c r="E1673" s="25">
        <v>7.6269999999999998</v>
      </c>
      <c r="F1673" s="25">
        <v>7.77</v>
      </c>
      <c r="G1673" s="26">
        <v>-0.14360000000000001</v>
      </c>
      <c r="H1673" s="27">
        <v>0.1033</v>
      </c>
      <c r="I1673" s="26">
        <v>1.39</v>
      </c>
      <c r="J1673" s="28">
        <v>6</v>
      </c>
      <c r="K1673" s="27">
        <v>0.35347200000000001</v>
      </c>
      <c r="L1673" s="29">
        <f t="shared" si="104"/>
        <v>0.45164498279243559</v>
      </c>
      <c r="M1673" s="29">
        <f t="shared" si="105"/>
        <v>-0.14300000000000024</v>
      </c>
      <c r="N1673" s="30">
        <f t="shared" si="106"/>
        <v>0.66968770918004827</v>
      </c>
      <c r="O1673" s="31">
        <f t="shared" si="107"/>
        <v>0.90563398301782272</v>
      </c>
    </row>
    <row r="1674" spans="1:15" x14ac:dyDescent="0.25">
      <c r="A1674" t="s">
        <v>7411</v>
      </c>
      <c r="B1674" t="s">
        <v>3349</v>
      </c>
      <c r="C1674" s="3" t="s">
        <v>3350</v>
      </c>
      <c r="D1674" s="24">
        <v>0.21496799999999999</v>
      </c>
      <c r="E1674" s="25">
        <v>14.2</v>
      </c>
      <c r="F1674" s="25">
        <v>14.57</v>
      </c>
      <c r="G1674" s="26">
        <v>-0.3679</v>
      </c>
      <c r="H1674" s="27">
        <v>0.26540000000000002</v>
      </c>
      <c r="I1674" s="26">
        <v>1.3859999999999999</v>
      </c>
      <c r="J1674" s="28">
        <v>6</v>
      </c>
      <c r="K1674" s="27">
        <v>0.35481400000000002</v>
      </c>
      <c r="L1674" s="29">
        <f t="shared" si="104"/>
        <v>0.44999925241755895</v>
      </c>
      <c r="M1674" s="29">
        <f t="shared" si="105"/>
        <v>-0.37000000000000005</v>
      </c>
      <c r="N1674" s="30">
        <f t="shared" si="106"/>
        <v>0.66762618407393137</v>
      </c>
      <c r="O1674" s="31">
        <f t="shared" si="107"/>
        <v>0.77378249677119493</v>
      </c>
    </row>
    <row r="1675" spans="1:15" x14ac:dyDescent="0.25">
      <c r="A1675" t="s">
        <v>7412</v>
      </c>
      <c r="B1675" t="s">
        <v>3351</v>
      </c>
      <c r="C1675" s="3" t="s">
        <v>3352</v>
      </c>
      <c r="D1675" s="24">
        <v>0.21501899999999999</v>
      </c>
      <c r="E1675" s="25">
        <v>6.4790000000000001</v>
      </c>
      <c r="F1675" s="25">
        <v>7.524</v>
      </c>
      <c r="G1675" s="26">
        <v>-1.046</v>
      </c>
      <c r="H1675" s="27">
        <v>0.75449999999999995</v>
      </c>
      <c r="I1675" s="26">
        <v>1.3859999999999999</v>
      </c>
      <c r="J1675" s="28">
        <v>6</v>
      </c>
      <c r="K1675" s="27">
        <v>0.35481400000000002</v>
      </c>
      <c r="L1675" s="29">
        <f t="shared" si="104"/>
        <v>0.44999925241755895</v>
      </c>
      <c r="M1675" s="29">
        <f t="shared" si="105"/>
        <v>-1.0449999999999999</v>
      </c>
      <c r="N1675" s="30">
        <f t="shared" si="106"/>
        <v>0.66752316226777941</v>
      </c>
      <c r="O1675" s="31">
        <f t="shared" si="107"/>
        <v>0.4846449084675325</v>
      </c>
    </row>
    <row r="1676" spans="1:15" x14ac:dyDescent="0.25">
      <c r="A1676" t="s">
        <v>7413</v>
      </c>
      <c r="B1676" t="s">
        <v>3353</v>
      </c>
      <c r="C1676" s="3" t="s">
        <v>3354</v>
      </c>
      <c r="D1676" s="24">
        <v>0.21579200000000001</v>
      </c>
      <c r="E1676" s="25">
        <v>8.907</v>
      </c>
      <c r="F1676" s="25">
        <v>9.2680000000000007</v>
      </c>
      <c r="G1676" s="26">
        <v>-0.36059999999999998</v>
      </c>
      <c r="H1676" s="27">
        <v>0.26069999999999999</v>
      </c>
      <c r="I1676" s="26">
        <v>1.383</v>
      </c>
      <c r="J1676" s="28">
        <v>6</v>
      </c>
      <c r="K1676" s="27">
        <v>0.355877</v>
      </c>
      <c r="L1676" s="29">
        <f t="shared" si="104"/>
        <v>0.44870007913821464</v>
      </c>
      <c r="M1676" s="29">
        <f t="shared" si="105"/>
        <v>-0.36100000000000021</v>
      </c>
      <c r="N1676" s="30">
        <f t="shared" si="106"/>
        <v>0.66596465983965281</v>
      </c>
      <c r="O1676" s="31">
        <f t="shared" si="107"/>
        <v>0.77862469106166188</v>
      </c>
    </row>
    <row r="1677" spans="1:15" x14ac:dyDescent="0.25">
      <c r="A1677" t="s">
        <v>7414</v>
      </c>
      <c r="B1677" t="s">
        <v>3355</v>
      </c>
      <c r="C1677" s="3" t="s">
        <v>3356</v>
      </c>
      <c r="D1677" s="24">
        <v>0.21627299999999999</v>
      </c>
      <c r="E1677" s="25">
        <v>10.06</v>
      </c>
      <c r="F1677" s="25">
        <v>10.15</v>
      </c>
      <c r="G1677" s="26">
        <v>-9.3100000000000002E-2</v>
      </c>
      <c r="H1677" s="27">
        <v>6.7379999999999995E-2</v>
      </c>
      <c r="I1677" s="26">
        <v>1.3819999999999999</v>
      </c>
      <c r="J1677" s="28">
        <v>6</v>
      </c>
      <c r="K1677" s="27">
        <v>0.35645700000000002</v>
      </c>
      <c r="L1677" s="29">
        <f t="shared" si="104"/>
        <v>0.44799285231717684</v>
      </c>
      <c r="M1677" s="29">
        <f t="shared" si="105"/>
        <v>-9.0000000000000996E-2</v>
      </c>
      <c r="N1677" s="30">
        <f t="shared" si="106"/>
        <v>0.6649976954611756</v>
      </c>
      <c r="O1677" s="31">
        <f t="shared" si="107"/>
        <v>0.93952274921401113</v>
      </c>
    </row>
    <row r="1678" spans="1:15" x14ac:dyDescent="0.25">
      <c r="A1678" t="s">
        <v>7415</v>
      </c>
      <c r="B1678" t="s">
        <v>3357</v>
      </c>
      <c r="C1678" s="3" t="s">
        <v>3358</v>
      </c>
      <c r="D1678" s="24">
        <v>0.216416</v>
      </c>
      <c r="E1678" s="25">
        <v>9.3469999999999995</v>
      </c>
      <c r="F1678" s="25">
        <v>9.5289999999999999</v>
      </c>
      <c r="G1678" s="26">
        <v>-0.18229999999999999</v>
      </c>
      <c r="H1678" s="27">
        <v>0.13189999999999999</v>
      </c>
      <c r="I1678" s="26">
        <v>1.381</v>
      </c>
      <c r="J1678" s="28">
        <v>6</v>
      </c>
      <c r="K1678" s="27">
        <v>0.35648000000000002</v>
      </c>
      <c r="L1678" s="29">
        <f t="shared" si="104"/>
        <v>0.44796483084238381</v>
      </c>
      <c r="M1678" s="29">
        <f t="shared" si="105"/>
        <v>-0.18200000000000008</v>
      </c>
      <c r="N1678" s="30">
        <f t="shared" si="106"/>
        <v>0.66471063425475119</v>
      </c>
      <c r="O1678" s="31">
        <f t="shared" si="107"/>
        <v>0.88148015790717005</v>
      </c>
    </row>
    <row r="1679" spans="1:15" x14ac:dyDescent="0.25">
      <c r="A1679" t="s">
        <v>7416</v>
      </c>
      <c r="B1679" t="s">
        <v>3359</v>
      </c>
      <c r="C1679" s="3" t="s">
        <v>3360</v>
      </c>
      <c r="D1679" s="24">
        <v>0.21668599999999999</v>
      </c>
      <c r="E1679" s="25">
        <v>8.7989999999999995</v>
      </c>
      <c r="F1679" s="25">
        <v>8.4689999999999994</v>
      </c>
      <c r="G1679" s="26">
        <v>0.33019999999999999</v>
      </c>
      <c r="H1679" s="27">
        <v>0.2392</v>
      </c>
      <c r="I1679" s="26">
        <v>1.38</v>
      </c>
      <c r="J1679" s="28">
        <v>6</v>
      </c>
      <c r="K1679" s="27">
        <v>0.35671199999999997</v>
      </c>
      <c r="L1679" s="29">
        <f t="shared" si="104"/>
        <v>0.44768228049589792</v>
      </c>
      <c r="M1679" s="29">
        <f t="shared" si="105"/>
        <v>0.33000000000000007</v>
      </c>
      <c r="N1679" s="30">
        <f t="shared" si="106"/>
        <v>0.66416914737496568</v>
      </c>
      <c r="O1679" s="31">
        <f t="shared" si="107"/>
        <v>1.2570133745218284</v>
      </c>
    </row>
    <row r="1680" spans="1:15" x14ac:dyDescent="0.25">
      <c r="A1680" t="s">
        <v>7417</v>
      </c>
      <c r="B1680" t="s">
        <v>3361</v>
      </c>
      <c r="C1680" s="3" t="s">
        <v>3362</v>
      </c>
      <c r="D1680" s="24">
        <v>0.21735699999999999</v>
      </c>
      <c r="E1680" s="25">
        <v>9.0060000000000002</v>
      </c>
      <c r="F1680" s="25">
        <v>9.2149999999999999</v>
      </c>
      <c r="G1680" s="26">
        <v>-0.20910000000000001</v>
      </c>
      <c r="H1680" s="27">
        <v>0.15179999999999999</v>
      </c>
      <c r="I1680" s="26">
        <v>1.3779999999999999</v>
      </c>
      <c r="J1680" s="28">
        <v>6</v>
      </c>
      <c r="K1680" s="27">
        <v>0.357603</v>
      </c>
      <c r="L1680" s="29">
        <f t="shared" si="104"/>
        <v>0.44659884648131942</v>
      </c>
      <c r="M1680" s="29">
        <f t="shared" si="105"/>
        <v>-0.20900000000000007</v>
      </c>
      <c r="N1680" s="30">
        <f t="shared" si="106"/>
        <v>0.66282636875853596</v>
      </c>
      <c r="O1680" s="31">
        <f t="shared" si="107"/>
        <v>0.86513669058498821</v>
      </c>
    </row>
    <row r="1681" spans="1:15" x14ac:dyDescent="0.25">
      <c r="A1681" t="s">
        <v>7418</v>
      </c>
      <c r="B1681" t="s">
        <v>3363</v>
      </c>
      <c r="C1681" s="3" t="s">
        <v>3364</v>
      </c>
      <c r="D1681" s="24">
        <v>0.218079</v>
      </c>
      <c r="E1681" s="25">
        <v>9.4789999999999992</v>
      </c>
      <c r="F1681" s="25">
        <v>9.3330000000000002</v>
      </c>
      <c r="G1681" s="26">
        <v>0.14580000000000001</v>
      </c>
      <c r="H1681" s="27">
        <v>0.106</v>
      </c>
      <c r="I1681" s="26">
        <v>1.3759999999999999</v>
      </c>
      <c r="J1681" s="28">
        <v>6</v>
      </c>
      <c r="K1681" s="27">
        <v>0.35857800000000001</v>
      </c>
      <c r="L1681" s="29">
        <f t="shared" si="104"/>
        <v>0.44541635942441049</v>
      </c>
      <c r="M1681" s="29">
        <f t="shared" si="105"/>
        <v>0.1459999999999991</v>
      </c>
      <c r="N1681" s="30">
        <f t="shared" si="106"/>
        <v>0.66138615295968417</v>
      </c>
      <c r="O1681" s="31">
        <f t="shared" si="107"/>
        <v>1.1064973530922715</v>
      </c>
    </row>
    <row r="1682" spans="1:15" x14ac:dyDescent="0.25">
      <c r="A1682" t="s">
        <v>7419</v>
      </c>
      <c r="B1682" t="s">
        <v>3367</v>
      </c>
      <c r="C1682" s="3" t="s">
        <v>3368</v>
      </c>
      <c r="D1682" s="24">
        <v>0.220028</v>
      </c>
      <c r="E1682" s="25">
        <v>9.4949999999999992</v>
      </c>
      <c r="F1682" s="25">
        <v>9.234</v>
      </c>
      <c r="G1682" s="26">
        <v>0.2606</v>
      </c>
      <c r="H1682" s="27">
        <v>0.19040000000000001</v>
      </c>
      <c r="I1682" s="26">
        <v>1.369</v>
      </c>
      <c r="J1682" s="28">
        <v>6</v>
      </c>
      <c r="K1682" s="27">
        <v>0.36114000000000002</v>
      </c>
      <c r="L1682" s="29">
        <f t="shared" si="104"/>
        <v>0.44232440629156644</v>
      </c>
      <c r="M1682" s="29">
        <f t="shared" si="105"/>
        <v>0.26099999999999896</v>
      </c>
      <c r="N1682" s="30">
        <f t="shared" si="106"/>
        <v>0.65752204885177035</v>
      </c>
      <c r="O1682" s="31">
        <f t="shared" si="107"/>
        <v>1.1983090213394179</v>
      </c>
    </row>
    <row r="1683" spans="1:15" x14ac:dyDescent="0.25">
      <c r="A1683" t="s">
        <v>7420</v>
      </c>
      <c r="B1683" t="s">
        <v>3365</v>
      </c>
      <c r="C1683" s="3" t="s">
        <v>3366</v>
      </c>
      <c r="D1683" s="24">
        <v>0.219995</v>
      </c>
      <c r="E1683" s="25">
        <v>7.81</v>
      </c>
      <c r="F1683" s="25">
        <v>7.5960000000000001</v>
      </c>
      <c r="G1683" s="26">
        <v>0.2145</v>
      </c>
      <c r="H1683" s="27">
        <v>0.15670000000000001</v>
      </c>
      <c r="I1683" s="26">
        <v>1.369</v>
      </c>
      <c r="J1683" s="28">
        <v>6</v>
      </c>
      <c r="K1683" s="27">
        <v>0.36114000000000002</v>
      </c>
      <c r="L1683" s="29">
        <f t="shared" si="104"/>
        <v>0.44232440629156644</v>
      </c>
      <c r="M1683" s="29">
        <f t="shared" si="105"/>
        <v>0.21399999999999958</v>
      </c>
      <c r="N1683" s="30">
        <f t="shared" si="106"/>
        <v>0.65758718961909235</v>
      </c>
      <c r="O1683" s="31">
        <f t="shared" si="107"/>
        <v>1.1598996545054341</v>
      </c>
    </row>
    <row r="1684" spans="1:15" x14ac:dyDescent="0.25">
      <c r="A1684" t="s">
        <v>7421</v>
      </c>
      <c r="B1684" t="s">
        <v>3369</v>
      </c>
      <c r="C1684" s="3" t="s">
        <v>3370</v>
      </c>
      <c r="D1684" s="24">
        <v>0.22003</v>
      </c>
      <c r="E1684" s="25">
        <v>7.407</v>
      </c>
      <c r="F1684" s="25">
        <v>8.532</v>
      </c>
      <c r="G1684" s="26">
        <v>-1.1240000000000001</v>
      </c>
      <c r="H1684" s="27">
        <v>0.82120000000000004</v>
      </c>
      <c r="I1684" s="26">
        <v>1.369</v>
      </c>
      <c r="J1684" s="28">
        <v>6</v>
      </c>
      <c r="K1684" s="27">
        <v>0.36114000000000002</v>
      </c>
      <c r="L1684" s="29">
        <f t="shared" si="104"/>
        <v>0.44232440629156644</v>
      </c>
      <c r="M1684" s="29">
        <f t="shared" si="105"/>
        <v>-1.1249999999999991</v>
      </c>
      <c r="N1684" s="30">
        <f t="shared" si="106"/>
        <v>0.6575181012404836</v>
      </c>
      <c r="O1684" s="31">
        <f t="shared" si="107"/>
        <v>0.45850202160233589</v>
      </c>
    </row>
    <row r="1685" spans="1:15" x14ac:dyDescent="0.25">
      <c r="A1685" t="s">
        <v>7422</v>
      </c>
      <c r="B1685" t="s">
        <v>3371</v>
      </c>
      <c r="C1685" s="3" t="s">
        <v>3372</v>
      </c>
      <c r="D1685" s="24">
        <v>0.22046099999999999</v>
      </c>
      <c r="E1685" s="25">
        <v>11.49</v>
      </c>
      <c r="F1685" s="25">
        <v>11.29</v>
      </c>
      <c r="G1685" s="26">
        <v>0.20150000000000001</v>
      </c>
      <c r="H1685" s="27">
        <v>0.14729999999999999</v>
      </c>
      <c r="I1685" s="26">
        <v>1.3680000000000001</v>
      </c>
      <c r="J1685" s="28">
        <v>6</v>
      </c>
      <c r="K1685" s="27">
        <v>0.36163299999999998</v>
      </c>
      <c r="L1685" s="29">
        <f t="shared" si="104"/>
        <v>0.44173194582947656</v>
      </c>
      <c r="M1685" s="29">
        <f t="shared" si="105"/>
        <v>0.20000000000000123</v>
      </c>
      <c r="N1685" s="30">
        <f t="shared" si="106"/>
        <v>0.65666822698001415</v>
      </c>
      <c r="O1685" s="31">
        <f t="shared" si="107"/>
        <v>1.148698354997036</v>
      </c>
    </row>
    <row r="1686" spans="1:15" x14ac:dyDescent="0.25">
      <c r="A1686" t="s">
        <v>7423</v>
      </c>
      <c r="B1686" t="s">
        <v>3373</v>
      </c>
      <c r="C1686" s="3" t="s">
        <v>3374</v>
      </c>
      <c r="D1686" s="24">
        <v>0.220862</v>
      </c>
      <c r="E1686" s="25">
        <v>15.97</v>
      </c>
      <c r="F1686" s="25">
        <v>16.11</v>
      </c>
      <c r="G1686" s="26">
        <v>-0.13300000000000001</v>
      </c>
      <c r="H1686" s="27">
        <v>9.7339999999999996E-2</v>
      </c>
      <c r="I1686" s="26">
        <v>1.3660000000000001</v>
      </c>
      <c r="J1686" s="28">
        <v>6</v>
      </c>
      <c r="K1686" s="27">
        <v>0.36207499999999998</v>
      </c>
      <c r="L1686" s="29">
        <f t="shared" si="104"/>
        <v>0.44120146064797094</v>
      </c>
      <c r="M1686" s="29">
        <f t="shared" si="105"/>
        <v>-0.14000000000000015</v>
      </c>
      <c r="N1686" s="30">
        <f t="shared" si="106"/>
        <v>0.65587899942935146</v>
      </c>
      <c r="O1686" s="31">
        <f t="shared" si="107"/>
        <v>0.90751915531716076</v>
      </c>
    </row>
    <row r="1687" spans="1:15" x14ac:dyDescent="0.25">
      <c r="A1687" t="s">
        <v>7424</v>
      </c>
      <c r="B1687" t="s">
        <v>3375</v>
      </c>
      <c r="C1687" s="3" t="s">
        <v>3376</v>
      </c>
      <c r="D1687" s="24">
        <v>0.221223</v>
      </c>
      <c r="E1687" s="25">
        <v>8.4499999999999993</v>
      </c>
      <c r="F1687" s="25">
        <v>8.6340000000000003</v>
      </c>
      <c r="G1687" s="26">
        <v>-0.18390000000000001</v>
      </c>
      <c r="H1687" s="27">
        <v>0.13469999999999999</v>
      </c>
      <c r="I1687" s="26">
        <v>1.365</v>
      </c>
      <c r="J1687" s="28">
        <v>6</v>
      </c>
      <c r="K1687" s="27">
        <v>0.36230299999999999</v>
      </c>
      <c r="L1687" s="29">
        <f t="shared" si="104"/>
        <v>0.44092806983504218</v>
      </c>
      <c r="M1687" s="29">
        <f t="shared" si="105"/>
        <v>-0.18400000000000083</v>
      </c>
      <c r="N1687" s="30">
        <f t="shared" si="106"/>
        <v>0.65516972251285488</v>
      </c>
      <c r="O1687" s="31">
        <f t="shared" si="107"/>
        <v>0.88025901356315039</v>
      </c>
    </row>
    <row r="1688" spans="1:15" x14ac:dyDescent="0.25">
      <c r="A1688" t="s">
        <v>7425</v>
      </c>
      <c r="B1688" t="s">
        <v>3377</v>
      </c>
      <c r="C1688" s="3" t="s">
        <v>3378</v>
      </c>
      <c r="D1688" s="24">
        <v>0.22126299999999999</v>
      </c>
      <c r="E1688" s="25">
        <v>10.4</v>
      </c>
      <c r="F1688" s="25">
        <v>10.31</v>
      </c>
      <c r="G1688" s="26">
        <v>8.6650000000000005E-2</v>
      </c>
      <c r="H1688" s="27">
        <v>6.3490000000000005E-2</v>
      </c>
      <c r="I1688" s="26">
        <v>1.365</v>
      </c>
      <c r="J1688" s="28">
        <v>6</v>
      </c>
      <c r="K1688" s="27">
        <v>0.36230299999999999</v>
      </c>
      <c r="L1688" s="29">
        <f t="shared" si="104"/>
        <v>0.44092806983504218</v>
      </c>
      <c r="M1688" s="29">
        <f t="shared" si="105"/>
        <v>8.9999999999999566E-2</v>
      </c>
      <c r="N1688" s="30">
        <f t="shared" si="106"/>
        <v>0.65509120351192174</v>
      </c>
      <c r="O1688" s="31">
        <f t="shared" si="107"/>
        <v>1.0643701824533596</v>
      </c>
    </row>
    <row r="1689" spans="1:15" x14ac:dyDescent="0.25">
      <c r="A1689" t="s">
        <v>7426</v>
      </c>
      <c r="B1689" t="s">
        <v>3379</v>
      </c>
      <c r="C1689" s="3" t="s">
        <v>3380</v>
      </c>
      <c r="D1689" s="24">
        <v>0.221552</v>
      </c>
      <c r="E1689" s="25">
        <v>7.2309999999999999</v>
      </c>
      <c r="F1689" s="25">
        <v>7.6550000000000002</v>
      </c>
      <c r="G1689" s="26">
        <v>-0.42480000000000001</v>
      </c>
      <c r="H1689" s="27">
        <v>0.31140000000000001</v>
      </c>
      <c r="I1689" s="26">
        <v>1.3640000000000001</v>
      </c>
      <c r="J1689" s="28">
        <v>6</v>
      </c>
      <c r="K1689" s="27">
        <v>0.362562</v>
      </c>
      <c r="L1689" s="29">
        <f t="shared" si="104"/>
        <v>0.44061771611234957</v>
      </c>
      <c r="M1689" s="29">
        <f t="shared" si="105"/>
        <v>-0.42399999999999988</v>
      </c>
      <c r="N1689" s="30">
        <f t="shared" si="106"/>
        <v>0.65452432514018533</v>
      </c>
      <c r="O1689" s="31">
        <f t="shared" si="107"/>
        <v>0.74535519339946033</v>
      </c>
    </row>
    <row r="1690" spans="1:15" x14ac:dyDescent="0.25">
      <c r="A1690" t="s">
        <v>7427</v>
      </c>
      <c r="B1690" t="s">
        <v>3381</v>
      </c>
      <c r="C1690" s="3" t="s">
        <v>3382</v>
      </c>
      <c r="D1690" s="24">
        <v>0.22190599999999999</v>
      </c>
      <c r="E1690" s="25">
        <v>9.5570000000000004</v>
      </c>
      <c r="F1690" s="25">
        <v>9.2360000000000007</v>
      </c>
      <c r="G1690" s="26">
        <v>0.3211</v>
      </c>
      <c r="H1690" s="27">
        <v>0.2356</v>
      </c>
      <c r="I1690" s="26">
        <v>1.363</v>
      </c>
      <c r="J1690" s="28">
        <v>6</v>
      </c>
      <c r="K1690" s="27">
        <v>0.36281200000000002</v>
      </c>
      <c r="L1690" s="29">
        <f t="shared" si="104"/>
        <v>0.44031835709265837</v>
      </c>
      <c r="M1690" s="29">
        <f t="shared" si="105"/>
        <v>0.32100000000000012</v>
      </c>
      <c r="N1690" s="30">
        <f t="shared" si="106"/>
        <v>0.65383095494841925</v>
      </c>
      <c r="O1690" s="31">
        <f t="shared" si="107"/>
        <v>1.2491961256533768</v>
      </c>
    </row>
    <row r="1691" spans="1:15" x14ac:dyDescent="0.25">
      <c r="A1691" t="s">
        <v>7428</v>
      </c>
      <c r="B1691" t="s">
        <v>3383</v>
      </c>
      <c r="C1691" s="3" t="s">
        <v>3384</v>
      </c>
      <c r="D1691" s="24">
        <v>0.221968</v>
      </c>
      <c r="E1691" s="25">
        <v>8.1739999999999995</v>
      </c>
      <c r="F1691" s="25">
        <v>7.6769999999999996</v>
      </c>
      <c r="G1691" s="26">
        <v>0.49719999999999998</v>
      </c>
      <c r="H1691" s="27">
        <v>0.3649</v>
      </c>
      <c r="I1691" s="26">
        <v>1.3620000000000001</v>
      </c>
      <c r="J1691" s="28">
        <v>6</v>
      </c>
      <c r="K1691" s="27">
        <v>0.36281200000000002</v>
      </c>
      <c r="L1691" s="29">
        <f t="shared" si="104"/>
        <v>0.44031835709265837</v>
      </c>
      <c r="M1691" s="29">
        <f t="shared" si="105"/>
        <v>0.49700000000000011</v>
      </c>
      <c r="N1691" s="30">
        <f t="shared" si="106"/>
        <v>0.65370963106797964</v>
      </c>
      <c r="O1691" s="31">
        <f t="shared" si="107"/>
        <v>1.4112758434086925</v>
      </c>
    </row>
    <row r="1692" spans="1:15" x14ac:dyDescent="0.25">
      <c r="A1692" t="s">
        <v>7429</v>
      </c>
      <c r="B1692" t="s">
        <v>3385</v>
      </c>
      <c r="C1692" s="3" t="s">
        <v>3386</v>
      </c>
      <c r="D1692" s="24">
        <v>0.22239300000000001</v>
      </c>
      <c r="E1692" s="25">
        <v>9.8360000000000003</v>
      </c>
      <c r="F1692" s="25">
        <v>9.5419999999999998</v>
      </c>
      <c r="G1692" s="26">
        <v>0.29370000000000002</v>
      </c>
      <c r="H1692" s="27">
        <v>0.21579999999999999</v>
      </c>
      <c r="I1692" s="26">
        <v>1.361</v>
      </c>
      <c r="J1692" s="28">
        <v>6</v>
      </c>
      <c r="K1692" s="27">
        <v>0.363292</v>
      </c>
      <c r="L1692" s="29">
        <f t="shared" si="104"/>
        <v>0.43974416556725804</v>
      </c>
      <c r="M1692" s="29">
        <f t="shared" si="105"/>
        <v>0.29399999999999993</v>
      </c>
      <c r="N1692" s="30">
        <f t="shared" si="106"/>
        <v>0.65287888664581195</v>
      </c>
      <c r="O1692" s="31">
        <f t="shared" si="107"/>
        <v>1.2260348600531563</v>
      </c>
    </row>
    <row r="1693" spans="1:15" x14ac:dyDescent="0.25">
      <c r="A1693" t="s">
        <v>7430</v>
      </c>
      <c r="B1693" t="s">
        <v>3387</v>
      </c>
      <c r="C1693" s="3" t="s">
        <v>3388</v>
      </c>
      <c r="D1693" s="24">
        <v>0.22289100000000001</v>
      </c>
      <c r="E1693" s="25">
        <v>8.7230000000000008</v>
      </c>
      <c r="F1693" s="25">
        <v>8.8290000000000006</v>
      </c>
      <c r="G1693" s="26">
        <v>-0.1055</v>
      </c>
      <c r="H1693" s="27">
        <v>7.7579999999999996E-2</v>
      </c>
      <c r="I1693" s="26">
        <v>1.359</v>
      </c>
      <c r="J1693" s="28">
        <v>6</v>
      </c>
      <c r="K1693" s="27">
        <v>0.36388999999999999</v>
      </c>
      <c r="L1693" s="29">
        <f t="shared" si="104"/>
        <v>0.43902987902352653</v>
      </c>
      <c r="M1693" s="29">
        <f t="shared" si="105"/>
        <v>-0.10600000000000015</v>
      </c>
      <c r="N1693" s="30">
        <f t="shared" si="106"/>
        <v>0.6519074673171994</v>
      </c>
      <c r="O1693" s="31">
        <f t="shared" si="107"/>
        <v>0.9291606742509132</v>
      </c>
    </row>
    <row r="1694" spans="1:15" x14ac:dyDescent="0.25">
      <c r="A1694" t="s">
        <v>7431</v>
      </c>
      <c r="B1694" t="s">
        <v>3389</v>
      </c>
      <c r="C1694" s="3" t="s">
        <v>3390</v>
      </c>
      <c r="D1694" s="24">
        <v>0.22412099999999999</v>
      </c>
      <c r="E1694" s="25">
        <v>8.7210000000000001</v>
      </c>
      <c r="F1694" s="25">
        <v>8.5879999999999992</v>
      </c>
      <c r="G1694" s="26">
        <v>0.13239999999999999</v>
      </c>
      <c r="H1694" s="27">
        <v>9.7680000000000003E-2</v>
      </c>
      <c r="I1694" s="26">
        <v>1.355</v>
      </c>
      <c r="J1694" s="28">
        <v>6</v>
      </c>
      <c r="K1694" s="27">
        <v>0.36568299999999998</v>
      </c>
      <c r="L1694" s="29">
        <f t="shared" si="104"/>
        <v>0.43689522882739618</v>
      </c>
      <c r="M1694" s="29">
        <f t="shared" si="105"/>
        <v>0.13300000000000131</v>
      </c>
      <c r="N1694" s="30">
        <f t="shared" si="106"/>
        <v>0.64951744843223547</v>
      </c>
      <c r="O1694" s="31">
        <f t="shared" si="107"/>
        <v>1.0965715885878951</v>
      </c>
    </row>
    <row r="1695" spans="1:15" x14ac:dyDescent="0.25">
      <c r="A1695" t="s">
        <v>7432</v>
      </c>
      <c r="B1695" t="s">
        <v>3395</v>
      </c>
      <c r="C1695" s="3" t="s">
        <v>3396</v>
      </c>
      <c r="D1695" s="24">
        <v>0.224829</v>
      </c>
      <c r="E1695" s="25">
        <v>7.5759999999999996</v>
      </c>
      <c r="F1695" s="25">
        <v>8.0190000000000001</v>
      </c>
      <c r="G1695" s="26">
        <v>-0.44359999999999999</v>
      </c>
      <c r="H1695" s="27">
        <v>0.32790000000000002</v>
      </c>
      <c r="I1695" s="26">
        <v>1.353</v>
      </c>
      <c r="J1695" s="28">
        <v>6</v>
      </c>
      <c r="K1695" s="27">
        <v>0.36603400000000003</v>
      </c>
      <c r="L1695" s="29">
        <f t="shared" si="104"/>
        <v>0.43647857218325553</v>
      </c>
      <c r="M1695" s="29">
        <f t="shared" si="105"/>
        <v>-0.44300000000000045</v>
      </c>
      <c r="N1695" s="30">
        <f t="shared" si="106"/>
        <v>0.64814767118271488</v>
      </c>
      <c r="O1695" s="31">
        <f t="shared" si="107"/>
        <v>0.7356033729278687</v>
      </c>
    </row>
    <row r="1696" spans="1:15" x14ac:dyDescent="0.25">
      <c r="A1696" t="s">
        <v>7433</v>
      </c>
      <c r="B1696" t="s">
        <v>3391</v>
      </c>
      <c r="C1696" s="3" t="s">
        <v>3392</v>
      </c>
      <c r="D1696" s="24">
        <v>0.22447</v>
      </c>
      <c r="E1696" s="25">
        <v>7.69</v>
      </c>
      <c r="F1696" s="25">
        <v>7.1479999999999997</v>
      </c>
      <c r="G1696" s="26">
        <v>0.54179999999999995</v>
      </c>
      <c r="H1696" s="27">
        <v>0.40010000000000001</v>
      </c>
      <c r="I1696" s="26">
        <v>1.3540000000000001</v>
      </c>
      <c r="J1696" s="28">
        <v>6</v>
      </c>
      <c r="K1696" s="27">
        <v>0.36603400000000003</v>
      </c>
      <c r="L1696" s="29">
        <f t="shared" si="104"/>
        <v>0.43647857218325553</v>
      </c>
      <c r="M1696" s="29">
        <f t="shared" si="105"/>
        <v>0.54200000000000137</v>
      </c>
      <c r="N1696" s="30">
        <f t="shared" si="106"/>
        <v>0.64884169343597253</v>
      </c>
      <c r="O1696" s="31">
        <f t="shared" si="107"/>
        <v>1.4559895489990879</v>
      </c>
    </row>
    <row r="1697" spans="1:15" x14ac:dyDescent="0.25">
      <c r="A1697" t="s">
        <v>7434</v>
      </c>
      <c r="B1697" t="s">
        <v>3397</v>
      </c>
      <c r="C1697" s="3" t="s">
        <v>3398</v>
      </c>
      <c r="D1697" s="24">
        <v>0.22486600000000001</v>
      </c>
      <c r="E1697" s="25">
        <v>13.16</v>
      </c>
      <c r="F1697" s="25">
        <v>13.63</v>
      </c>
      <c r="G1697" s="26">
        <v>-0.47449999999999998</v>
      </c>
      <c r="H1697" s="27">
        <v>0.3508</v>
      </c>
      <c r="I1697" s="26">
        <v>1.353</v>
      </c>
      <c r="J1697" s="28">
        <v>6</v>
      </c>
      <c r="K1697" s="27">
        <v>0.36603400000000003</v>
      </c>
      <c r="L1697" s="29">
        <f t="shared" si="104"/>
        <v>0.43647857218325553</v>
      </c>
      <c r="M1697" s="29">
        <f t="shared" si="105"/>
        <v>-0.47000000000000147</v>
      </c>
      <c r="N1697" s="30">
        <f t="shared" si="106"/>
        <v>0.64807620542985267</v>
      </c>
      <c r="O1697" s="31">
        <f t="shared" si="107"/>
        <v>0.72196459776124733</v>
      </c>
    </row>
    <row r="1698" spans="1:15" x14ac:dyDescent="0.25">
      <c r="A1698" t="s">
        <v>7435</v>
      </c>
      <c r="B1698" t="s">
        <v>3393</v>
      </c>
      <c r="C1698" s="3" t="s">
        <v>3394</v>
      </c>
      <c r="D1698" s="24">
        <v>0.22473799999999999</v>
      </c>
      <c r="E1698" s="25">
        <v>9.64</v>
      </c>
      <c r="F1698" s="25">
        <v>9.5060000000000002</v>
      </c>
      <c r="G1698" s="26">
        <v>0.13389999999999999</v>
      </c>
      <c r="H1698" s="27">
        <v>9.8970000000000002E-2</v>
      </c>
      <c r="I1698" s="26">
        <v>1.353</v>
      </c>
      <c r="J1698" s="28">
        <v>6</v>
      </c>
      <c r="K1698" s="27">
        <v>0.36603400000000003</v>
      </c>
      <c r="L1698" s="29">
        <f t="shared" si="104"/>
        <v>0.43647857218325553</v>
      </c>
      <c r="M1698" s="29">
        <f t="shared" si="105"/>
        <v>0.13400000000000051</v>
      </c>
      <c r="N1698" s="30">
        <f t="shared" si="106"/>
        <v>0.64832348835075859</v>
      </c>
      <c r="O1698" s="31">
        <f t="shared" si="107"/>
        <v>1.0973319375792434</v>
      </c>
    </row>
    <row r="1699" spans="1:15" x14ac:dyDescent="0.25">
      <c r="A1699" t="s">
        <v>7436</v>
      </c>
      <c r="B1699" t="s">
        <v>3399</v>
      </c>
      <c r="C1699" s="3" t="s">
        <v>3400</v>
      </c>
      <c r="D1699" s="24">
        <v>0.225912</v>
      </c>
      <c r="E1699" s="25">
        <v>12.17</v>
      </c>
      <c r="F1699" s="25">
        <v>11.84</v>
      </c>
      <c r="G1699" s="26">
        <v>0.3281</v>
      </c>
      <c r="H1699" s="27">
        <v>0.2432</v>
      </c>
      <c r="I1699" s="26">
        <v>1.349</v>
      </c>
      <c r="J1699" s="28">
        <v>6</v>
      </c>
      <c r="K1699" s="27">
        <v>0.36752000000000001</v>
      </c>
      <c r="L1699" s="29">
        <f t="shared" si="104"/>
        <v>0.43471902214904912</v>
      </c>
      <c r="M1699" s="29">
        <f t="shared" si="105"/>
        <v>0.32999999999999874</v>
      </c>
      <c r="N1699" s="30">
        <f t="shared" si="106"/>
        <v>0.64606069960036649</v>
      </c>
      <c r="O1699" s="31">
        <f t="shared" si="107"/>
        <v>1.2570133745218273</v>
      </c>
    </row>
    <row r="1700" spans="1:15" x14ac:dyDescent="0.25">
      <c r="A1700" t="s">
        <v>7437</v>
      </c>
      <c r="B1700" t="s">
        <v>3401</v>
      </c>
      <c r="C1700" s="3" t="s">
        <v>3402</v>
      </c>
      <c r="D1700" s="24">
        <v>0.226189</v>
      </c>
      <c r="E1700" s="25">
        <v>11.57</v>
      </c>
      <c r="F1700" s="25">
        <v>10.98</v>
      </c>
      <c r="G1700" s="26">
        <v>0.58679999999999999</v>
      </c>
      <c r="H1700" s="27">
        <v>0.43519999999999998</v>
      </c>
      <c r="I1700" s="26">
        <v>1.3480000000000001</v>
      </c>
      <c r="J1700" s="28">
        <v>6</v>
      </c>
      <c r="K1700" s="27">
        <v>0.36775400000000003</v>
      </c>
      <c r="L1700" s="29">
        <f t="shared" si="104"/>
        <v>0.43444259482482356</v>
      </c>
      <c r="M1700" s="29">
        <f t="shared" si="105"/>
        <v>0.58999999999999819</v>
      </c>
      <c r="N1700" s="30">
        <f t="shared" si="106"/>
        <v>0.64552851946123613</v>
      </c>
      <c r="O1700" s="31">
        <f t="shared" si="107"/>
        <v>1.5052467474110653</v>
      </c>
    </row>
    <row r="1701" spans="1:15" x14ac:dyDescent="0.25">
      <c r="A1701" t="s">
        <v>7438</v>
      </c>
      <c r="B1701" t="s">
        <v>3403</v>
      </c>
      <c r="C1701" s="3" t="s">
        <v>3404</v>
      </c>
      <c r="D1701" s="24">
        <v>0.226518</v>
      </c>
      <c r="E1701" s="25">
        <v>10.87</v>
      </c>
      <c r="F1701" s="25">
        <v>11.27</v>
      </c>
      <c r="G1701" s="26">
        <v>-0.39739999999999998</v>
      </c>
      <c r="H1701" s="27">
        <v>0.2949</v>
      </c>
      <c r="I1701" s="26">
        <v>1.347</v>
      </c>
      <c r="J1701" s="28">
        <v>6</v>
      </c>
      <c r="K1701" s="27">
        <v>0.36807200000000001</v>
      </c>
      <c r="L1701" s="29">
        <f t="shared" si="104"/>
        <v>0.43406721897824257</v>
      </c>
      <c r="M1701" s="29">
        <f t="shared" si="105"/>
        <v>-0.40000000000000008</v>
      </c>
      <c r="N1701" s="30">
        <f t="shared" si="106"/>
        <v>0.64489728155371218</v>
      </c>
      <c r="O1701" s="31">
        <f t="shared" si="107"/>
        <v>0.75785828325519899</v>
      </c>
    </row>
    <row r="1702" spans="1:15" x14ac:dyDescent="0.25">
      <c r="A1702" t="s">
        <v>7439</v>
      </c>
      <c r="B1702" t="s">
        <v>3405</v>
      </c>
      <c r="C1702" s="3" t="s">
        <v>3406</v>
      </c>
      <c r="D1702" s="24">
        <v>0.22681200000000001</v>
      </c>
      <c r="E1702" s="25">
        <v>9.6219999999999999</v>
      </c>
      <c r="F1702" s="25">
        <v>9.7940000000000005</v>
      </c>
      <c r="G1702" s="26">
        <v>-0.17199999999999999</v>
      </c>
      <c r="H1702" s="27">
        <v>0.1278</v>
      </c>
      <c r="I1702" s="26">
        <v>1.3460000000000001</v>
      </c>
      <c r="J1702" s="28">
        <v>6</v>
      </c>
      <c r="K1702" s="27">
        <v>0.36833199999999999</v>
      </c>
      <c r="L1702" s="29">
        <f t="shared" si="104"/>
        <v>0.43376054880810017</v>
      </c>
      <c r="M1702" s="29">
        <f t="shared" si="105"/>
        <v>-0.17200000000000107</v>
      </c>
      <c r="N1702" s="30">
        <f t="shared" si="106"/>
        <v>0.64433397184299146</v>
      </c>
      <c r="O1702" s="31">
        <f t="shared" si="107"/>
        <v>0.88761133726949715</v>
      </c>
    </row>
    <row r="1703" spans="1:15" x14ac:dyDescent="0.25">
      <c r="A1703" t="s">
        <v>7440</v>
      </c>
      <c r="B1703" t="s">
        <v>3413</v>
      </c>
      <c r="C1703" s="3" t="s">
        <v>3414</v>
      </c>
      <c r="D1703" s="24">
        <v>0.228821</v>
      </c>
      <c r="E1703" s="25">
        <v>9.048</v>
      </c>
      <c r="F1703" s="25">
        <v>8.89</v>
      </c>
      <c r="G1703" s="26">
        <v>0.15790000000000001</v>
      </c>
      <c r="H1703" s="27">
        <v>0.1179</v>
      </c>
      <c r="I1703" s="26">
        <v>1.34</v>
      </c>
      <c r="J1703" s="28">
        <v>6</v>
      </c>
      <c r="K1703" s="27">
        <v>0.37072300000000002</v>
      </c>
      <c r="L1703" s="29">
        <f t="shared" si="104"/>
        <v>0.43095046910067369</v>
      </c>
      <c r="M1703" s="29">
        <f t="shared" si="105"/>
        <v>0.15799999999999909</v>
      </c>
      <c r="N1703" s="30">
        <f t="shared" si="106"/>
        <v>0.64050412076360397</v>
      </c>
      <c r="O1703" s="31">
        <f t="shared" si="107"/>
        <v>1.1157393223249634</v>
      </c>
    </row>
    <row r="1704" spans="1:15" x14ac:dyDescent="0.25">
      <c r="A1704" t="s">
        <v>7441</v>
      </c>
      <c r="B1704" t="s">
        <v>3407</v>
      </c>
      <c r="C1704" s="3" t="s">
        <v>3408</v>
      </c>
      <c r="D1704" s="24">
        <v>0.228517</v>
      </c>
      <c r="E1704" s="25">
        <v>9.4809999999999999</v>
      </c>
      <c r="F1704" s="25">
        <v>9.3249999999999993</v>
      </c>
      <c r="G1704" s="26">
        <v>0.15559999999999999</v>
      </c>
      <c r="H1704" s="27">
        <v>0.11609999999999999</v>
      </c>
      <c r="I1704" s="26">
        <v>1.341</v>
      </c>
      <c r="J1704" s="28">
        <v>6</v>
      </c>
      <c r="K1704" s="27">
        <v>0.37072300000000002</v>
      </c>
      <c r="L1704" s="29">
        <f t="shared" si="104"/>
        <v>0.43095046910067369</v>
      </c>
      <c r="M1704" s="29">
        <f t="shared" si="105"/>
        <v>0.15600000000000067</v>
      </c>
      <c r="N1704" s="30">
        <f t="shared" si="106"/>
        <v>0.64108148604680215</v>
      </c>
      <c r="O1704" s="31">
        <f t="shared" si="107"/>
        <v>1.1141936508193329</v>
      </c>
    </row>
    <row r="1705" spans="1:15" x14ac:dyDescent="0.25">
      <c r="A1705" t="s">
        <v>7442</v>
      </c>
      <c r="B1705" t="s">
        <v>3409</v>
      </c>
      <c r="C1705" s="3" t="s">
        <v>3410</v>
      </c>
      <c r="D1705" s="24">
        <v>0.22871</v>
      </c>
      <c r="E1705" s="25">
        <v>8.9359999999999999</v>
      </c>
      <c r="F1705" s="25">
        <v>8.7799999999999994</v>
      </c>
      <c r="G1705" s="26">
        <v>0.1552</v>
      </c>
      <c r="H1705" s="27">
        <v>0.1158</v>
      </c>
      <c r="I1705" s="26">
        <v>1.34</v>
      </c>
      <c r="J1705" s="28">
        <v>6</v>
      </c>
      <c r="K1705" s="27">
        <v>0.37072300000000002</v>
      </c>
      <c r="L1705" s="29">
        <f t="shared" si="104"/>
        <v>0.43095046910067369</v>
      </c>
      <c r="M1705" s="29">
        <f t="shared" si="105"/>
        <v>0.15600000000000067</v>
      </c>
      <c r="N1705" s="30">
        <f t="shared" si="106"/>
        <v>0.64071484610652962</v>
      </c>
      <c r="O1705" s="31">
        <f t="shared" si="107"/>
        <v>1.1141936508193329</v>
      </c>
    </row>
    <row r="1706" spans="1:15" x14ac:dyDescent="0.25">
      <c r="A1706" t="s">
        <v>7443</v>
      </c>
      <c r="B1706" t="s">
        <v>3411</v>
      </c>
      <c r="C1706" s="3" t="s">
        <v>3412</v>
      </c>
      <c r="D1706" s="24">
        <v>0.228796</v>
      </c>
      <c r="E1706" s="25">
        <v>9.9489999999999998</v>
      </c>
      <c r="F1706" s="25">
        <v>9.7590000000000003</v>
      </c>
      <c r="G1706" s="26">
        <v>0.19040000000000001</v>
      </c>
      <c r="H1706" s="27">
        <v>0.1421</v>
      </c>
      <c r="I1706" s="26">
        <v>1.34</v>
      </c>
      <c r="J1706" s="28">
        <v>6</v>
      </c>
      <c r="K1706" s="27">
        <v>0.37072300000000002</v>
      </c>
      <c r="L1706" s="29">
        <f t="shared" si="104"/>
        <v>0.43095046910067369</v>
      </c>
      <c r="M1706" s="29">
        <f t="shared" si="105"/>
        <v>0.18999999999999834</v>
      </c>
      <c r="N1706" s="30">
        <f t="shared" si="106"/>
        <v>0.64055157250625516</v>
      </c>
      <c r="O1706" s="31">
        <f t="shared" si="107"/>
        <v>1.1407637158684223</v>
      </c>
    </row>
    <row r="1707" spans="1:15" x14ac:dyDescent="0.25">
      <c r="A1707" t="s">
        <v>7444</v>
      </c>
      <c r="B1707" t="s">
        <v>3415</v>
      </c>
      <c r="C1707" s="3" t="s">
        <v>3416</v>
      </c>
      <c r="D1707" s="24">
        <v>0.22941500000000001</v>
      </c>
      <c r="E1707" s="25">
        <v>8.2010000000000005</v>
      </c>
      <c r="F1707" s="25">
        <v>8.5640000000000001</v>
      </c>
      <c r="G1707" s="26">
        <v>-0.36309999999999998</v>
      </c>
      <c r="H1707" s="27">
        <v>0.27139999999999997</v>
      </c>
      <c r="I1707" s="26">
        <v>1.3380000000000001</v>
      </c>
      <c r="J1707" s="28">
        <v>6</v>
      </c>
      <c r="K1707" s="27">
        <v>0.37146800000000002</v>
      </c>
      <c r="L1707" s="29">
        <f t="shared" si="104"/>
        <v>0.43007859246060215</v>
      </c>
      <c r="M1707" s="29">
        <f t="shared" si="105"/>
        <v>-0.36299999999999971</v>
      </c>
      <c r="N1707" s="30">
        <f t="shared" si="106"/>
        <v>0.63937818972919058</v>
      </c>
      <c r="O1707" s="31">
        <f t="shared" si="107"/>
        <v>0.77754603588255855</v>
      </c>
    </row>
    <row r="1708" spans="1:15" x14ac:dyDescent="0.25">
      <c r="A1708" t="s">
        <v>7445</v>
      </c>
      <c r="B1708" t="s">
        <v>3417</v>
      </c>
      <c r="C1708" s="3" t="s">
        <v>3418</v>
      </c>
      <c r="D1708" s="24">
        <v>0.22997799999999999</v>
      </c>
      <c r="E1708" s="25">
        <v>11.44</v>
      </c>
      <c r="F1708" s="25">
        <v>11.85</v>
      </c>
      <c r="G1708" s="26">
        <v>-0.41289999999999999</v>
      </c>
      <c r="H1708" s="27">
        <v>0.309</v>
      </c>
      <c r="I1708" s="26">
        <v>1.3360000000000001</v>
      </c>
      <c r="J1708" s="28">
        <v>6</v>
      </c>
      <c r="K1708" s="27">
        <v>0.37216100000000002</v>
      </c>
      <c r="L1708" s="29">
        <f t="shared" si="104"/>
        <v>0.42926913999684541</v>
      </c>
      <c r="M1708" s="29">
        <f t="shared" si="105"/>
        <v>-0.41000000000000036</v>
      </c>
      <c r="N1708" s="30">
        <f t="shared" si="106"/>
        <v>0.63831370718059977</v>
      </c>
      <c r="O1708" s="31">
        <f t="shared" si="107"/>
        <v>0.75262337370553345</v>
      </c>
    </row>
    <row r="1709" spans="1:15" x14ac:dyDescent="0.25">
      <c r="A1709" t="s">
        <v>7446</v>
      </c>
      <c r="B1709" t="s">
        <v>3419</v>
      </c>
      <c r="C1709" s="3" t="s">
        <v>3420</v>
      </c>
      <c r="D1709" s="24">
        <v>0.230513</v>
      </c>
      <c r="E1709" s="25">
        <v>12.07</v>
      </c>
      <c r="F1709" s="25">
        <v>12.54</v>
      </c>
      <c r="G1709" s="26">
        <v>-0.47489999999999999</v>
      </c>
      <c r="H1709" s="27">
        <v>0.35589999999999999</v>
      </c>
      <c r="I1709" s="26">
        <v>1.3340000000000001</v>
      </c>
      <c r="J1709" s="28">
        <v>6</v>
      </c>
      <c r="K1709" s="27">
        <v>0.372809</v>
      </c>
      <c r="L1709" s="29">
        <f t="shared" si="104"/>
        <v>0.42851361186752701</v>
      </c>
      <c r="M1709" s="29">
        <f t="shared" si="105"/>
        <v>-0.46999999999999875</v>
      </c>
      <c r="N1709" s="30">
        <f t="shared" si="106"/>
        <v>0.6373045771330712</v>
      </c>
      <c r="O1709" s="31">
        <f t="shared" si="107"/>
        <v>0.72196459776124866</v>
      </c>
    </row>
    <row r="1710" spans="1:15" x14ac:dyDescent="0.25">
      <c r="A1710" t="s">
        <v>7447</v>
      </c>
      <c r="B1710" t="s">
        <v>3421</v>
      </c>
      <c r="C1710" s="3" t="s">
        <v>3422</v>
      </c>
      <c r="D1710" s="24">
        <v>0.23093</v>
      </c>
      <c r="E1710" s="25">
        <v>8.3819999999999997</v>
      </c>
      <c r="F1710" s="25">
        <v>8.7569999999999997</v>
      </c>
      <c r="G1710" s="26">
        <v>-0.375</v>
      </c>
      <c r="H1710" s="27">
        <v>0.28129999999999999</v>
      </c>
      <c r="I1710" s="26">
        <v>1.333</v>
      </c>
      <c r="J1710" s="28">
        <v>6</v>
      </c>
      <c r="K1710" s="27">
        <v>0.37326399999999998</v>
      </c>
      <c r="L1710" s="29">
        <f t="shared" si="104"/>
        <v>0.42798389422926852</v>
      </c>
      <c r="M1710" s="29">
        <f t="shared" si="105"/>
        <v>-0.37499999999999967</v>
      </c>
      <c r="N1710" s="30">
        <f t="shared" si="106"/>
        <v>0.63651964444039921</v>
      </c>
      <c r="O1710" s="31">
        <f t="shared" si="107"/>
        <v>0.77110541270397059</v>
      </c>
    </row>
    <row r="1711" spans="1:15" x14ac:dyDescent="0.25">
      <c r="A1711" t="s">
        <v>7448</v>
      </c>
      <c r="B1711" t="s">
        <v>3423</v>
      </c>
      <c r="C1711" s="3" t="s">
        <v>3424</v>
      </c>
      <c r="D1711" s="24">
        <v>0.23216700000000001</v>
      </c>
      <c r="E1711" s="25">
        <v>10.79</v>
      </c>
      <c r="F1711" s="25">
        <v>11.18</v>
      </c>
      <c r="G1711" s="26">
        <v>-0.38479999999999998</v>
      </c>
      <c r="H1711" s="27">
        <v>0.28960000000000002</v>
      </c>
      <c r="I1711" s="26">
        <v>1.329</v>
      </c>
      <c r="J1711" s="28">
        <v>6</v>
      </c>
      <c r="K1711" s="27">
        <v>0.37504500000000002</v>
      </c>
      <c r="L1711" s="29">
        <f t="shared" si="104"/>
        <v>0.42591662006112285</v>
      </c>
      <c r="M1711" s="29">
        <f t="shared" si="105"/>
        <v>-0.39000000000000101</v>
      </c>
      <c r="N1711" s="30">
        <f t="shared" si="106"/>
        <v>0.63419951042174738</v>
      </c>
      <c r="O1711" s="31">
        <f t="shared" si="107"/>
        <v>0.763129604480279</v>
      </c>
    </row>
    <row r="1712" spans="1:15" x14ac:dyDescent="0.25">
      <c r="A1712" t="s">
        <v>7449</v>
      </c>
      <c r="B1712" t="s">
        <v>3425</v>
      </c>
      <c r="C1712" s="3" t="s">
        <v>3426</v>
      </c>
      <c r="D1712" s="24">
        <v>0.233094</v>
      </c>
      <c r="E1712" s="25">
        <v>7.3929999999999998</v>
      </c>
      <c r="F1712" s="25">
        <v>8.2880000000000003</v>
      </c>
      <c r="G1712" s="26">
        <v>-0.89480000000000004</v>
      </c>
      <c r="H1712" s="27">
        <v>0.67479999999999996</v>
      </c>
      <c r="I1712" s="26">
        <v>1.3260000000000001</v>
      </c>
      <c r="J1712" s="28">
        <v>6</v>
      </c>
      <c r="K1712" s="27">
        <v>0.376303</v>
      </c>
      <c r="L1712" s="29">
        <f t="shared" si="104"/>
        <v>0.42446231934090572</v>
      </c>
      <c r="M1712" s="29">
        <f t="shared" si="105"/>
        <v>-0.89500000000000057</v>
      </c>
      <c r="N1712" s="30">
        <f t="shared" si="106"/>
        <v>0.63246890537443934</v>
      </c>
      <c r="O1712" s="31">
        <f t="shared" si="107"/>
        <v>0.53774719522868886</v>
      </c>
    </row>
    <row r="1713" spans="1:15" x14ac:dyDescent="0.25">
      <c r="A1713" t="s">
        <v>7450</v>
      </c>
      <c r="B1713" t="s">
        <v>3427</v>
      </c>
      <c r="C1713" s="3" t="s">
        <v>3428</v>
      </c>
      <c r="D1713" s="24">
        <v>0.23321900000000001</v>
      </c>
      <c r="E1713" s="25">
        <v>10.14</v>
      </c>
      <c r="F1713" s="25">
        <v>9.9890000000000008</v>
      </c>
      <c r="G1713" s="26">
        <v>0.15260000000000001</v>
      </c>
      <c r="H1713" s="27">
        <v>0.11509999999999999</v>
      </c>
      <c r="I1713" s="26">
        <v>1.3260000000000001</v>
      </c>
      <c r="J1713" s="28">
        <v>6</v>
      </c>
      <c r="K1713" s="27">
        <v>0.376303</v>
      </c>
      <c r="L1713" s="29">
        <f t="shared" si="104"/>
        <v>0.42446231934090572</v>
      </c>
      <c r="M1713" s="29">
        <f t="shared" si="105"/>
        <v>0.15099999999999972</v>
      </c>
      <c r="N1713" s="30">
        <f t="shared" si="106"/>
        <v>0.63223607115562841</v>
      </c>
      <c r="O1713" s="31">
        <f t="shared" si="107"/>
        <v>1.1103388336286388</v>
      </c>
    </row>
    <row r="1714" spans="1:15" x14ac:dyDescent="0.25">
      <c r="A1714" t="s">
        <v>7451</v>
      </c>
      <c r="B1714" t="s">
        <v>3429</v>
      </c>
      <c r="C1714" s="3" t="s">
        <v>3430</v>
      </c>
      <c r="D1714" s="24">
        <v>0.23419999999999999</v>
      </c>
      <c r="E1714" s="25">
        <v>8.4809999999999999</v>
      </c>
      <c r="F1714" s="25">
        <v>8.3409999999999993</v>
      </c>
      <c r="G1714" s="26">
        <v>0.1396</v>
      </c>
      <c r="H1714" s="27">
        <v>0.1056</v>
      </c>
      <c r="I1714" s="26">
        <v>1.3220000000000001</v>
      </c>
      <c r="J1714" s="28">
        <v>6</v>
      </c>
      <c r="K1714" s="27">
        <v>0.377666</v>
      </c>
      <c r="L1714" s="29">
        <f t="shared" si="104"/>
        <v>0.42289211148444733</v>
      </c>
      <c r="M1714" s="29">
        <f t="shared" si="105"/>
        <v>0.14000000000000024</v>
      </c>
      <c r="N1714" s="30">
        <f t="shared" si="106"/>
        <v>0.63041310926365568</v>
      </c>
      <c r="O1714" s="31">
        <f t="shared" si="107"/>
        <v>1.1019051158766109</v>
      </c>
    </row>
    <row r="1715" spans="1:15" x14ac:dyDescent="0.25">
      <c r="A1715" t="s">
        <v>7452</v>
      </c>
      <c r="B1715" t="s">
        <v>3435</v>
      </c>
      <c r="C1715" s="3" t="s">
        <v>3436</v>
      </c>
      <c r="D1715" s="24">
        <v>0.235758</v>
      </c>
      <c r="E1715" s="25">
        <v>12.98</v>
      </c>
      <c r="F1715" s="25">
        <v>12.82</v>
      </c>
      <c r="G1715" s="26">
        <v>0.15670000000000001</v>
      </c>
      <c r="H1715" s="27">
        <v>0.11899999999999999</v>
      </c>
      <c r="I1715" s="26">
        <v>1.3169999999999999</v>
      </c>
      <c r="J1715" s="28">
        <v>6</v>
      </c>
      <c r="K1715" s="27">
        <v>0.37951400000000002</v>
      </c>
      <c r="L1715" s="29">
        <f t="shared" si="104"/>
        <v>0.42077219866020149</v>
      </c>
      <c r="M1715" s="29">
        <f t="shared" si="105"/>
        <v>0.16000000000000092</v>
      </c>
      <c r="N1715" s="30">
        <f t="shared" si="106"/>
        <v>0.6275335613821218</v>
      </c>
      <c r="O1715" s="31">
        <f t="shared" si="107"/>
        <v>1.1172871380722207</v>
      </c>
    </row>
    <row r="1716" spans="1:15" x14ac:dyDescent="0.25">
      <c r="A1716" t="s">
        <v>7453</v>
      </c>
      <c r="B1716" t="s">
        <v>3433</v>
      </c>
      <c r="C1716" s="3" t="s">
        <v>3434</v>
      </c>
      <c r="D1716" s="24">
        <v>0.235648</v>
      </c>
      <c r="E1716" s="25">
        <v>8.6120000000000001</v>
      </c>
      <c r="F1716" s="25">
        <v>8.43</v>
      </c>
      <c r="G1716" s="26">
        <v>0.18140000000000001</v>
      </c>
      <c r="H1716" s="27">
        <v>0.1376</v>
      </c>
      <c r="I1716" s="26">
        <v>1.3180000000000001</v>
      </c>
      <c r="J1716" s="28">
        <v>6</v>
      </c>
      <c r="K1716" s="27">
        <v>0.37951400000000002</v>
      </c>
      <c r="L1716" s="29">
        <f t="shared" si="104"/>
        <v>0.42077219866020149</v>
      </c>
      <c r="M1716" s="29">
        <f t="shared" si="105"/>
        <v>0.182</v>
      </c>
      <c r="N1716" s="30">
        <f t="shared" si="106"/>
        <v>0.62773624184811683</v>
      </c>
      <c r="O1716" s="31">
        <f t="shared" si="107"/>
        <v>1.1344554849359541</v>
      </c>
    </row>
    <row r="1717" spans="1:15" x14ac:dyDescent="0.25">
      <c r="A1717" t="s">
        <v>7454</v>
      </c>
      <c r="B1717" t="s">
        <v>3431</v>
      </c>
      <c r="C1717" s="3" t="s">
        <v>3432</v>
      </c>
      <c r="D1717" s="24">
        <v>0.23549200000000001</v>
      </c>
      <c r="E1717" s="25">
        <v>8.6449999999999996</v>
      </c>
      <c r="F1717" s="25">
        <v>8.4450000000000003</v>
      </c>
      <c r="G1717" s="26">
        <v>0.2001</v>
      </c>
      <c r="H1717" s="27">
        <v>0.15179999999999999</v>
      </c>
      <c r="I1717" s="26">
        <v>1.3180000000000001</v>
      </c>
      <c r="J1717" s="28">
        <v>6</v>
      </c>
      <c r="K1717" s="27">
        <v>0.37951400000000002</v>
      </c>
      <c r="L1717" s="29">
        <f t="shared" si="104"/>
        <v>0.42077219866020149</v>
      </c>
      <c r="M1717" s="29">
        <f t="shared" si="105"/>
        <v>0.19999999999999984</v>
      </c>
      <c r="N1717" s="30">
        <f t="shared" si="106"/>
        <v>0.62802384188909333</v>
      </c>
      <c r="O1717" s="31">
        <f t="shared" si="107"/>
        <v>1.1486983549970349</v>
      </c>
    </row>
    <row r="1718" spans="1:15" x14ac:dyDescent="0.25">
      <c r="A1718" t="s">
        <v>7455</v>
      </c>
      <c r="B1718" t="s">
        <v>3437</v>
      </c>
      <c r="C1718" s="3" t="s">
        <v>3438</v>
      </c>
      <c r="D1718" s="24">
        <v>0.23611599999999999</v>
      </c>
      <c r="E1718" s="25">
        <v>10.039999999999999</v>
      </c>
      <c r="F1718" s="25">
        <v>10.15</v>
      </c>
      <c r="G1718" s="26">
        <v>-0.1021</v>
      </c>
      <c r="H1718" s="27">
        <v>7.7560000000000004E-2</v>
      </c>
      <c r="I1718" s="26">
        <v>1.3160000000000001</v>
      </c>
      <c r="J1718" s="28">
        <v>6</v>
      </c>
      <c r="K1718" s="27">
        <v>0.37986999999999999</v>
      </c>
      <c r="L1718" s="29">
        <f t="shared" si="104"/>
        <v>0.42036500323105391</v>
      </c>
      <c r="M1718" s="29">
        <f t="shared" si="105"/>
        <v>-0.1100000000000015</v>
      </c>
      <c r="N1718" s="30">
        <f t="shared" si="106"/>
        <v>0.62687458269564267</v>
      </c>
      <c r="O1718" s="31">
        <f t="shared" si="107"/>
        <v>0.92658806189036991</v>
      </c>
    </row>
    <row r="1719" spans="1:15" x14ac:dyDescent="0.25">
      <c r="A1719" t="s">
        <v>7456</v>
      </c>
      <c r="B1719" t="s">
        <v>3443</v>
      </c>
      <c r="C1719" s="3" t="s">
        <v>3444</v>
      </c>
      <c r="D1719" s="24">
        <v>0.23713000000000001</v>
      </c>
      <c r="E1719" s="25">
        <v>15.11</v>
      </c>
      <c r="F1719" s="25">
        <v>14.68</v>
      </c>
      <c r="G1719" s="26">
        <v>0.42980000000000002</v>
      </c>
      <c r="H1719" s="27">
        <v>0.32729999999999998</v>
      </c>
      <c r="I1719" s="26">
        <v>1.3129999999999999</v>
      </c>
      <c r="J1719" s="28">
        <v>6</v>
      </c>
      <c r="K1719" s="27">
        <v>0.38083400000000001</v>
      </c>
      <c r="L1719" s="29">
        <f t="shared" si="104"/>
        <v>0.4192642857255176</v>
      </c>
      <c r="M1719" s="29">
        <f t="shared" si="105"/>
        <v>0.43</v>
      </c>
      <c r="N1719" s="30">
        <f t="shared" si="106"/>
        <v>0.62501349869889045</v>
      </c>
      <c r="O1719" s="31">
        <f t="shared" si="107"/>
        <v>1.3472335768656902</v>
      </c>
    </row>
    <row r="1720" spans="1:15" x14ac:dyDescent="0.25">
      <c r="A1720" t="s">
        <v>7457</v>
      </c>
      <c r="B1720" t="s">
        <v>3439</v>
      </c>
      <c r="C1720" s="3" t="s">
        <v>3440</v>
      </c>
      <c r="D1720" s="24">
        <v>0.23699300000000001</v>
      </c>
      <c r="E1720" s="25">
        <v>6.8520000000000003</v>
      </c>
      <c r="F1720" s="25">
        <v>7.1840000000000002</v>
      </c>
      <c r="G1720" s="26">
        <v>-0.3322</v>
      </c>
      <c r="H1720" s="27">
        <v>0.25290000000000001</v>
      </c>
      <c r="I1720" s="26">
        <v>1.3140000000000001</v>
      </c>
      <c r="J1720" s="28">
        <v>6</v>
      </c>
      <c r="K1720" s="27">
        <v>0.38083400000000001</v>
      </c>
      <c r="L1720" s="29">
        <f t="shared" si="104"/>
        <v>0.4192642857255176</v>
      </c>
      <c r="M1720" s="29">
        <f t="shared" si="105"/>
        <v>-0.33200000000000091</v>
      </c>
      <c r="N1720" s="30">
        <f t="shared" si="106"/>
        <v>0.62526448144251057</v>
      </c>
      <c r="O1720" s="31">
        <f t="shared" si="107"/>
        <v>0.79443440009610422</v>
      </c>
    </row>
    <row r="1721" spans="1:15" x14ac:dyDescent="0.25">
      <c r="A1721" t="s">
        <v>7458</v>
      </c>
      <c r="B1721" t="s">
        <v>3441</v>
      </c>
      <c r="C1721" s="3" t="s">
        <v>3442</v>
      </c>
      <c r="D1721" s="24">
        <v>0.23702699999999999</v>
      </c>
      <c r="E1721" s="25">
        <v>9.7490000000000006</v>
      </c>
      <c r="F1721" s="25">
        <v>9.5969999999999995</v>
      </c>
      <c r="G1721" s="26">
        <v>0.15210000000000001</v>
      </c>
      <c r="H1721" s="27">
        <v>0.1158</v>
      </c>
      <c r="I1721" s="26">
        <v>1.3129999999999999</v>
      </c>
      <c r="J1721" s="28">
        <v>6</v>
      </c>
      <c r="K1721" s="27">
        <v>0.38083400000000001</v>
      </c>
      <c r="L1721" s="29">
        <f t="shared" si="104"/>
        <v>0.4192642857255176</v>
      </c>
      <c r="M1721" s="29">
        <f t="shared" si="105"/>
        <v>0.15200000000000147</v>
      </c>
      <c r="N1721" s="30">
        <f t="shared" si="106"/>
        <v>0.62520218022142271</v>
      </c>
      <c r="O1721" s="31">
        <f t="shared" si="107"/>
        <v>1.1111087286550947</v>
      </c>
    </row>
    <row r="1722" spans="1:15" x14ac:dyDescent="0.25">
      <c r="A1722" t="s">
        <v>7459</v>
      </c>
      <c r="B1722" t="s">
        <v>3471</v>
      </c>
      <c r="C1722" s="3" t="s">
        <v>3472</v>
      </c>
      <c r="D1722" s="24">
        <v>0.24019699999999999</v>
      </c>
      <c r="E1722" s="25">
        <v>11.01</v>
      </c>
      <c r="F1722" s="25">
        <v>11.15</v>
      </c>
      <c r="G1722" s="26">
        <v>-0.14180000000000001</v>
      </c>
      <c r="H1722" s="27">
        <v>0.10879999999999999</v>
      </c>
      <c r="I1722" s="26">
        <v>1.3029999999999999</v>
      </c>
      <c r="J1722" s="28">
        <v>6</v>
      </c>
      <c r="K1722" s="27">
        <v>0.38264599999999999</v>
      </c>
      <c r="L1722" s="29">
        <f t="shared" si="104"/>
        <v>0.41720282221956045</v>
      </c>
      <c r="M1722" s="29">
        <f t="shared" si="105"/>
        <v>-0.14000000000000032</v>
      </c>
      <c r="N1722" s="30">
        <f t="shared" si="106"/>
        <v>0.61943242112787555</v>
      </c>
      <c r="O1722" s="31">
        <f t="shared" si="107"/>
        <v>0.90751915531716065</v>
      </c>
    </row>
    <row r="1723" spans="1:15" x14ac:dyDescent="0.25">
      <c r="A1723" t="s">
        <v>7460</v>
      </c>
      <c r="B1723" t="s">
        <v>3445</v>
      </c>
      <c r="C1723" s="3" t="s">
        <v>3446</v>
      </c>
      <c r="D1723" s="24">
        <v>0.23840900000000001</v>
      </c>
      <c r="E1723" s="25">
        <v>8.4689999999999994</v>
      </c>
      <c r="F1723" s="25">
        <v>8.0239999999999991</v>
      </c>
      <c r="G1723" s="26">
        <v>0.44529999999999997</v>
      </c>
      <c r="H1723" s="27">
        <v>0.3402</v>
      </c>
      <c r="I1723" s="26">
        <v>1.3089999999999999</v>
      </c>
      <c r="J1723" s="28">
        <v>6</v>
      </c>
      <c r="K1723" s="27">
        <v>0.38264599999999999</v>
      </c>
      <c r="L1723" s="29">
        <f t="shared" si="104"/>
        <v>0.41720282221956045</v>
      </c>
      <c r="M1723" s="29">
        <f t="shared" si="105"/>
        <v>0.44500000000000089</v>
      </c>
      <c r="N1723" s="30">
        <f t="shared" si="106"/>
        <v>0.62267735389589529</v>
      </c>
      <c r="O1723" s="31">
        <f t="shared" si="107"/>
        <v>1.3613141164994742</v>
      </c>
    </row>
    <row r="1724" spans="1:15" x14ac:dyDescent="0.25">
      <c r="A1724" t="s">
        <v>7461</v>
      </c>
      <c r="B1724" t="s">
        <v>3463</v>
      </c>
      <c r="C1724" s="3" t="s">
        <v>3464</v>
      </c>
      <c r="D1724" s="24">
        <v>0.23997199999999999</v>
      </c>
      <c r="E1724" s="25">
        <v>11.2</v>
      </c>
      <c r="F1724" s="25">
        <v>11.11</v>
      </c>
      <c r="G1724" s="26">
        <v>8.7749999999999995E-2</v>
      </c>
      <c r="H1724" s="27">
        <v>6.7280000000000006E-2</v>
      </c>
      <c r="I1724" s="26">
        <v>1.304</v>
      </c>
      <c r="J1724" s="28">
        <v>6</v>
      </c>
      <c r="K1724" s="27">
        <v>0.38264599999999999</v>
      </c>
      <c r="L1724" s="29">
        <f t="shared" si="104"/>
        <v>0.41720282221956045</v>
      </c>
      <c r="M1724" s="29">
        <f t="shared" si="105"/>
        <v>8.9999999999999566E-2</v>
      </c>
      <c r="N1724" s="30">
        <f t="shared" si="106"/>
        <v>0.6198394289337944</v>
      </c>
      <c r="O1724" s="31">
        <f t="shared" si="107"/>
        <v>1.0643701824533596</v>
      </c>
    </row>
    <row r="1725" spans="1:15" x14ac:dyDescent="0.25">
      <c r="A1725" t="s">
        <v>7462</v>
      </c>
      <c r="B1725" t="s">
        <v>3467</v>
      </c>
      <c r="C1725" s="3" t="s">
        <v>3468</v>
      </c>
      <c r="D1725" s="24">
        <v>0.240092</v>
      </c>
      <c r="E1725" s="25">
        <v>9.9410000000000007</v>
      </c>
      <c r="F1725" s="25">
        <v>9.27</v>
      </c>
      <c r="G1725" s="26">
        <v>0.67090000000000005</v>
      </c>
      <c r="H1725" s="27">
        <v>0.51459999999999995</v>
      </c>
      <c r="I1725" s="26">
        <v>1.304</v>
      </c>
      <c r="J1725" s="28">
        <v>6</v>
      </c>
      <c r="K1725" s="27">
        <v>0.38264599999999999</v>
      </c>
      <c r="L1725" s="29">
        <f t="shared" si="104"/>
        <v>0.41720282221956045</v>
      </c>
      <c r="M1725" s="29">
        <f t="shared" si="105"/>
        <v>0.67100000000000182</v>
      </c>
      <c r="N1725" s="30">
        <f t="shared" si="106"/>
        <v>0.61962231063742623</v>
      </c>
      <c r="O1725" s="31">
        <f t="shared" si="107"/>
        <v>1.5921761975575617</v>
      </c>
    </row>
    <row r="1726" spans="1:15" x14ac:dyDescent="0.25">
      <c r="A1726" t="s">
        <v>7463</v>
      </c>
      <c r="B1726" t="s">
        <v>3459</v>
      </c>
      <c r="C1726" s="3" t="s">
        <v>3460</v>
      </c>
      <c r="D1726" s="24">
        <v>0.23983099999999999</v>
      </c>
      <c r="E1726" s="25">
        <v>13.55</v>
      </c>
      <c r="F1726" s="25">
        <v>13.83</v>
      </c>
      <c r="G1726" s="26">
        <v>-0.28139999999999998</v>
      </c>
      <c r="H1726" s="27">
        <v>0.2157</v>
      </c>
      <c r="I1726" s="26">
        <v>1.3049999999999999</v>
      </c>
      <c r="J1726" s="28">
        <v>6</v>
      </c>
      <c r="K1726" s="27">
        <v>0.38264599999999999</v>
      </c>
      <c r="L1726" s="29">
        <f t="shared" si="104"/>
        <v>0.41720282221956045</v>
      </c>
      <c r="M1726" s="29">
        <f t="shared" si="105"/>
        <v>-0.27999999999999792</v>
      </c>
      <c r="N1726" s="30">
        <f t="shared" si="106"/>
        <v>0.62009468170925075</v>
      </c>
      <c r="O1726" s="31">
        <f t="shared" si="107"/>
        <v>0.82359101726757433</v>
      </c>
    </row>
    <row r="1727" spans="1:15" x14ac:dyDescent="0.25">
      <c r="A1727" t="s">
        <v>7464</v>
      </c>
      <c r="B1727" t="s">
        <v>3457</v>
      </c>
      <c r="C1727" s="3" t="s">
        <v>3458</v>
      </c>
      <c r="D1727" s="24">
        <v>0.23983099999999999</v>
      </c>
      <c r="E1727" s="25">
        <v>13.55</v>
      </c>
      <c r="F1727" s="25">
        <v>13.83</v>
      </c>
      <c r="G1727" s="26">
        <v>-0.28139999999999998</v>
      </c>
      <c r="H1727" s="27">
        <v>0.2157</v>
      </c>
      <c r="I1727" s="26">
        <v>1.3049999999999999</v>
      </c>
      <c r="J1727" s="28">
        <v>6</v>
      </c>
      <c r="K1727" s="27">
        <v>0.38264599999999999</v>
      </c>
      <c r="L1727" s="29">
        <f t="shared" si="104"/>
        <v>0.41720282221956045</v>
      </c>
      <c r="M1727" s="29">
        <f t="shared" si="105"/>
        <v>-0.27999999999999792</v>
      </c>
      <c r="N1727" s="30">
        <f t="shared" si="106"/>
        <v>0.62009468170925075</v>
      </c>
      <c r="O1727" s="31">
        <f t="shared" si="107"/>
        <v>0.82359101726757433</v>
      </c>
    </row>
    <row r="1728" spans="1:15" x14ac:dyDescent="0.25">
      <c r="A1728" t="s">
        <v>7465</v>
      </c>
      <c r="B1728" t="s">
        <v>3451</v>
      </c>
      <c r="C1728" s="3" t="s">
        <v>3452</v>
      </c>
      <c r="D1728" s="24">
        <v>0.239231</v>
      </c>
      <c r="E1728" s="25">
        <v>7.6239999999999997</v>
      </c>
      <c r="F1728" s="25">
        <v>7.3319999999999999</v>
      </c>
      <c r="G1728" s="26">
        <v>0.2918</v>
      </c>
      <c r="H1728" s="27">
        <v>0.22339999999999999</v>
      </c>
      <c r="I1728" s="26">
        <v>1.306</v>
      </c>
      <c r="J1728" s="28">
        <v>6</v>
      </c>
      <c r="K1728" s="27">
        <v>0.38264599999999999</v>
      </c>
      <c r="L1728" s="29">
        <f t="shared" si="104"/>
        <v>0.41720282221956045</v>
      </c>
      <c r="M1728" s="29">
        <f t="shared" si="105"/>
        <v>0.29200000000000048</v>
      </c>
      <c r="N1728" s="30">
        <f t="shared" si="106"/>
        <v>0.62118254434661746</v>
      </c>
      <c r="O1728" s="31">
        <f t="shared" si="107"/>
        <v>1.2243363924002049</v>
      </c>
    </row>
    <row r="1729" spans="1:15" x14ac:dyDescent="0.25">
      <c r="A1729" t="s">
        <v>7466</v>
      </c>
      <c r="B1729" t="s">
        <v>3461</v>
      </c>
      <c r="C1729" s="3" t="s">
        <v>3462</v>
      </c>
      <c r="D1729" s="24">
        <v>0.23983099999999999</v>
      </c>
      <c r="E1729" s="25">
        <v>13.55</v>
      </c>
      <c r="F1729" s="25">
        <v>13.83</v>
      </c>
      <c r="G1729" s="26">
        <v>-0.28139999999999998</v>
      </c>
      <c r="H1729" s="27">
        <v>0.2157</v>
      </c>
      <c r="I1729" s="26">
        <v>1.3049999999999999</v>
      </c>
      <c r="J1729" s="28">
        <v>6</v>
      </c>
      <c r="K1729" s="27">
        <v>0.38264599999999999</v>
      </c>
      <c r="L1729" s="29">
        <f t="shared" si="104"/>
        <v>0.41720282221956045</v>
      </c>
      <c r="M1729" s="29">
        <f t="shared" si="105"/>
        <v>-0.27999999999999792</v>
      </c>
      <c r="N1729" s="30">
        <f t="shared" si="106"/>
        <v>0.62009468170925075</v>
      </c>
      <c r="O1729" s="31">
        <f t="shared" si="107"/>
        <v>0.82359101726757433</v>
      </c>
    </row>
    <row r="1730" spans="1:15" x14ac:dyDescent="0.25">
      <c r="A1730" t="s">
        <v>7467</v>
      </c>
      <c r="B1730" t="s">
        <v>3469</v>
      </c>
      <c r="C1730" s="3" t="s">
        <v>3470</v>
      </c>
      <c r="D1730" s="24">
        <v>0.24010699999999999</v>
      </c>
      <c r="E1730" s="25">
        <v>8.2230000000000008</v>
      </c>
      <c r="F1730" s="25">
        <v>8.4499999999999993</v>
      </c>
      <c r="G1730" s="26">
        <v>-0.2261</v>
      </c>
      <c r="H1730" s="27">
        <v>0.17349999999999999</v>
      </c>
      <c r="I1730" s="26">
        <v>1.304</v>
      </c>
      <c r="J1730" s="28">
        <v>6</v>
      </c>
      <c r="K1730" s="27">
        <v>0.38264599999999999</v>
      </c>
      <c r="L1730" s="29">
        <f t="shared" ref="L1730:L1793" si="108">-LOG(K1730,10)</f>
        <v>0.41720282221956045</v>
      </c>
      <c r="M1730" s="29">
        <f t="shared" ref="M1730:M1793" si="109">LOG(O1730,2)</f>
        <v>-0.22699999999999865</v>
      </c>
      <c r="N1730" s="30">
        <f t="shared" ref="N1730:N1793" si="110">-LOG(D1730,10)</f>
        <v>0.61959517848083845</v>
      </c>
      <c r="O1730" s="31">
        <f t="shared" ref="O1730:O1793" si="111">((2^E1730)/(2^F1730))</f>
        <v>0.85440974088973387</v>
      </c>
    </row>
    <row r="1731" spans="1:15" x14ac:dyDescent="0.25">
      <c r="A1731" t="s">
        <v>7468</v>
      </c>
      <c r="B1731" t="s">
        <v>3447</v>
      </c>
      <c r="C1731" s="3" t="s">
        <v>3448</v>
      </c>
      <c r="D1731" s="24">
        <v>0.238679</v>
      </c>
      <c r="E1731" s="25">
        <v>9.7629999999999999</v>
      </c>
      <c r="F1731" s="25">
        <v>9.65</v>
      </c>
      <c r="G1731" s="26">
        <v>0.1128</v>
      </c>
      <c r="H1731" s="27">
        <v>8.6209999999999995E-2</v>
      </c>
      <c r="I1731" s="26">
        <v>1.3080000000000001</v>
      </c>
      <c r="J1731" s="28">
        <v>6</v>
      </c>
      <c r="K1731" s="27">
        <v>0.38264599999999999</v>
      </c>
      <c r="L1731" s="29">
        <f t="shared" si="108"/>
        <v>0.41720282221956045</v>
      </c>
      <c r="M1731" s="29">
        <f t="shared" si="109"/>
        <v>0.11299999999999909</v>
      </c>
      <c r="N1731" s="30">
        <f t="shared" si="110"/>
        <v>0.62218579039971633</v>
      </c>
      <c r="O1731" s="31">
        <f t="shared" si="111"/>
        <v>1.0814747634836173</v>
      </c>
    </row>
    <row r="1732" spans="1:15" x14ac:dyDescent="0.25">
      <c r="A1732" t="s">
        <v>7469</v>
      </c>
      <c r="B1732" t="s">
        <v>3465</v>
      </c>
      <c r="C1732" s="3" t="s">
        <v>3466</v>
      </c>
      <c r="D1732" s="24">
        <v>0.240062</v>
      </c>
      <c r="E1732" s="25">
        <v>9.1630000000000003</v>
      </c>
      <c r="F1732" s="25">
        <v>9.4550000000000001</v>
      </c>
      <c r="G1732" s="26">
        <v>-0.29249999999999998</v>
      </c>
      <c r="H1732" s="27">
        <v>0.2243</v>
      </c>
      <c r="I1732" s="26">
        <v>1.304</v>
      </c>
      <c r="J1732" s="28">
        <v>6</v>
      </c>
      <c r="K1732" s="27">
        <v>0.38264599999999999</v>
      </c>
      <c r="L1732" s="29">
        <f t="shared" si="108"/>
        <v>0.41720282221956045</v>
      </c>
      <c r="M1732" s="29">
        <f t="shared" si="109"/>
        <v>-0.29200000000000065</v>
      </c>
      <c r="N1732" s="30">
        <f t="shared" si="110"/>
        <v>0.61967658003630266</v>
      </c>
      <c r="O1732" s="31">
        <f t="shared" si="111"/>
        <v>0.81676899111002244</v>
      </c>
    </row>
    <row r="1733" spans="1:15" x14ac:dyDescent="0.25">
      <c r="A1733" t="s">
        <v>7470</v>
      </c>
      <c r="B1733" t="s">
        <v>3455</v>
      </c>
      <c r="C1733" s="3" t="s">
        <v>3456</v>
      </c>
      <c r="D1733" s="24">
        <v>0.23948700000000001</v>
      </c>
      <c r="E1733" s="25">
        <v>9.1</v>
      </c>
      <c r="F1733" s="25">
        <v>8.99</v>
      </c>
      <c r="G1733" s="26">
        <v>0.1106</v>
      </c>
      <c r="H1733" s="27">
        <v>8.4690000000000001E-2</v>
      </c>
      <c r="I1733" s="26">
        <v>1.306</v>
      </c>
      <c r="J1733" s="28">
        <v>6</v>
      </c>
      <c r="K1733" s="27">
        <v>0.38264599999999999</v>
      </c>
      <c r="L1733" s="29">
        <f t="shared" si="108"/>
        <v>0.41720282221956045</v>
      </c>
      <c r="M1733" s="29">
        <f t="shared" si="109"/>
        <v>0.11000000000000035</v>
      </c>
      <c r="N1733" s="30">
        <f t="shared" si="110"/>
        <v>0.6207180562848974</v>
      </c>
      <c r="O1733" s="31">
        <f t="shared" si="111"/>
        <v>1.0792282365044275</v>
      </c>
    </row>
    <row r="1734" spans="1:15" x14ac:dyDescent="0.25">
      <c r="A1734" t="s">
        <v>7471</v>
      </c>
      <c r="B1734" t="s">
        <v>3449</v>
      </c>
      <c r="C1734" s="3" t="s">
        <v>3450</v>
      </c>
      <c r="D1734" s="24">
        <v>0.239067</v>
      </c>
      <c r="E1734" s="25">
        <v>7.9050000000000002</v>
      </c>
      <c r="F1734" s="25">
        <v>8.1880000000000006</v>
      </c>
      <c r="G1734" s="26">
        <v>-0.28310000000000002</v>
      </c>
      <c r="H1734" s="27">
        <v>0.21659999999999999</v>
      </c>
      <c r="I1734" s="26">
        <v>1.3069999999999999</v>
      </c>
      <c r="J1734" s="28">
        <v>6</v>
      </c>
      <c r="K1734" s="27">
        <v>0.38264599999999999</v>
      </c>
      <c r="L1734" s="29">
        <f t="shared" si="108"/>
        <v>0.41720282221956045</v>
      </c>
      <c r="M1734" s="29">
        <f t="shared" si="109"/>
        <v>-0.28299999999999909</v>
      </c>
      <c r="N1734" s="30">
        <f t="shared" si="110"/>
        <v>0.62148036828827469</v>
      </c>
      <c r="O1734" s="31">
        <f t="shared" si="111"/>
        <v>0.82188018729485113</v>
      </c>
    </row>
    <row r="1735" spans="1:15" x14ac:dyDescent="0.25">
      <c r="A1735" t="s">
        <v>7472</v>
      </c>
      <c r="B1735" t="s">
        <v>3453</v>
      </c>
      <c r="C1735" s="3" t="s">
        <v>3454</v>
      </c>
      <c r="D1735" s="24">
        <v>0.23940800000000001</v>
      </c>
      <c r="E1735" s="25">
        <v>8.4309999999999992</v>
      </c>
      <c r="F1735" s="25">
        <v>8.1940000000000008</v>
      </c>
      <c r="G1735" s="26">
        <v>0.2369</v>
      </c>
      <c r="H1735" s="27">
        <v>0.18140000000000001</v>
      </c>
      <c r="I1735" s="26">
        <v>1.306</v>
      </c>
      <c r="J1735" s="28">
        <v>6</v>
      </c>
      <c r="K1735" s="27">
        <v>0.38264599999999999</v>
      </c>
      <c r="L1735" s="29">
        <f t="shared" si="108"/>
        <v>0.41720282221956045</v>
      </c>
      <c r="M1735" s="29">
        <f t="shared" si="109"/>
        <v>0.23699999999999785</v>
      </c>
      <c r="N1735" s="30">
        <f t="shared" si="110"/>
        <v>0.62086134140744653</v>
      </c>
      <c r="O1735" s="31">
        <f t="shared" si="111"/>
        <v>1.1785394078116804</v>
      </c>
    </row>
    <row r="1736" spans="1:15" x14ac:dyDescent="0.25">
      <c r="A1736" t="s">
        <v>7473</v>
      </c>
      <c r="B1736" t="s">
        <v>3473</v>
      </c>
      <c r="C1736" s="3" t="s">
        <v>3474</v>
      </c>
      <c r="D1736" s="24">
        <v>0.24040300000000001</v>
      </c>
      <c r="E1736" s="25">
        <v>7.6230000000000002</v>
      </c>
      <c r="F1736" s="25">
        <v>7.327</v>
      </c>
      <c r="G1736" s="26">
        <v>0.29559999999999997</v>
      </c>
      <c r="H1736" s="27">
        <v>0.22689999999999999</v>
      </c>
      <c r="I1736" s="26">
        <v>1.3029999999999999</v>
      </c>
      <c r="J1736" s="28">
        <v>6</v>
      </c>
      <c r="K1736" s="27">
        <v>0.38275300000000001</v>
      </c>
      <c r="L1736" s="29">
        <f t="shared" si="108"/>
        <v>0.41708139663665172</v>
      </c>
      <c r="M1736" s="29">
        <f t="shared" si="109"/>
        <v>0.2960000000000011</v>
      </c>
      <c r="N1736" s="30">
        <f t="shared" si="110"/>
        <v>0.61906011705483754</v>
      </c>
      <c r="O1736" s="31">
        <f t="shared" si="111"/>
        <v>1.2277356839150613</v>
      </c>
    </row>
    <row r="1737" spans="1:15" x14ac:dyDescent="0.25">
      <c r="A1737" t="s">
        <v>7474</v>
      </c>
      <c r="B1737" t="s">
        <v>3475</v>
      </c>
      <c r="C1737" s="3" t="s">
        <v>3476</v>
      </c>
      <c r="D1737" s="24">
        <v>0.24085300000000001</v>
      </c>
      <c r="E1737" s="25">
        <v>10.54</v>
      </c>
      <c r="F1737" s="25">
        <v>10.26</v>
      </c>
      <c r="G1737" s="26">
        <v>0.27489999999999998</v>
      </c>
      <c r="H1737" s="27">
        <v>0.2112</v>
      </c>
      <c r="I1737" s="26">
        <v>1.3009999999999999</v>
      </c>
      <c r="J1737" s="28">
        <v>6</v>
      </c>
      <c r="K1737" s="27">
        <v>0.38311000000000001</v>
      </c>
      <c r="L1737" s="29">
        <f t="shared" si="108"/>
        <v>0.41667651184323806</v>
      </c>
      <c r="M1737" s="29">
        <f t="shared" si="109"/>
        <v>0.27999999999999936</v>
      </c>
      <c r="N1737" s="30">
        <f t="shared" si="110"/>
        <v>0.61824793986093796</v>
      </c>
      <c r="O1737" s="31">
        <f t="shared" si="111"/>
        <v>1.2141948843950463</v>
      </c>
    </row>
    <row r="1738" spans="1:15" x14ac:dyDescent="0.25">
      <c r="A1738" t="s">
        <v>7475</v>
      </c>
      <c r="B1738" t="s">
        <v>3477</v>
      </c>
      <c r="C1738" s="3" t="s">
        <v>3478</v>
      </c>
      <c r="D1738" s="24">
        <v>0.24090500000000001</v>
      </c>
      <c r="E1738" s="25">
        <v>12.5</v>
      </c>
      <c r="F1738" s="25">
        <v>12.9</v>
      </c>
      <c r="G1738" s="26">
        <v>-0.40910000000000002</v>
      </c>
      <c r="H1738" s="27">
        <v>0.31440000000000001</v>
      </c>
      <c r="I1738" s="26">
        <v>1.3009999999999999</v>
      </c>
      <c r="J1738" s="28">
        <v>6</v>
      </c>
      <c r="K1738" s="27">
        <v>0.38311000000000001</v>
      </c>
      <c r="L1738" s="29">
        <f t="shared" si="108"/>
        <v>0.41667651184323806</v>
      </c>
      <c r="M1738" s="29">
        <f t="shared" si="109"/>
        <v>-0.40000000000000008</v>
      </c>
      <c r="N1738" s="30">
        <f t="shared" si="110"/>
        <v>0.61815418609599104</v>
      </c>
      <c r="O1738" s="31">
        <f t="shared" si="111"/>
        <v>0.75785828325519899</v>
      </c>
    </row>
    <row r="1739" spans="1:15" x14ac:dyDescent="0.25">
      <c r="A1739" t="s">
        <v>7476</v>
      </c>
      <c r="B1739" t="s">
        <v>3479</v>
      </c>
      <c r="C1739" s="3" t="s">
        <v>3480</v>
      </c>
      <c r="D1739" s="24">
        <v>0.241311</v>
      </c>
      <c r="E1739" s="25">
        <v>8.6530000000000005</v>
      </c>
      <c r="F1739" s="25">
        <v>8.5139999999999993</v>
      </c>
      <c r="G1739" s="26">
        <v>0.13850000000000001</v>
      </c>
      <c r="H1739" s="27">
        <v>0.1066</v>
      </c>
      <c r="I1739" s="26">
        <v>1.3</v>
      </c>
      <c r="J1739" s="28">
        <v>6</v>
      </c>
      <c r="K1739" s="27">
        <v>0.38353700000000002</v>
      </c>
      <c r="L1739" s="29">
        <f t="shared" si="108"/>
        <v>0.41619273309513466</v>
      </c>
      <c r="M1739" s="29">
        <f t="shared" si="109"/>
        <v>0.13900000000000109</v>
      </c>
      <c r="N1739" s="30">
        <f t="shared" si="110"/>
        <v>0.61742288061746509</v>
      </c>
      <c r="O1739" s="31">
        <f t="shared" si="111"/>
        <v>1.1011415980979644</v>
      </c>
    </row>
    <row r="1740" spans="1:15" x14ac:dyDescent="0.25">
      <c r="A1740" t="s">
        <v>7477</v>
      </c>
      <c r="B1740" t="s">
        <v>3481</v>
      </c>
      <c r="C1740" s="3" t="s">
        <v>3482</v>
      </c>
      <c r="D1740" s="24">
        <v>0.24166499999999999</v>
      </c>
      <c r="E1740" s="25">
        <v>9.3140000000000001</v>
      </c>
      <c r="F1740" s="25">
        <v>9.2360000000000007</v>
      </c>
      <c r="G1740" s="26">
        <v>7.8939999999999996E-2</v>
      </c>
      <c r="H1740" s="27">
        <v>6.0769999999999998E-2</v>
      </c>
      <c r="I1740" s="26">
        <v>1.2989999999999999</v>
      </c>
      <c r="J1740" s="28">
        <v>6</v>
      </c>
      <c r="K1740" s="27">
        <v>0.383878</v>
      </c>
      <c r="L1740" s="29">
        <f t="shared" si="108"/>
        <v>0.41580677653166936</v>
      </c>
      <c r="M1740" s="29">
        <f t="shared" si="109"/>
        <v>7.7999999999999806E-2</v>
      </c>
      <c r="N1740" s="30">
        <f t="shared" si="110"/>
        <v>0.61678624329335474</v>
      </c>
      <c r="O1740" s="31">
        <f t="shared" si="111"/>
        <v>1.0555537176379666</v>
      </c>
    </row>
    <row r="1741" spans="1:15" x14ac:dyDescent="0.25">
      <c r="A1741" t="s">
        <v>7478</v>
      </c>
      <c r="B1741" t="s">
        <v>3483</v>
      </c>
      <c r="C1741" s="3" t="s">
        <v>3484</v>
      </c>
      <c r="D1741" s="24">
        <v>0.241864</v>
      </c>
      <c r="E1741" s="25">
        <v>11.44</v>
      </c>
      <c r="F1741" s="25">
        <v>11.58</v>
      </c>
      <c r="G1741" s="26">
        <v>-0.1414</v>
      </c>
      <c r="H1741" s="27">
        <v>0.1089</v>
      </c>
      <c r="I1741" s="26">
        <v>1.298</v>
      </c>
      <c r="J1741" s="28">
        <v>6</v>
      </c>
      <c r="K1741" s="27">
        <v>0.38397399999999998</v>
      </c>
      <c r="L1741" s="29">
        <f t="shared" si="108"/>
        <v>0.41569818198355346</v>
      </c>
      <c r="M1741" s="29">
        <f t="shared" si="109"/>
        <v>-0.14000000000000157</v>
      </c>
      <c r="N1741" s="30">
        <f t="shared" si="110"/>
        <v>0.61642876894630105</v>
      </c>
      <c r="O1741" s="31">
        <f t="shared" si="111"/>
        <v>0.90751915531715988</v>
      </c>
    </row>
    <row r="1742" spans="1:15" x14ac:dyDescent="0.25">
      <c r="A1742" t="s">
        <v>7479</v>
      </c>
      <c r="B1742" t="s">
        <v>3485</v>
      </c>
      <c r="C1742" s="3" t="s">
        <v>3486</v>
      </c>
      <c r="D1742" s="24">
        <v>0.24332799999999999</v>
      </c>
      <c r="E1742" s="25">
        <v>9.1159999999999997</v>
      </c>
      <c r="F1742" s="25">
        <v>8.2629999999999999</v>
      </c>
      <c r="G1742" s="26">
        <v>0.8528</v>
      </c>
      <c r="H1742" s="27">
        <v>0.65920000000000001</v>
      </c>
      <c r="I1742" s="26">
        <v>1.294</v>
      </c>
      <c r="J1742" s="28">
        <v>6</v>
      </c>
      <c r="K1742" s="27">
        <v>0.386075</v>
      </c>
      <c r="L1742" s="29">
        <f t="shared" si="108"/>
        <v>0.41332831988221919</v>
      </c>
      <c r="M1742" s="29">
        <f t="shared" si="109"/>
        <v>0.85299999999999965</v>
      </c>
      <c r="N1742" s="30">
        <f t="shared" si="110"/>
        <v>0.61380791348668839</v>
      </c>
      <c r="O1742" s="31">
        <f t="shared" si="111"/>
        <v>1.8062530203036442</v>
      </c>
    </row>
    <row r="1743" spans="1:15" x14ac:dyDescent="0.25">
      <c r="A1743" t="s">
        <v>7480</v>
      </c>
      <c r="B1743" t="s">
        <v>3487</v>
      </c>
      <c r="C1743" s="3" t="s">
        <v>3488</v>
      </c>
      <c r="D1743" s="24">
        <v>0.24424399999999999</v>
      </c>
      <c r="E1743" s="25">
        <v>8.9629999999999992</v>
      </c>
      <c r="F1743" s="25">
        <v>8.7579999999999991</v>
      </c>
      <c r="G1743" s="26">
        <v>0.20499999999999999</v>
      </c>
      <c r="H1743" s="27">
        <v>0.1588</v>
      </c>
      <c r="I1743" s="26">
        <v>1.2909999999999999</v>
      </c>
      <c r="J1743" s="28">
        <v>6</v>
      </c>
      <c r="K1743" s="27">
        <v>0.38730599999999998</v>
      </c>
      <c r="L1743" s="29">
        <f t="shared" si="108"/>
        <v>0.41194577503377905</v>
      </c>
      <c r="M1743" s="29">
        <f t="shared" si="109"/>
        <v>0.20499999999999963</v>
      </c>
      <c r="N1743" s="30">
        <f t="shared" si="110"/>
        <v>0.6121760961819519</v>
      </c>
      <c r="O1743" s="31">
        <f t="shared" si="111"/>
        <v>1.1526863467988639</v>
      </c>
    </row>
    <row r="1744" spans="1:15" x14ac:dyDescent="0.25">
      <c r="A1744" t="s">
        <v>7481</v>
      </c>
      <c r="B1744" t="s">
        <v>3491</v>
      </c>
      <c r="C1744" s="3" t="s">
        <v>3492</v>
      </c>
      <c r="D1744" s="24">
        <v>0.24485499999999999</v>
      </c>
      <c r="E1744" s="25">
        <v>10.28</v>
      </c>
      <c r="F1744" s="25">
        <v>9.9909999999999997</v>
      </c>
      <c r="G1744" s="26">
        <v>0.28610000000000002</v>
      </c>
      <c r="H1744" s="27">
        <v>0.222</v>
      </c>
      <c r="I1744" s="26">
        <v>1.2889999999999999</v>
      </c>
      <c r="J1744" s="28">
        <v>6</v>
      </c>
      <c r="K1744" s="27">
        <v>0.38783000000000001</v>
      </c>
      <c r="L1744" s="29">
        <f t="shared" si="108"/>
        <v>0.4113585997685788</v>
      </c>
      <c r="M1744" s="29">
        <f t="shared" si="109"/>
        <v>0.28900000000000053</v>
      </c>
      <c r="N1744" s="30">
        <f t="shared" si="110"/>
        <v>0.61109102315387676</v>
      </c>
      <c r="O1744" s="31">
        <f t="shared" si="111"/>
        <v>1.2217931016735011</v>
      </c>
    </row>
    <row r="1745" spans="1:15" x14ac:dyDescent="0.25">
      <c r="A1745" t="s">
        <v>7482</v>
      </c>
      <c r="B1745" t="s">
        <v>3489</v>
      </c>
      <c r="C1745" s="3" t="s">
        <v>3490</v>
      </c>
      <c r="D1745" s="24">
        <v>0.24480299999999999</v>
      </c>
      <c r="E1745" s="25">
        <v>13.74</v>
      </c>
      <c r="F1745" s="25">
        <v>14.04</v>
      </c>
      <c r="G1745" s="26">
        <v>-0.29470000000000002</v>
      </c>
      <c r="H1745" s="27">
        <v>0.2286</v>
      </c>
      <c r="I1745" s="26">
        <v>1.2889999999999999</v>
      </c>
      <c r="J1745" s="28">
        <v>6</v>
      </c>
      <c r="K1745" s="27">
        <v>0.38783000000000001</v>
      </c>
      <c r="L1745" s="29">
        <f t="shared" si="108"/>
        <v>0.4113585997685788</v>
      </c>
      <c r="M1745" s="29">
        <f t="shared" si="109"/>
        <v>-0.29999999999999871</v>
      </c>
      <c r="N1745" s="30">
        <f t="shared" si="110"/>
        <v>0.61118326432279002</v>
      </c>
      <c r="O1745" s="31">
        <f t="shared" si="111"/>
        <v>0.81225239635623625</v>
      </c>
    </row>
    <row r="1746" spans="1:15" x14ac:dyDescent="0.25">
      <c r="A1746" t="s">
        <v>7483</v>
      </c>
      <c r="B1746" t="s">
        <v>3497</v>
      </c>
      <c r="C1746" s="3" t="s">
        <v>3498</v>
      </c>
      <c r="D1746" s="24">
        <v>0.245947</v>
      </c>
      <c r="E1746" s="25">
        <v>11.46</v>
      </c>
      <c r="F1746" s="25">
        <v>11.25</v>
      </c>
      <c r="G1746" s="26">
        <v>0.21679999999999999</v>
      </c>
      <c r="H1746" s="27">
        <v>0.16869999999999999</v>
      </c>
      <c r="I1746" s="26">
        <v>1.286</v>
      </c>
      <c r="J1746" s="28">
        <v>6</v>
      </c>
      <c r="K1746" s="27">
        <v>0.38880700000000001</v>
      </c>
      <c r="L1746" s="29">
        <f t="shared" si="108"/>
        <v>0.41026592472825568</v>
      </c>
      <c r="M1746" s="29">
        <f t="shared" si="109"/>
        <v>0.21000000000000049</v>
      </c>
      <c r="N1746" s="30">
        <f t="shared" si="110"/>
        <v>0.60915847048782445</v>
      </c>
      <c r="O1746" s="31">
        <f t="shared" si="111"/>
        <v>1.1566881839052878</v>
      </c>
    </row>
    <row r="1747" spans="1:15" x14ac:dyDescent="0.25">
      <c r="A1747" t="s">
        <v>7484</v>
      </c>
      <c r="B1747" t="s">
        <v>3493</v>
      </c>
      <c r="C1747" s="3" t="s">
        <v>3494</v>
      </c>
      <c r="D1747" s="24">
        <v>0.24588399999999999</v>
      </c>
      <c r="E1747" s="25">
        <v>8.532</v>
      </c>
      <c r="F1747" s="25">
        <v>8.7850000000000001</v>
      </c>
      <c r="G1747" s="26">
        <v>-0.25319999999999998</v>
      </c>
      <c r="H1747" s="27">
        <v>0.19689999999999999</v>
      </c>
      <c r="I1747" s="26">
        <v>1.286</v>
      </c>
      <c r="J1747" s="28">
        <v>6</v>
      </c>
      <c r="K1747" s="27">
        <v>0.38880700000000001</v>
      </c>
      <c r="L1747" s="29">
        <f t="shared" si="108"/>
        <v>0.41026592472825568</v>
      </c>
      <c r="M1747" s="29">
        <f t="shared" si="109"/>
        <v>-0.25300000000000061</v>
      </c>
      <c r="N1747" s="30">
        <f t="shared" si="110"/>
        <v>0.60926973046334265</v>
      </c>
      <c r="O1747" s="31">
        <f t="shared" si="111"/>
        <v>0.83914963710654122</v>
      </c>
    </row>
    <row r="1748" spans="1:15" x14ac:dyDescent="0.25">
      <c r="A1748" t="s">
        <v>7485</v>
      </c>
      <c r="B1748" t="s">
        <v>3495</v>
      </c>
      <c r="C1748" s="3" t="s">
        <v>3496</v>
      </c>
      <c r="D1748" s="24">
        <v>0.24590400000000001</v>
      </c>
      <c r="E1748" s="25">
        <v>9.5530000000000008</v>
      </c>
      <c r="F1748" s="25">
        <v>9.7089999999999996</v>
      </c>
      <c r="G1748" s="26">
        <v>-0.156</v>
      </c>
      <c r="H1748" s="27">
        <v>0.12139999999999999</v>
      </c>
      <c r="I1748" s="26">
        <v>1.286</v>
      </c>
      <c r="J1748" s="28">
        <v>6</v>
      </c>
      <c r="K1748" s="27">
        <v>0.38880700000000001</v>
      </c>
      <c r="L1748" s="29">
        <f t="shared" si="108"/>
        <v>0.41026592472825568</v>
      </c>
      <c r="M1748" s="29">
        <f t="shared" si="109"/>
        <v>-0.15599999999999917</v>
      </c>
      <c r="N1748" s="30">
        <f t="shared" si="110"/>
        <v>0.60923440674807161</v>
      </c>
      <c r="O1748" s="31">
        <f t="shared" si="111"/>
        <v>0.89751005066726197</v>
      </c>
    </row>
    <row r="1749" spans="1:15" x14ac:dyDescent="0.25">
      <c r="A1749" t="s">
        <v>7486</v>
      </c>
      <c r="B1749" t="s">
        <v>3499</v>
      </c>
      <c r="C1749" s="3" t="s">
        <v>3500</v>
      </c>
      <c r="D1749" s="24">
        <v>0.246035</v>
      </c>
      <c r="E1749" s="25">
        <v>11.21</v>
      </c>
      <c r="F1749" s="25">
        <v>11.29</v>
      </c>
      <c r="G1749" s="26">
        <v>-8.3400000000000002E-2</v>
      </c>
      <c r="H1749" s="27">
        <v>6.4879999999999993E-2</v>
      </c>
      <c r="I1749" s="26">
        <v>1.2849999999999999</v>
      </c>
      <c r="J1749" s="28">
        <v>6</v>
      </c>
      <c r="K1749" s="27">
        <v>0.38880700000000001</v>
      </c>
      <c r="L1749" s="29">
        <f t="shared" si="108"/>
        <v>0.41026592472825568</v>
      </c>
      <c r="M1749" s="29">
        <f t="shared" si="109"/>
        <v>-7.9999999999997989E-2</v>
      </c>
      <c r="N1749" s="30">
        <f t="shared" si="110"/>
        <v>0.60900310742651298</v>
      </c>
      <c r="O1749" s="31">
        <f t="shared" si="111"/>
        <v>0.94605764672559722</v>
      </c>
    </row>
    <row r="1750" spans="1:15" x14ac:dyDescent="0.25">
      <c r="A1750" t="s">
        <v>7487</v>
      </c>
      <c r="B1750" t="s">
        <v>3501</v>
      </c>
      <c r="C1750" s="3" t="s">
        <v>3502</v>
      </c>
      <c r="D1750" s="24">
        <v>0.24634600000000001</v>
      </c>
      <c r="E1750" s="25">
        <v>9.516</v>
      </c>
      <c r="F1750" s="25">
        <v>9.6660000000000004</v>
      </c>
      <c r="G1750" s="26">
        <v>-0.14960000000000001</v>
      </c>
      <c r="H1750" s="27">
        <v>0.11650000000000001</v>
      </c>
      <c r="I1750" s="26">
        <v>1.284</v>
      </c>
      <c r="J1750" s="28">
        <v>6</v>
      </c>
      <c r="K1750" s="27">
        <v>0.38907599999999998</v>
      </c>
      <c r="L1750" s="29">
        <f t="shared" si="108"/>
        <v>0.40996555765431575</v>
      </c>
      <c r="M1750" s="29">
        <f t="shared" si="109"/>
        <v>-0.14999999999999936</v>
      </c>
      <c r="N1750" s="30">
        <f t="shared" si="110"/>
        <v>0.60845448511235634</v>
      </c>
      <c r="O1750" s="31">
        <f t="shared" si="111"/>
        <v>0.90125046261083064</v>
      </c>
    </row>
    <row r="1751" spans="1:15" x14ac:dyDescent="0.25">
      <c r="A1751" t="s">
        <v>7488</v>
      </c>
      <c r="B1751" t="s">
        <v>3503</v>
      </c>
      <c r="C1751" s="3" t="s">
        <v>3504</v>
      </c>
      <c r="D1751" s="24">
        <v>0.24667600000000001</v>
      </c>
      <c r="E1751" s="25">
        <v>11.97</v>
      </c>
      <c r="F1751" s="25">
        <v>12.13</v>
      </c>
      <c r="G1751" s="26">
        <v>-0.16</v>
      </c>
      <c r="H1751" s="27">
        <v>0.1246</v>
      </c>
      <c r="I1751" s="26">
        <v>1.2829999999999999</v>
      </c>
      <c r="J1751" s="28">
        <v>6</v>
      </c>
      <c r="K1751" s="27">
        <v>0.38937500000000003</v>
      </c>
      <c r="L1751" s="29">
        <f t="shared" si="108"/>
        <v>0.40963193599675513</v>
      </c>
      <c r="M1751" s="29">
        <f t="shared" si="109"/>
        <v>-0.16000000000000103</v>
      </c>
      <c r="N1751" s="30">
        <f t="shared" si="110"/>
        <v>0.60787310253538829</v>
      </c>
      <c r="O1751" s="31">
        <f t="shared" si="111"/>
        <v>0.89502507092797179</v>
      </c>
    </row>
    <row r="1752" spans="1:15" x14ac:dyDescent="0.25">
      <c r="A1752" t="s">
        <v>7489</v>
      </c>
      <c r="B1752" t="s">
        <v>3505</v>
      </c>
      <c r="C1752" s="3" t="s">
        <v>3506</v>
      </c>
      <c r="D1752" s="24">
        <v>0.24761900000000001</v>
      </c>
      <c r="E1752" s="25">
        <v>10.4</v>
      </c>
      <c r="F1752" s="25">
        <v>10.23</v>
      </c>
      <c r="G1752" s="26">
        <v>0.1709</v>
      </c>
      <c r="H1752" s="27">
        <v>0.13350000000000001</v>
      </c>
      <c r="I1752" s="26">
        <v>1.2809999999999999</v>
      </c>
      <c r="J1752" s="28">
        <v>6</v>
      </c>
      <c r="K1752" s="27">
        <v>0.39063999999999999</v>
      </c>
      <c r="L1752" s="29">
        <f t="shared" si="108"/>
        <v>0.40822328872393293</v>
      </c>
      <c r="M1752" s="29">
        <f t="shared" si="109"/>
        <v>0.17000000000000007</v>
      </c>
      <c r="N1752" s="30">
        <f t="shared" si="110"/>
        <v>0.60621603461729767</v>
      </c>
      <c r="O1752" s="31">
        <f t="shared" si="111"/>
        <v>1.1250584846888094</v>
      </c>
    </row>
    <row r="1753" spans="1:15" x14ac:dyDescent="0.25">
      <c r="A1753" t="s">
        <v>7490</v>
      </c>
      <c r="B1753" t="s">
        <v>3511</v>
      </c>
      <c r="C1753" s="3" t="s">
        <v>3512</v>
      </c>
      <c r="D1753" s="24">
        <v>0.248699</v>
      </c>
      <c r="E1753" s="25">
        <v>10.81</v>
      </c>
      <c r="F1753" s="25">
        <v>10.7</v>
      </c>
      <c r="G1753" s="26">
        <v>0.1094</v>
      </c>
      <c r="H1753" s="27">
        <v>8.5650000000000004E-2</v>
      </c>
      <c r="I1753" s="26">
        <v>1.2769999999999999</v>
      </c>
      <c r="J1753" s="28">
        <v>6</v>
      </c>
      <c r="K1753" s="27">
        <v>0.39167299999999999</v>
      </c>
      <c r="L1753" s="29">
        <f t="shared" si="108"/>
        <v>0.40707636553450999</v>
      </c>
      <c r="M1753" s="29">
        <f t="shared" si="109"/>
        <v>0.11000000000000185</v>
      </c>
      <c r="N1753" s="30">
        <f t="shared" si="110"/>
        <v>0.60432596099204638</v>
      </c>
      <c r="O1753" s="31">
        <f t="shared" si="111"/>
        <v>1.0792282365044286</v>
      </c>
    </row>
    <row r="1754" spans="1:15" x14ac:dyDescent="0.25">
      <c r="A1754" t="s">
        <v>7491</v>
      </c>
      <c r="B1754" t="s">
        <v>3509</v>
      </c>
      <c r="C1754" s="3" t="s">
        <v>3510</v>
      </c>
      <c r="D1754" s="24">
        <v>0.24867900000000001</v>
      </c>
      <c r="E1754" s="25">
        <v>9.5839999999999996</v>
      </c>
      <c r="F1754" s="25">
        <v>9.2669999999999995</v>
      </c>
      <c r="G1754" s="26">
        <v>0.31669999999999998</v>
      </c>
      <c r="H1754" s="27">
        <v>0.24790000000000001</v>
      </c>
      <c r="I1754" s="26">
        <v>1.2769999999999999</v>
      </c>
      <c r="J1754" s="28">
        <v>6</v>
      </c>
      <c r="K1754" s="27">
        <v>0.39167299999999999</v>
      </c>
      <c r="L1754" s="29">
        <f t="shared" si="108"/>
        <v>0.40707636553450999</v>
      </c>
      <c r="M1754" s="29">
        <f t="shared" si="109"/>
        <v>0.31700000000000073</v>
      </c>
      <c r="N1754" s="30">
        <f t="shared" si="110"/>
        <v>0.60436088770630703</v>
      </c>
      <c r="O1754" s="31">
        <f t="shared" si="111"/>
        <v>1.2457374155694745</v>
      </c>
    </row>
    <row r="1755" spans="1:15" x14ac:dyDescent="0.25">
      <c r="A1755" t="s">
        <v>7492</v>
      </c>
      <c r="B1755" t="s">
        <v>3507</v>
      </c>
      <c r="C1755" s="3" t="s">
        <v>3508</v>
      </c>
      <c r="D1755" s="24">
        <v>0.24864900000000001</v>
      </c>
      <c r="E1755" s="25">
        <v>8.3829999999999991</v>
      </c>
      <c r="F1755" s="25">
        <v>8.1579999999999995</v>
      </c>
      <c r="G1755" s="26">
        <v>0.22539999999999999</v>
      </c>
      <c r="H1755" s="27">
        <v>0.1764</v>
      </c>
      <c r="I1755" s="26">
        <v>1.2769999999999999</v>
      </c>
      <c r="J1755" s="28">
        <v>6</v>
      </c>
      <c r="K1755" s="27">
        <v>0.39167299999999999</v>
      </c>
      <c r="L1755" s="29">
        <f t="shared" si="108"/>
        <v>0.40707636553450999</v>
      </c>
      <c r="M1755" s="29">
        <f t="shared" si="109"/>
        <v>0.22500000000000028</v>
      </c>
      <c r="N1755" s="30">
        <f t="shared" si="110"/>
        <v>0.60441328304488795</v>
      </c>
      <c r="O1755" s="31">
        <f t="shared" si="111"/>
        <v>1.1687772485612458</v>
      </c>
    </row>
    <row r="1756" spans="1:15" x14ac:dyDescent="0.25">
      <c r="A1756" t="s">
        <v>7493</v>
      </c>
      <c r="B1756" t="s">
        <v>3515</v>
      </c>
      <c r="C1756" s="3" t="s">
        <v>3516</v>
      </c>
      <c r="D1756" s="24">
        <v>0.24946299999999999</v>
      </c>
      <c r="E1756" s="25">
        <v>11.71</v>
      </c>
      <c r="F1756" s="25">
        <v>12.01</v>
      </c>
      <c r="G1756" s="26">
        <v>-0.3024</v>
      </c>
      <c r="H1756" s="27">
        <v>0.23719999999999999</v>
      </c>
      <c r="I1756" s="26">
        <v>1.2749999999999999</v>
      </c>
      <c r="J1756" s="28">
        <v>6</v>
      </c>
      <c r="K1756" s="27">
        <v>0.392428</v>
      </c>
      <c r="L1756" s="29">
        <f t="shared" si="108"/>
        <v>0.40624001298510087</v>
      </c>
      <c r="M1756" s="29">
        <f t="shared" si="109"/>
        <v>-0.30000000000000149</v>
      </c>
      <c r="N1756" s="30">
        <f t="shared" si="110"/>
        <v>0.60299385920864534</v>
      </c>
      <c r="O1756" s="31">
        <f t="shared" si="111"/>
        <v>0.8122523963562347</v>
      </c>
    </row>
    <row r="1757" spans="1:15" x14ac:dyDescent="0.25">
      <c r="A1757" t="s">
        <v>7494</v>
      </c>
      <c r="B1757" t="s">
        <v>3513</v>
      </c>
      <c r="C1757" s="3" t="s">
        <v>3514</v>
      </c>
      <c r="D1757" s="24">
        <v>0.24934700000000001</v>
      </c>
      <c r="E1757" s="25">
        <v>10.17</v>
      </c>
      <c r="F1757" s="25">
        <v>10.07</v>
      </c>
      <c r="G1757" s="26">
        <v>0.1007</v>
      </c>
      <c r="H1757" s="27">
        <v>7.8969999999999999E-2</v>
      </c>
      <c r="I1757" s="26">
        <v>1.2749999999999999</v>
      </c>
      <c r="J1757" s="28">
        <v>6</v>
      </c>
      <c r="K1757" s="27">
        <v>0.392428</v>
      </c>
      <c r="L1757" s="29">
        <f t="shared" si="108"/>
        <v>0.40624001298510087</v>
      </c>
      <c r="M1757" s="29">
        <f t="shared" si="109"/>
        <v>9.999999999999995E-2</v>
      </c>
      <c r="N1757" s="30">
        <f t="shared" si="110"/>
        <v>0.60319585259614328</v>
      </c>
      <c r="O1757" s="31">
        <f t="shared" si="111"/>
        <v>1.0717734625362931</v>
      </c>
    </row>
    <row r="1758" spans="1:15" x14ac:dyDescent="0.25">
      <c r="A1758" t="s">
        <v>7495</v>
      </c>
      <c r="B1758" t="s">
        <v>3517</v>
      </c>
      <c r="C1758" s="3" t="s">
        <v>3518</v>
      </c>
      <c r="D1758" s="24">
        <v>0.24983900000000001</v>
      </c>
      <c r="E1758" s="25">
        <v>9.625</v>
      </c>
      <c r="F1758" s="25">
        <v>9.5020000000000007</v>
      </c>
      <c r="G1758" s="26">
        <v>0.1225</v>
      </c>
      <c r="H1758" s="27">
        <v>9.6149999999999999E-2</v>
      </c>
      <c r="I1758" s="26">
        <v>1.274</v>
      </c>
      <c r="J1758" s="28">
        <v>6</v>
      </c>
      <c r="K1758" s="27">
        <v>0.392596</v>
      </c>
      <c r="L1758" s="29">
        <f t="shared" si="108"/>
        <v>0.40605412956224102</v>
      </c>
      <c r="M1758" s="29">
        <f t="shared" si="109"/>
        <v>0.12299999999999969</v>
      </c>
      <c r="N1758" s="30">
        <f t="shared" si="110"/>
        <v>0.60233976707177006</v>
      </c>
      <c r="O1758" s="31">
        <f t="shared" si="111"/>
        <v>1.0889970153361062</v>
      </c>
    </row>
    <row r="1759" spans="1:15" x14ac:dyDescent="0.25">
      <c r="A1759" t="s">
        <v>7496</v>
      </c>
      <c r="B1759" t="s">
        <v>3519</v>
      </c>
      <c r="C1759" s="3" t="s">
        <v>3520</v>
      </c>
      <c r="D1759" s="24">
        <v>0.24985399999999999</v>
      </c>
      <c r="E1759" s="25">
        <v>12.34</v>
      </c>
      <c r="F1759" s="25">
        <v>12.62</v>
      </c>
      <c r="G1759" s="26">
        <v>-0.2732</v>
      </c>
      <c r="H1759" s="27">
        <v>0.21440000000000001</v>
      </c>
      <c r="I1759" s="26">
        <v>1.274</v>
      </c>
      <c r="J1759" s="28">
        <v>6</v>
      </c>
      <c r="K1759" s="27">
        <v>0.392596</v>
      </c>
      <c r="L1759" s="29">
        <f t="shared" si="108"/>
        <v>0.40605412956224102</v>
      </c>
      <c r="M1759" s="29">
        <f t="shared" si="109"/>
        <v>-0.28000000000000064</v>
      </c>
      <c r="N1759" s="30">
        <f t="shared" si="110"/>
        <v>0.60231369339360963</v>
      </c>
      <c r="O1759" s="31">
        <f t="shared" si="111"/>
        <v>0.82359101726757278</v>
      </c>
    </row>
    <row r="1760" spans="1:15" x14ac:dyDescent="0.25">
      <c r="A1760" t="s">
        <v>7497</v>
      </c>
      <c r="B1760" t="s">
        <v>3523</v>
      </c>
      <c r="C1760" s="3" t="s">
        <v>3524</v>
      </c>
      <c r="D1760" s="24">
        <v>0.25048300000000001</v>
      </c>
      <c r="E1760" s="25">
        <v>10.51</v>
      </c>
      <c r="F1760" s="25">
        <v>10.63</v>
      </c>
      <c r="G1760" s="26">
        <v>-0.1198</v>
      </c>
      <c r="H1760" s="27">
        <v>9.4170000000000004E-2</v>
      </c>
      <c r="I1760" s="26">
        <v>1.272</v>
      </c>
      <c r="J1760" s="28">
        <v>6</v>
      </c>
      <c r="K1760" s="27">
        <v>0.39313799999999999</v>
      </c>
      <c r="L1760" s="29">
        <f t="shared" si="108"/>
        <v>0.40545497604075403</v>
      </c>
      <c r="M1760" s="29">
        <f t="shared" si="109"/>
        <v>-0.12000000000000088</v>
      </c>
      <c r="N1760" s="30">
        <f t="shared" si="110"/>
        <v>0.60122174387547733</v>
      </c>
      <c r="O1760" s="31">
        <f t="shared" si="111"/>
        <v>0.92018765062487451</v>
      </c>
    </row>
    <row r="1761" spans="1:15" x14ac:dyDescent="0.25">
      <c r="A1761" t="s">
        <v>7498</v>
      </c>
      <c r="B1761" t="s">
        <v>3521</v>
      </c>
      <c r="C1761" s="3" t="s">
        <v>3522</v>
      </c>
      <c r="D1761" s="24">
        <v>0.25034600000000001</v>
      </c>
      <c r="E1761" s="25">
        <v>10.39</v>
      </c>
      <c r="F1761" s="25">
        <v>10.3</v>
      </c>
      <c r="G1761" s="26">
        <v>8.5000000000000006E-2</v>
      </c>
      <c r="H1761" s="27">
        <v>6.6809999999999994E-2</v>
      </c>
      <c r="I1761" s="26">
        <v>1.272</v>
      </c>
      <c r="J1761" s="28">
        <v>6</v>
      </c>
      <c r="K1761" s="27">
        <v>0.39313799999999999</v>
      </c>
      <c r="L1761" s="29">
        <f t="shared" si="108"/>
        <v>0.40545497604075403</v>
      </c>
      <c r="M1761" s="29">
        <f t="shared" si="109"/>
        <v>8.9999999999999566E-2</v>
      </c>
      <c r="N1761" s="30">
        <f t="shared" si="110"/>
        <v>0.60145934331762141</v>
      </c>
      <c r="O1761" s="31">
        <f t="shared" si="111"/>
        <v>1.0643701824533596</v>
      </c>
    </row>
    <row r="1762" spans="1:15" x14ac:dyDescent="0.25">
      <c r="A1762" t="s">
        <v>7499</v>
      </c>
      <c r="B1762" t="s">
        <v>3525</v>
      </c>
      <c r="C1762" s="3" t="s">
        <v>3526</v>
      </c>
      <c r="D1762" s="24">
        <v>0.25070900000000002</v>
      </c>
      <c r="E1762" s="25">
        <v>9.6709999999999994</v>
      </c>
      <c r="F1762" s="25">
        <v>9.7620000000000005</v>
      </c>
      <c r="G1762" s="26">
        <v>-9.0389999999999998E-2</v>
      </c>
      <c r="H1762" s="27">
        <v>7.1110000000000007E-2</v>
      </c>
      <c r="I1762" s="26">
        <v>1.2709999999999999</v>
      </c>
      <c r="J1762" s="28">
        <v>6</v>
      </c>
      <c r="K1762" s="27">
        <v>0.39322699999999999</v>
      </c>
      <c r="L1762" s="29">
        <f t="shared" si="108"/>
        <v>0.40535667001478787</v>
      </c>
      <c r="M1762" s="29">
        <f t="shared" si="109"/>
        <v>-9.100000000000133E-2</v>
      </c>
      <c r="N1762" s="30">
        <f t="shared" si="110"/>
        <v>0.60083007537493238</v>
      </c>
      <c r="O1762" s="31">
        <f t="shared" si="111"/>
        <v>0.9388717473154512</v>
      </c>
    </row>
    <row r="1763" spans="1:15" x14ac:dyDescent="0.25">
      <c r="A1763" t="s">
        <v>7500</v>
      </c>
      <c r="B1763" t="s">
        <v>3527</v>
      </c>
      <c r="C1763" s="3" t="s">
        <v>3528</v>
      </c>
      <c r="D1763" s="24">
        <v>0.25082500000000002</v>
      </c>
      <c r="E1763" s="25">
        <v>10.15</v>
      </c>
      <c r="F1763" s="25">
        <v>10.029999999999999</v>
      </c>
      <c r="G1763" s="26">
        <v>0.111</v>
      </c>
      <c r="H1763" s="27">
        <v>8.7330000000000005E-2</v>
      </c>
      <c r="I1763" s="26">
        <v>1.2709999999999999</v>
      </c>
      <c r="J1763" s="28">
        <v>6</v>
      </c>
      <c r="K1763" s="27">
        <v>0.39322699999999999</v>
      </c>
      <c r="L1763" s="29">
        <f t="shared" si="108"/>
        <v>0.40535667001478787</v>
      </c>
      <c r="M1763" s="29">
        <f t="shared" si="109"/>
        <v>0.12000000000000192</v>
      </c>
      <c r="N1763" s="30">
        <f t="shared" si="110"/>
        <v>0.60062917908156399</v>
      </c>
      <c r="O1763" s="31">
        <f t="shared" si="111"/>
        <v>1.0867348625260596</v>
      </c>
    </row>
    <row r="1764" spans="1:15" x14ac:dyDescent="0.25">
      <c r="A1764" t="s">
        <v>7501</v>
      </c>
      <c r="B1764" t="s">
        <v>3529</v>
      </c>
      <c r="C1764" s="3" t="s">
        <v>3530</v>
      </c>
      <c r="D1764" s="24">
        <v>0.25259300000000001</v>
      </c>
      <c r="E1764" s="25">
        <v>8.2170000000000005</v>
      </c>
      <c r="F1764" s="25">
        <v>7.5789999999999997</v>
      </c>
      <c r="G1764" s="26">
        <v>0.63839999999999997</v>
      </c>
      <c r="H1764" s="27">
        <v>0.50439999999999996</v>
      </c>
      <c r="I1764" s="26">
        <v>1.266</v>
      </c>
      <c r="J1764" s="28">
        <v>6</v>
      </c>
      <c r="K1764" s="27">
        <v>0.39577400000000001</v>
      </c>
      <c r="L1764" s="29">
        <f t="shared" si="108"/>
        <v>0.40255273975928069</v>
      </c>
      <c r="M1764" s="29">
        <f t="shared" si="109"/>
        <v>0.63800000000000068</v>
      </c>
      <c r="N1764" s="30">
        <f t="shared" si="110"/>
        <v>0.59757868902810241</v>
      </c>
      <c r="O1764" s="31">
        <f t="shared" si="111"/>
        <v>1.556170353110838</v>
      </c>
    </row>
    <row r="1765" spans="1:15" x14ac:dyDescent="0.25">
      <c r="A1765" t="s">
        <v>7502</v>
      </c>
      <c r="B1765" t="s">
        <v>3531</v>
      </c>
      <c r="C1765" s="3" t="s">
        <v>3532</v>
      </c>
      <c r="D1765" s="24">
        <v>0.253193</v>
      </c>
      <c r="E1765" s="25">
        <v>7.2270000000000003</v>
      </c>
      <c r="F1765" s="25">
        <v>7.8579999999999997</v>
      </c>
      <c r="G1765" s="26">
        <v>-0.63109999999999999</v>
      </c>
      <c r="H1765" s="27">
        <v>0.49940000000000001</v>
      </c>
      <c r="I1765" s="26">
        <v>1.264</v>
      </c>
      <c r="J1765" s="28">
        <v>6</v>
      </c>
      <c r="K1765" s="27">
        <v>0.39648899999999998</v>
      </c>
      <c r="L1765" s="29">
        <f t="shared" si="108"/>
        <v>0.40176885703633713</v>
      </c>
      <c r="M1765" s="29">
        <f t="shared" si="109"/>
        <v>-0.63100000000000056</v>
      </c>
      <c r="N1765" s="30">
        <f t="shared" si="110"/>
        <v>0.59654830538215897</v>
      </c>
      <c r="O1765" s="31">
        <f t="shared" si="111"/>
        <v>0.64572867515116728</v>
      </c>
    </row>
    <row r="1766" spans="1:15" x14ac:dyDescent="0.25">
      <c r="A1766" t="s">
        <v>7503</v>
      </c>
      <c r="B1766" t="s">
        <v>3533</v>
      </c>
      <c r="C1766" s="3" t="s">
        <v>3534</v>
      </c>
      <c r="D1766" s="24">
        <v>0.25343300000000002</v>
      </c>
      <c r="E1766" s="25">
        <v>13.61</v>
      </c>
      <c r="F1766" s="25">
        <v>13.87</v>
      </c>
      <c r="G1766" s="26">
        <v>-0.25619999999999998</v>
      </c>
      <c r="H1766" s="27">
        <v>0.20280000000000001</v>
      </c>
      <c r="I1766" s="26">
        <v>1.2629999999999999</v>
      </c>
      <c r="J1766" s="28">
        <v>6</v>
      </c>
      <c r="K1766" s="27">
        <v>0.39663999999999999</v>
      </c>
      <c r="L1766" s="29">
        <f t="shared" si="108"/>
        <v>0.40160349057625377</v>
      </c>
      <c r="M1766" s="29">
        <f t="shared" si="109"/>
        <v>-0.25999999999999962</v>
      </c>
      <c r="N1766" s="30">
        <f t="shared" si="110"/>
        <v>0.59613683544791285</v>
      </c>
      <c r="O1766" s="31">
        <f t="shared" si="111"/>
        <v>0.83508791942836957</v>
      </c>
    </row>
    <row r="1767" spans="1:15" x14ac:dyDescent="0.25">
      <c r="A1767" t="s">
        <v>7504</v>
      </c>
      <c r="B1767" t="s">
        <v>3535</v>
      </c>
      <c r="C1767" s="3" t="s">
        <v>3536</v>
      </c>
      <c r="D1767" s="24">
        <v>0.25376500000000002</v>
      </c>
      <c r="E1767" s="25">
        <v>8.33</v>
      </c>
      <c r="F1767" s="25">
        <v>8.0289999999999999</v>
      </c>
      <c r="G1767" s="26">
        <v>0.30009999999999998</v>
      </c>
      <c r="H1767" s="27">
        <v>0.23780000000000001</v>
      </c>
      <c r="I1767" s="26">
        <v>1.262</v>
      </c>
      <c r="J1767" s="28">
        <v>6</v>
      </c>
      <c r="K1767" s="27">
        <v>0.39693499999999998</v>
      </c>
      <c r="L1767" s="29">
        <f t="shared" si="108"/>
        <v>0.40128060520798275</v>
      </c>
      <c r="M1767" s="29">
        <f t="shared" si="109"/>
        <v>0.30100000000000054</v>
      </c>
      <c r="N1767" s="30">
        <f t="shared" si="110"/>
        <v>0.59556827725728512</v>
      </c>
      <c r="O1767" s="31">
        <f t="shared" si="111"/>
        <v>1.2319980734457563</v>
      </c>
    </row>
    <row r="1768" spans="1:15" x14ac:dyDescent="0.25">
      <c r="A1768" t="s">
        <v>7505</v>
      </c>
      <c r="B1768" t="s">
        <v>3537</v>
      </c>
      <c r="C1768" s="3" t="s">
        <v>3538</v>
      </c>
      <c r="D1768" s="24">
        <v>0.25412699999999999</v>
      </c>
      <c r="E1768" s="25">
        <v>7.2830000000000004</v>
      </c>
      <c r="F1768" s="25">
        <v>7.7089999999999996</v>
      </c>
      <c r="G1768" s="26">
        <v>-0.42549999999999999</v>
      </c>
      <c r="H1768" s="27">
        <v>0.33739999999999998</v>
      </c>
      <c r="I1768" s="26">
        <v>1.2609999999999999</v>
      </c>
      <c r="J1768" s="28">
        <v>6</v>
      </c>
      <c r="K1768" s="27">
        <v>0.39727600000000002</v>
      </c>
      <c r="L1768" s="29">
        <f t="shared" si="108"/>
        <v>0.40090767049056053</v>
      </c>
      <c r="M1768" s="29">
        <f t="shared" si="109"/>
        <v>-0.42599999999999955</v>
      </c>
      <c r="N1768" s="30">
        <f t="shared" si="110"/>
        <v>0.59494919040783167</v>
      </c>
      <c r="O1768" s="31">
        <f t="shared" si="111"/>
        <v>0.74432262758327006</v>
      </c>
    </row>
    <row r="1769" spans="1:15" x14ac:dyDescent="0.25">
      <c r="A1769" t="s">
        <v>7506</v>
      </c>
      <c r="B1769" t="s">
        <v>3539</v>
      </c>
      <c r="C1769" s="3" t="s">
        <v>3540</v>
      </c>
      <c r="D1769" s="24">
        <v>0.25464700000000001</v>
      </c>
      <c r="E1769" s="25">
        <v>7.6280000000000001</v>
      </c>
      <c r="F1769" s="25">
        <v>8.1579999999999995</v>
      </c>
      <c r="G1769" s="26">
        <v>-0.53029999999999999</v>
      </c>
      <c r="H1769" s="27">
        <v>0.42109999999999997</v>
      </c>
      <c r="I1769" s="26">
        <v>1.2589999999999999</v>
      </c>
      <c r="J1769" s="28">
        <v>6</v>
      </c>
      <c r="K1769" s="27">
        <v>0.397864</v>
      </c>
      <c r="L1769" s="29">
        <f t="shared" si="108"/>
        <v>0.4002653554217479</v>
      </c>
      <c r="M1769" s="29">
        <f t="shared" si="109"/>
        <v>-0.52999999999999881</v>
      </c>
      <c r="N1769" s="30">
        <f t="shared" si="110"/>
        <v>0.59406143588725446</v>
      </c>
      <c r="O1769" s="31">
        <f t="shared" si="111"/>
        <v>0.69255473405546297</v>
      </c>
    </row>
    <row r="1770" spans="1:15" x14ac:dyDescent="0.25">
      <c r="A1770" t="s">
        <v>7507</v>
      </c>
      <c r="B1770" t="s">
        <v>3541</v>
      </c>
      <c r="C1770" s="3" t="s">
        <v>3542</v>
      </c>
      <c r="D1770" s="24">
        <v>0.25564100000000001</v>
      </c>
      <c r="E1770" s="25">
        <v>10.78</v>
      </c>
      <c r="F1770" s="25">
        <v>10.91</v>
      </c>
      <c r="G1770" s="26">
        <v>-0.1245</v>
      </c>
      <c r="H1770" s="27">
        <v>9.9089999999999998E-2</v>
      </c>
      <c r="I1770" s="26">
        <v>1.256</v>
      </c>
      <c r="J1770" s="28">
        <v>6</v>
      </c>
      <c r="K1770" s="27">
        <v>0.39919100000000002</v>
      </c>
      <c r="L1770" s="29">
        <f t="shared" si="108"/>
        <v>0.39881925870329932</v>
      </c>
      <c r="M1770" s="29">
        <f t="shared" si="109"/>
        <v>-0.12999999999999973</v>
      </c>
      <c r="N1770" s="30">
        <f t="shared" si="110"/>
        <v>0.59236949227497415</v>
      </c>
      <c r="O1770" s="31">
        <f t="shared" si="111"/>
        <v>0.91383145022940071</v>
      </c>
    </row>
    <row r="1771" spans="1:15" x14ac:dyDescent="0.25">
      <c r="A1771" t="s">
        <v>7508</v>
      </c>
      <c r="B1771" t="s">
        <v>3543</v>
      </c>
      <c r="C1771" s="3" t="s">
        <v>3544</v>
      </c>
      <c r="D1771" s="24">
        <v>0.25631300000000001</v>
      </c>
      <c r="E1771" s="25">
        <v>8.0280000000000005</v>
      </c>
      <c r="F1771" s="25">
        <v>7.5359999999999996</v>
      </c>
      <c r="G1771" s="26">
        <v>0.49259999999999998</v>
      </c>
      <c r="H1771" s="27">
        <v>0.39269999999999999</v>
      </c>
      <c r="I1771" s="26">
        <v>1.2549999999999999</v>
      </c>
      <c r="J1771" s="28">
        <v>6</v>
      </c>
      <c r="K1771" s="27">
        <v>0.40001399999999998</v>
      </c>
      <c r="L1771" s="29">
        <f t="shared" si="108"/>
        <v>0.39792480863117013</v>
      </c>
      <c r="M1771" s="29">
        <f t="shared" si="109"/>
        <v>0.49200000000000038</v>
      </c>
      <c r="N1771" s="30">
        <f t="shared" si="110"/>
        <v>0.5912293661720327</v>
      </c>
      <c r="O1771" s="31">
        <f t="shared" si="111"/>
        <v>1.4063931999131196</v>
      </c>
    </row>
    <row r="1772" spans="1:15" x14ac:dyDescent="0.25">
      <c r="A1772" t="s">
        <v>7509</v>
      </c>
      <c r="B1772" t="s">
        <v>3545</v>
      </c>
      <c r="C1772" s="3" t="s">
        <v>3546</v>
      </c>
      <c r="D1772" s="24">
        <v>0.25743100000000002</v>
      </c>
      <c r="E1772" s="25">
        <v>10.36</v>
      </c>
      <c r="F1772" s="25">
        <v>10.17</v>
      </c>
      <c r="G1772" s="26">
        <v>0.18809999999999999</v>
      </c>
      <c r="H1772" s="27">
        <v>0.15040000000000001</v>
      </c>
      <c r="I1772" s="26">
        <v>1.2509999999999999</v>
      </c>
      <c r="J1772" s="28">
        <v>6</v>
      </c>
      <c r="K1772" s="27">
        <v>0.40153299999999997</v>
      </c>
      <c r="L1772" s="29">
        <f t="shared" si="108"/>
        <v>0.39627875641528687</v>
      </c>
      <c r="M1772" s="29">
        <f t="shared" si="109"/>
        <v>0.18999999999999861</v>
      </c>
      <c r="N1772" s="30">
        <f t="shared" si="110"/>
        <v>0.58933915627278466</v>
      </c>
      <c r="O1772" s="31">
        <f t="shared" si="111"/>
        <v>1.1407637158684225</v>
      </c>
    </row>
    <row r="1773" spans="1:15" x14ac:dyDescent="0.25">
      <c r="A1773" t="s">
        <v>7510</v>
      </c>
      <c r="B1773" t="s">
        <v>3549</v>
      </c>
      <c r="C1773" s="3" t="s">
        <v>3550</v>
      </c>
      <c r="D1773" s="24">
        <v>0.25803300000000001</v>
      </c>
      <c r="E1773" s="25">
        <v>8.1449999999999996</v>
      </c>
      <c r="F1773" s="25">
        <v>8.4529999999999994</v>
      </c>
      <c r="G1773" s="26">
        <v>-0.30759999999999998</v>
      </c>
      <c r="H1773" s="27">
        <v>0.2462</v>
      </c>
      <c r="I1773" s="26">
        <v>1.2490000000000001</v>
      </c>
      <c r="J1773" s="28">
        <v>6</v>
      </c>
      <c r="K1773" s="27">
        <v>0.40201799999999999</v>
      </c>
      <c r="L1773" s="29">
        <f t="shared" si="108"/>
        <v>0.39575450132929785</v>
      </c>
      <c r="M1773" s="29">
        <f t="shared" si="109"/>
        <v>-0.3079999999999995</v>
      </c>
      <c r="N1773" s="30">
        <f t="shared" si="110"/>
        <v>0.58832474829484116</v>
      </c>
      <c r="O1773" s="31">
        <f t="shared" si="111"/>
        <v>0.8077607776096084</v>
      </c>
    </row>
    <row r="1774" spans="1:15" x14ac:dyDescent="0.25">
      <c r="A1774" t="s">
        <v>7511</v>
      </c>
      <c r="B1774" t="s">
        <v>3547</v>
      </c>
      <c r="C1774" s="3" t="s">
        <v>3548</v>
      </c>
      <c r="D1774" s="24">
        <v>0.25796000000000002</v>
      </c>
      <c r="E1774" s="25">
        <v>10.56</v>
      </c>
      <c r="F1774" s="25">
        <v>10.7</v>
      </c>
      <c r="G1774" s="26">
        <v>-0.14219999999999999</v>
      </c>
      <c r="H1774" s="27">
        <v>0.1138</v>
      </c>
      <c r="I1774" s="26">
        <v>1.25</v>
      </c>
      <c r="J1774" s="28">
        <v>6</v>
      </c>
      <c r="K1774" s="27">
        <v>0.40201799999999999</v>
      </c>
      <c r="L1774" s="29">
        <f t="shared" si="108"/>
        <v>0.39575450132929785</v>
      </c>
      <c r="M1774" s="29">
        <f t="shared" si="109"/>
        <v>-0.13999999999999893</v>
      </c>
      <c r="N1774" s="30">
        <f t="shared" si="110"/>
        <v>0.58844763173469561</v>
      </c>
      <c r="O1774" s="31">
        <f t="shared" si="111"/>
        <v>0.90751915531716154</v>
      </c>
    </row>
    <row r="1775" spans="1:15" x14ac:dyDescent="0.25">
      <c r="A1775" t="s">
        <v>7512</v>
      </c>
      <c r="B1775" t="s">
        <v>3551</v>
      </c>
      <c r="C1775" s="3" t="s">
        <v>3552</v>
      </c>
      <c r="D1775" s="24">
        <v>0.25937900000000003</v>
      </c>
      <c r="E1775" s="25">
        <v>8.0489999999999995</v>
      </c>
      <c r="F1775" s="25">
        <v>8.218</v>
      </c>
      <c r="G1775" s="26">
        <v>-0.16880000000000001</v>
      </c>
      <c r="H1775" s="27">
        <v>0.13550000000000001</v>
      </c>
      <c r="I1775" s="26">
        <v>1.246</v>
      </c>
      <c r="J1775" s="28">
        <v>6</v>
      </c>
      <c r="K1775" s="27">
        <v>0.40388800000000002</v>
      </c>
      <c r="L1775" s="29">
        <f t="shared" si="108"/>
        <v>0.39373905005160748</v>
      </c>
      <c r="M1775" s="29">
        <f t="shared" si="109"/>
        <v>-0.16900000000000098</v>
      </c>
      <c r="N1775" s="30">
        <f t="shared" si="110"/>
        <v>0.58606518844201938</v>
      </c>
      <c r="O1775" s="31">
        <f t="shared" si="111"/>
        <v>0.88945899353789704</v>
      </c>
    </row>
    <row r="1776" spans="1:15" x14ac:dyDescent="0.25">
      <c r="A1776" t="s">
        <v>7513</v>
      </c>
      <c r="B1776" t="s">
        <v>3553</v>
      </c>
      <c r="C1776" s="3" t="s">
        <v>3554</v>
      </c>
      <c r="D1776" s="24">
        <v>0.259905</v>
      </c>
      <c r="E1776" s="25">
        <v>7.6280000000000001</v>
      </c>
      <c r="F1776" s="25">
        <v>7.99</v>
      </c>
      <c r="G1776" s="26">
        <v>-0.36209999999999998</v>
      </c>
      <c r="H1776" s="27">
        <v>0.29110000000000003</v>
      </c>
      <c r="I1776" s="26">
        <v>1.244</v>
      </c>
      <c r="J1776" s="28">
        <v>6</v>
      </c>
      <c r="K1776" s="27">
        <v>0.40446799999999999</v>
      </c>
      <c r="L1776" s="29">
        <f t="shared" si="108"/>
        <v>0.39311583245260523</v>
      </c>
      <c r="M1776" s="29">
        <f t="shared" si="109"/>
        <v>-0.36199999999999938</v>
      </c>
      <c r="N1776" s="30">
        <f t="shared" si="110"/>
        <v>0.58518536554892109</v>
      </c>
      <c r="O1776" s="31">
        <f t="shared" si="111"/>
        <v>0.77808517655541898</v>
      </c>
    </row>
    <row r="1777" spans="1:15" x14ac:dyDescent="0.25">
      <c r="A1777" t="s">
        <v>7514</v>
      </c>
      <c r="B1777" t="s">
        <v>3557</v>
      </c>
      <c r="C1777" s="3" t="s">
        <v>3558</v>
      </c>
      <c r="D1777" s="24">
        <v>0.26019100000000001</v>
      </c>
      <c r="E1777" s="25">
        <v>10.16</v>
      </c>
      <c r="F1777" s="25">
        <v>10.3</v>
      </c>
      <c r="G1777" s="26">
        <v>-0.1351</v>
      </c>
      <c r="H1777" s="27">
        <v>0.1087</v>
      </c>
      <c r="I1777" s="26">
        <v>1.2430000000000001</v>
      </c>
      <c r="J1777" s="28">
        <v>6</v>
      </c>
      <c r="K1777" s="27">
        <v>0.40446799999999999</v>
      </c>
      <c r="L1777" s="29">
        <f t="shared" si="108"/>
        <v>0.39311583245260523</v>
      </c>
      <c r="M1777" s="29">
        <f t="shared" si="109"/>
        <v>-0.14000000000000032</v>
      </c>
      <c r="N1777" s="30">
        <f t="shared" si="110"/>
        <v>0.58470772974959162</v>
      </c>
      <c r="O1777" s="31">
        <f t="shared" si="111"/>
        <v>0.90751915531716065</v>
      </c>
    </row>
    <row r="1778" spans="1:15" x14ac:dyDescent="0.25">
      <c r="A1778" t="s">
        <v>7515</v>
      </c>
      <c r="B1778" t="s">
        <v>3555</v>
      </c>
      <c r="C1778" s="3" t="s">
        <v>3556</v>
      </c>
      <c r="D1778" s="24">
        <v>0.26007400000000003</v>
      </c>
      <c r="E1778" s="25">
        <v>8.0410000000000004</v>
      </c>
      <c r="F1778" s="25">
        <v>7.5869999999999997</v>
      </c>
      <c r="G1778" s="26">
        <v>0.45419999999999999</v>
      </c>
      <c r="H1778" s="27">
        <v>0.36530000000000001</v>
      </c>
      <c r="I1778" s="26">
        <v>1.2430000000000001</v>
      </c>
      <c r="J1778" s="28">
        <v>6</v>
      </c>
      <c r="K1778" s="27">
        <v>0.40446799999999999</v>
      </c>
      <c r="L1778" s="29">
        <f t="shared" si="108"/>
        <v>0.39311583245260523</v>
      </c>
      <c r="M1778" s="29">
        <f t="shared" si="109"/>
        <v>0.45400000000000112</v>
      </c>
      <c r="N1778" s="30">
        <f t="shared" si="110"/>
        <v>0.58490306272505321</v>
      </c>
      <c r="O1778" s="31">
        <f t="shared" si="111"/>
        <v>1.3698329799655669</v>
      </c>
    </row>
    <row r="1779" spans="1:15" x14ac:dyDescent="0.25">
      <c r="A1779" t="s">
        <v>7516</v>
      </c>
      <c r="B1779" t="s">
        <v>3561</v>
      </c>
      <c r="C1779" s="3" t="s">
        <v>3562</v>
      </c>
      <c r="D1779" s="24">
        <v>0.26056200000000002</v>
      </c>
      <c r="E1779" s="25">
        <v>13.6</v>
      </c>
      <c r="F1779" s="25">
        <v>13.65</v>
      </c>
      <c r="G1779" s="26">
        <v>-5.2999999999999999E-2</v>
      </c>
      <c r="H1779" s="27">
        <v>4.267E-2</v>
      </c>
      <c r="I1779" s="26">
        <v>1.242</v>
      </c>
      <c r="J1779" s="28">
        <v>6</v>
      </c>
      <c r="K1779" s="27">
        <v>0.40458899999999998</v>
      </c>
      <c r="L1779" s="29">
        <f t="shared" si="108"/>
        <v>0.39298592903986151</v>
      </c>
      <c r="M1779" s="29">
        <f t="shared" si="109"/>
        <v>-5.0000000000000759E-2</v>
      </c>
      <c r="N1779" s="30">
        <f t="shared" si="110"/>
        <v>0.58408892090914011</v>
      </c>
      <c r="O1779" s="31">
        <f t="shared" si="111"/>
        <v>0.96593632892484504</v>
      </c>
    </row>
    <row r="1780" spans="1:15" x14ac:dyDescent="0.25">
      <c r="A1780" t="s">
        <v>7517</v>
      </c>
      <c r="B1780" t="s">
        <v>3559</v>
      </c>
      <c r="C1780" s="3" t="s">
        <v>3560</v>
      </c>
      <c r="D1780" s="24">
        <v>0.260459</v>
      </c>
      <c r="E1780" s="25">
        <v>8.6519999999999992</v>
      </c>
      <c r="F1780" s="25">
        <v>8.3260000000000005</v>
      </c>
      <c r="G1780" s="26">
        <v>0.32640000000000002</v>
      </c>
      <c r="H1780" s="27">
        <v>0.26269999999999999</v>
      </c>
      <c r="I1780" s="26">
        <v>1.242</v>
      </c>
      <c r="J1780" s="28">
        <v>6</v>
      </c>
      <c r="K1780" s="27">
        <v>0.40458899999999998</v>
      </c>
      <c r="L1780" s="29">
        <f t="shared" si="108"/>
        <v>0.39298592903986151</v>
      </c>
      <c r="M1780" s="29">
        <f t="shared" si="109"/>
        <v>0.32599999999999824</v>
      </c>
      <c r="N1780" s="30">
        <f t="shared" si="110"/>
        <v>0.58426063119421034</v>
      </c>
      <c r="O1780" s="31">
        <f t="shared" si="111"/>
        <v>1.2535330204406889</v>
      </c>
    </row>
    <row r="1781" spans="1:15" x14ac:dyDescent="0.25">
      <c r="A1781" t="s">
        <v>7518</v>
      </c>
      <c r="B1781" t="s">
        <v>3563</v>
      </c>
      <c r="C1781" s="3" t="s">
        <v>3564</v>
      </c>
      <c r="D1781" s="24">
        <v>0.26078299999999999</v>
      </c>
      <c r="E1781" s="25">
        <v>7.5469999999999997</v>
      </c>
      <c r="F1781" s="25">
        <v>8.2490000000000006</v>
      </c>
      <c r="G1781" s="26">
        <v>-0.70209999999999995</v>
      </c>
      <c r="H1781" s="27">
        <v>0.56559999999999999</v>
      </c>
      <c r="I1781" s="26">
        <v>1.2410000000000001</v>
      </c>
      <c r="J1781" s="28">
        <v>6</v>
      </c>
      <c r="K1781" s="27">
        <v>0.40470400000000001</v>
      </c>
      <c r="L1781" s="29">
        <f t="shared" si="108"/>
        <v>0.39286250312179466</v>
      </c>
      <c r="M1781" s="29">
        <f t="shared" si="109"/>
        <v>-0.70200000000000118</v>
      </c>
      <c r="N1781" s="30">
        <f t="shared" si="110"/>
        <v>0.58372072293563093</v>
      </c>
      <c r="O1781" s="31">
        <f t="shared" si="111"/>
        <v>0.61471943362728987</v>
      </c>
    </row>
    <row r="1782" spans="1:15" x14ac:dyDescent="0.25">
      <c r="A1782" t="s">
        <v>7519</v>
      </c>
      <c r="B1782" t="s">
        <v>3565</v>
      </c>
      <c r="C1782" s="3" t="s">
        <v>3566</v>
      </c>
      <c r="D1782" s="24">
        <v>0.261183</v>
      </c>
      <c r="E1782" s="25">
        <v>7.0250000000000004</v>
      </c>
      <c r="F1782" s="25">
        <v>7.6980000000000004</v>
      </c>
      <c r="G1782" s="26">
        <v>-0.67279999999999995</v>
      </c>
      <c r="H1782" s="27">
        <v>0.54249999999999998</v>
      </c>
      <c r="I1782" s="26">
        <v>1.24</v>
      </c>
      <c r="J1782" s="28">
        <v>6</v>
      </c>
      <c r="K1782" s="27">
        <v>0.40509699999999998</v>
      </c>
      <c r="L1782" s="29">
        <f t="shared" si="108"/>
        <v>0.39244097303035902</v>
      </c>
      <c r="M1782" s="29">
        <f t="shared" si="109"/>
        <v>-0.67300000000000026</v>
      </c>
      <c r="N1782" s="30">
        <f t="shared" si="110"/>
        <v>0.58305509403732125</v>
      </c>
      <c r="O1782" s="31">
        <f t="shared" si="111"/>
        <v>0.6272011022604973</v>
      </c>
    </row>
    <row r="1783" spans="1:15" x14ac:dyDescent="0.25">
      <c r="A1783" t="s">
        <v>7520</v>
      </c>
      <c r="B1783" t="s">
        <v>3567</v>
      </c>
      <c r="C1783" s="3" t="s">
        <v>3568</v>
      </c>
      <c r="D1783" s="24">
        <v>0.261577</v>
      </c>
      <c r="E1783" s="25">
        <v>7.4829999999999997</v>
      </c>
      <c r="F1783" s="25">
        <v>7.9909999999999997</v>
      </c>
      <c r="G1783" s="26">
        <v>-0.50860000000000005</v>
      </c>
      <c r="H1783" s="27">
        <v>0.41039999999999999</v>
      </c>
      <c r="I1783" s="26">
        <v>1.2390000000000001</v>
      </c>
      <c r="J1783" s="28">
        <v>6</v>
      </c>
      <c r="K1783" s="27">
        <v>0.40548000000000001</v>
      </c>
      <c r="L1783" s="29">
        <f t="shared" si="108"/>
        <v>0.39203056217747878</v>
      </c>
      <c r="M1783" s="29">
        <f t="shared" si="109"/>
        <v>-0.50800000000000101</v>
      </c>
      <c r="N1783" s="30">
        <f t="shared" si="110"/>
        <v>0.58240044540976732</v>
      </c>
      <c r="O1783" s="31">
        <f t="shared" si="111"/>
        <v>0.70319659995655914</v>
      </c>
    </row>
    <row r="1784" spans="1:15" x14ac:dyDescent="0.25">
      <c r="A1784" t="s">
        <v>7521</v>
      </c>
      <c r="B1784" t="s">
        <v>3569</v>
      </c>
      <c r="C1784" s="3" t="s">
        <v>3570</v>
      </c>
      <c r="D1784" s="24">
        <v>0.26203399999999999</v>
      </c>
      <c r="E1784" s="25">
        <v>12.31</v>
      </c>
      <c r="F1784" s="25">
        <v>12.66</v>
      </c>
      <c r="G1784" s="26">
        <v>-0.35070000000000001</v>
      </c>
      <c r="H1784" s="27">
        <v>0.2833</v>
      </c>
      <c r="I1784" s="26">
        <v>1.238</v>
      </c>
      <c r="J1784" s="28">
        <v>6</v>
      </c>
      <c r="K1784" s="27">
        <v>0.40596199999999999</v>
      </c>
      <c r="L1784" s="29">
        <f t="shared" si="108"/>
        <v>0.39151461657718345</v>
      </c>
      <c r="M1784" s="29">
        <f t="shared" si="109"/>
        <v>-0.34999999999999931</v>
      </c>
      <c r="N1784" s="30">
        <f t="shared" si="110"/>
        <v>0.58164235351091276</v>
      </c>
      <c r="O1784" s="31">
        <f t="shared" si="111"/>
        <v>0.7845840978967511</v>
      </c>
    </row>
    <row r="1785" spans="1:15" x14ac:dyDescent="0.25">
      <c r="A1785" t="s">
        <v>7522</v>
      </c>
      <c r="B1785" t="s">
        <v>3575</v>
      </c>
      <c r="C1785" s="3" t="s">
        <v>3576</v>
      </c>
      <c r="D1785" s="24">
        <v>0.26271099999999997</v>
      </c>
      <c r="E1785" s="25">
        <v>11.59</v>
      </c>
      <c r="F1785" s="25">
        <v>11.73</v>
      </c>
      <c r="G1785" s="26">
        <v>-0.14069999999999999</v>
      </c>
      <c r="H1785" s="27">
        <v>0.1139</v>
      </c>
      <c r="I1785" s="26">
        <v>1.236</v>
      </c>
      <c r="J1785" s="28">
        <v>6</v>
      </c>
      <c r="K1785" s="27">
        <v>0.40632600000000002</v>
      </c>
      <c r="L1785" s="29">
        <f t="shared" si="108"/>
        <v>0.39112538713640804</v>
      </c>
      <c r="M1785" s="29">
        <f t="shared" si="109"/>
        <v>-0.14000000000000032</v>
      </c>
      <c r="N1785" s="30">
        <f t="shared" si="110"/>
        <v>0.58052174244314403</v>
      </c>
      <c r="O1785" s="31">
        <f t="shared" si="111"/>
        <v>0.90751915531716065</v>
      </c>
    </row>
    <row r="1786" spans="1:15" x14ac:dyDescent="0.25">
      <c r="A1786" t="s">
        <v>7523</v>
      </c>
      <c r="B1786" t="s">
        <v>3571</v>
      </c>
      <c r="C1786" s="3" t="s">
        <v>3572</v>
      </c>
      <c r="D1786" s="24">
        <v>0.26247599999999999</v>
      </c>
      <c r="E1786" s="25">
        <v>8.5869999999999997</v>
      </c>
      <c r="F1786" s="25">
        <v>8.6359999999999992</v>
      </c>
      <c r="G1786" s="26">
        <v>-4.9270000000000001E-2</v>
      </c>
      <c r="H1786" s="27">
        <v>3.9849999999999997E-2</v>
      </c>
      <c r="I1786" s="26">
        <v>1.2370000000000001</v>
      </c>
      <c r="J1786" s="28">
        <v>6</v>
      </c>
      <c r="K1786" s="27">
        <v>0.40632600000000002</v>
      </c>
      <c r="L1786" s="29">
        <f t="shared" si="108"/>
        <v>0.39112538713640804</v>
      </c>
      <c r="M1786" s="29">
        <f t="shared" si="109"/>
        <v>-4.8999999999998947E-2</v>
      </c>
      <c r="N1786" s="30">
        <f t="shared" si="110"/>
        <v>0.58091040099736835</v>
      </c>
      <c r="O1786" s="31">
        <f t="shared" si="111"/>
        <v>0.96660609706497391</v>
      </c>
    </row>
    <row r="1787" spans="1:15" x14ac:dyDescent="0.25">
      <c r="A1787" t="s">
        <v>7524</v>
      </c>
      <c r="B1787" t="s">
        <v>3573</v>
      </c>
      <c r="C1787" s="3" t="s">
        <v>3574</v>
      </c>
      <c r="D1787" s="24">
        <v>0.26260299999999998</v>
      </c>
      <c r="E1787" s="25">
        <v>7.5250000000000004</v>
      </c>
      <c r="F1787" s="25">
        <v>6.2590000000000003</v>
      </c>
      <c r="G1787" s="26">
        <v>1.2669999999999999</v>
      </c>
      <c r="H1787" s="27">
        <v>1.0249999999999999</v>
      </c>
      <c r="I1787" s="26">
        <v>1.236</v>
      </c>
      <c r="J1787" s="28">
        <v>6</v>
      </c>
      <c r="K1787" s="27">
        <v>0.40632600000000002</v>
      </c>
      <c r="L1787" s="29">
        <f t="shared" si="108"/>
        <v>0.39112538713640804</v>
      </c>
      <c r="M1787" s="29">
        <f t="shared" si="109"/>
        <v>1.2659999999999998</v>
      </c>
      <c r="N1787" s="30">
        <f t="shared" si="110"/>
        <v>0.5807003167994581</v>
      </c>
      <c r="O1787" s="31">
        <f t="shared" si="111"/>
        <v>2.4049384977963548</v>
      </c>
    </row>
    <row r="1788" spans="1:15" x14ac:dyDescent="0.25">
      <c r="A1788" t="s">
        <v>7525</v>
      </c>
      <c r="B1788" t="s">
        <v>3577</v>
      </c>
      <c r="C1788" s="3" t="s">
        <v>3578</v>
      </c>
      <c r="D1788" s="24">
        <v>0.26365499999999997</v>
      </c>
      <c r="E1788" s="25">
        <v>7.3920000000000003</v>
      </c>
      <c r="F1788" s="25">
        <v>7.1059999999999999</v>
      </c>
      <c r="G1788" s="26">
        <v>0.28620000000000001</v>
      </c>
      <c r="H1788" s="27">
        <v>0.2321</v>
      </c>
      <c r="I1788" s="26">
        <v>1.2330000000000001</v>
      </c>
      <c r="J1788" s="28">
        <v>6</v>
      </c>
      <c r="K1788" s="27">
        <v>0.407559</v>
      </c>
      <c r="L1788" s="29">
        <f t="shared" si="108"/>
        <v>0.38980951202911462</v>
      </c>
      <c r="M1788" s="29">
        <f t="shared" si="109"/>
        <v>0.28600000000000075</v>
      </c>
      <c r="N1788" s="30">
        <f t="shared" si="110"/>
        <v>0.57896398821713946</v>
      </c>
      <c r="O1788" s="31">
        <f t="shared" si="111"/>
        <v>1.2192550940763038</v>
      </c>
    </row>
    <row r="1789" spans="1:15" x14ac:dyDescent="0.25">
      <c r="A1789" t="s">
        <v>7526</v>
      </c>
      <c r="B1789" t="s">
        <v>3579</v>
      </c>
      <c r="C1789" s="3" t="s">
        <v>3580</v>
      </c>
      <c r="D1789" s="24">
        <v>0.263957</v>
      </c>
      <c r="E1789" s="25">
        <v>8.1820000000000004</v>
      </c>
      <c r="F1789" s="25">
        <v>7.9029999999999996</v>
      </c>
      <c r="G1789" s="26">
        <v>0.27889999999999998</v>
      </c>
      <c r="H1789" s="27">
        <v>0.22639999999999999</v>
      </c>
      <c r="I1789" s="26">
        <v>1.232</v>
      </c>
      <c r="J1789" s="28">
        <v>6</v>
      </c>
      <c r="K1789" s="27">
        <v>0.40779799999999999</v>
      </c>
      <c r="L1789" s="29">
        <f t="shared" si="108"/>
        <v>0.38955490850170843</v>
      </c>
      <c r="M1789" s="29">
        <f t="shared" si="109"/>
        <v>0.27900000000000008</v>
      </c>
      <c r="N1789" s="30">
        <f t="shared" si="110"/>
        <v>0.57846681625039698</v>
      </c>
      <c r="O1789" s="31">
        <f t="shared" si="111"/>
        <v>1.2133535602486929</v>
      </c>
    </row>
    <row r="1790" spans="1:15" x14ac:dyDescent="0.25">
      <c r="A1790" t="s">
        <v>7527</v>
      </c>
      <c r="B1790" t="s">
        <v>3581</v>
      </c>
      <c r="C1790" s="3" t="s">
        <v>3582</v>
      </c>
      <c r="D1790" s="24">
        <v>0.26424900000000001</v>
      </c>
      <c r="E1790" s="25">
        <v>10.66</v>
      </c>
      <c r="F1790" s="25">
        <v>10.56</v>
      </c>
      <c r="G1790" s="26">
        <v>9.5390000000000003E-2</v>
      </c>
      <c r="H1790" s="27">
        <v>7.7469999999999997E-2</v>
      </c>
      <c r="I1790" s="26">
        <v>1.2310000000000001</v>
      </c>
      <c r="J1790" s="28">
        <v>6</v>
      </c>
      <c r="K1790" s="27">
        <v>0.40801999999999999</v>
      </c>
      <c r="L1790" s="29">
        <f t="shared" si="108"/>
        <v>0.3893185484866995</v>
      </c>
      <c r="M1790" s="29">
        <f t="shared" si="109"/>
        <v>9.999999999999995E-2</v>
      </c>
      <c r="N1790" s="30">
        <f t="shared" si="110"/>
        <v>0.57798664752215823</v>
      </c>
      <c r="O1790" s="31">
        <f t="shared" si="111"/>
        <v>1.0717734625362931</v>
      </c>
    </row>
    <row r="1791" spans="1:15" x14ac:dyDescent="0.25">
      <c r="A1791" t="s">
        <v>7528</v>
      </c>
      <c r="B1791" t="s">
        <v>3583</v>
      </c>
      <c r="C1791" s="3" t="s">
        <v>3584</v>
      </c>
      <c r="D1791" s="24">
        <v>0.26459500000000002</v>
      </c>
      <c r="E1791" s="25">
        <v>9.8659999999999997</v>
      </c>
      <c r="F1791" s="25">
        <v>10.07</v>
      </c>
      <c r="G1791" s="26">
        <v>-0.2082</v>
      </c>
      <c r="H1791" s="27">
        <v>0.16919999999999999</v>
      </c>
      <c r="I1791" s="26">
        <v>1.23</v>
      </c>
      <c r="J1791" s="28">
        <v>6</v>
      </c>
      <c r="K1791" s="27">
        <v>0.40832600000000002</v>
      </c>
      <c r="L1791" s="29">
        <f t="shared" si="108"/>
        <v>0.38899296566351782</v>
      </c>
      <c r="M1791" s="29">
        <f t="shared" si="109"/>
        <v>-0.20400000000000043</v>
      </c>
      <c r="N1791" s="30">
        <f t="shared" si="110"/>
        <v>0.57741836684891967</v>
      </c>
      <c r="O1791" s="31">
        <f t="shared" si="111"/>
        <v>0.86814022760104259</v>
      </c>
    </row>
    <row r="1792" spans="1:15" x14ac:dyDescent="0.25">
      <c r="A1792" t="s">
        <v>7529</v>
      </c>
      <c r="B1792" t="s">
        <v>3587</v>
      </c>
      <c r="C1792" s="3" t="s">
        <v>3588</v>
      </c>
      <c r="D1792" s="24">
        <v>0.26530599999999999</v>
      </c>
      <c r="E1792" s="25">
        <v>11.16</v>
      </c>
      <c r="F1792" s="25">
        <v>11.39</v>
      </c>
      <c r="G1792" s="26">
        <v>-0.2235</v>
      </c>
      <c r="H1792" s="27">
        <v>0.182</v>
      </c>
      <c r="I1792" s="26">
        <v>1.228</v>
      </c>
      <c r="J1792" s="28">
        <v>6</v>
      </c>
      <c r="K1792" s="27">
        <v>0.40896700000000002</v>
      </c>
      <c r="L1792" s="29">
        <f t="shared" si="108"/>
        <v>0.38831173428143162</v>
      </c>
      <c r="M1792" s="29">
        <f t="shared" si="109"/>
        <v>-0.23000000000000004</v>
      </c>
      <c r="N1792" s="30">
        <f t="shared" si="110"/>
        <v>0.57625292816533014</v>
      </c>
      <c r="O1792" s="31">
        <f t="shared" si="111"/>
        <v>0.8526348917679567</v>
      </c>
    </row>
    <row r="1793" spans="1:15" x14ac:dyDescent="0.25">
      <c r="A1793" t="s">
        <v>7530</v>
      </c>
      <c r="B1793" t="s">
        <v>3585</v>
      </c>
      <c r="C1793" s="3" t="s">
        <v>3586</v>
      </c>
      <c r="D1793" s="24">
        <v>0.26522899999999999</v>
      </c>
      <c r="E1793" s="25">
        <v>7.2690000000000001</v>
      </c>
      <c r="F1793" s="25">
        <v>7.5449999999999999</v>
      </c>
      <c r="G1793" s="26">
        <v>-0.27539999999999998</v>
      </c>
      <c r="H1793" s="27">
        <v>0.22420000000000001</v>
      </c>
      <c r="I1793" s="26">
        <v>1.2290000000000001</v>
      </c>
      <c r="J1793" s="28">
        <v>6</v>
      </c>
      <c r="K1793" s="27">
        <v>0.40896700000000002</v>
      </c>
      <c r="L1793" s="29">
        <f t="shared" si="108"/>
        <v>0.38831173428143162</v>
      </c>
      <c r="M1793" s="29">
        <f t="shared" si="109"/>
        <v>-0.27600000000000002</v>
      </c>
      <c r="N1793" s="30">
        <f t="shared" si="110"/>
        <v>0.57637899213977617</v>
      </c>
      <c r="O1793" s="31">
        <f t="shared" si="111"/>
        <v>0.8258776649357199</v>
      </c>
    </row>
    <row r="1794" spans="1:15" x14ac:dyDescent="0.25">
      <c r="A1794" t="s">
        <v>7531</v>
      </c>
      <c r="B1794" t="s">
        <v>3589</v>
      </c>
      <c r="C1794" s="3" t="s">
        <v>3590</v>
      </c>
      <c r="D1794" s="24">
        <v>0.26557199999999997</v>
      </c>
      <c r="E1794" s="25">
        <v>11.85</v>
      </c>
      <c r="F1794" s="25">
        <v>12.03</v>
      </c>
      <c r="G1794" s="26">
        <v>-0.17430000000000001</v>
      </c>
      <c r="H1794" s="27">
        <v>0.14199999999999999</v>
      </c>
      <c r="I1794" s="26">
        <v>1.228</v>
      </c>
      <c r="J1794" s="28">
        <v>6</v>
      </c>
      <c r="K1794" s="27">
        <v>0.40914899999999998</v>
      </c>
      <c r="L1794" s="29">
        <f t="shared" ref="L1794:L1857" si="112">-LOG(K1794,10)</f>
        <v>0.38811850594459357</v>
      </c>
      <c r="M1794" s="29">
        <f t="shared" ref="M1794:M1857" si="113">LOG(O1794,2)</f>
        <v>-0.1799999999999993</v>
      </c>
      <c r="N1794" s="30">
        <f t="shared" ref="N1794:N1857" si="114">-LOG(D1794,10)</f>
        <v>0.57581771577433316</v>
      </c>
      <c r="O1794" s="31">
        <f t="shared" ref="O1794:O1857" si="115">((2^E1794)/(2^F1794))</f>
        <v>0.8827029962906553</v>
      </c>
    </row>
    <row r="1795" spans="1:15" x14ac:dyDescent="0.25">
      <c r="A1795" t="s">
        <v>7532</v>
      </c>
      <c r="B1795" t="s">
        <v>3591</v>
      </c>
      <c r="C1795" s="3" t="s">
        <v>3592</v>
      </c>
      <c r="D1795" s="24">
        <v>0.26575900000000002</v>
      </c>
      <c r="E1795" s="25">
        <v>10.51</v>
      </c>
      <c r="F1795" s="25">
        <v>10.26</v>
      </c>
      <c r="G1795" s="26">
        <v>0.24260000000000001</v>
      </c>
      <c r="H1795" s="27">
        <v>0.19769999999999999</v>
      </c>
      <c r="I1795" s="26">
        <v>1.2270000000000001</v>
      </c>
      <c r="J1795" s="28">
        <v>6</v>
      </c>
      <c r="K1795" s="27">
        <v>0.40920800000000002</v>
      </c>
      <c r="L1795" s="29">
        <f t="shared" si="112"/>
        <v>0.3880558844371666</v>
      </c>
      <c r="M1795" s="29">
        <f t="shared" si="113"/>
        <v>0.24999999999999944</v>
      </c>
      <c r="N1795" s="30">
        <f t="shared" si="114"/>
        <v>0.57551201905620786</v>
      </c>
      <c r="O1795" s="31">
        <f t="shared" si="115"/>
        <v>1.1892071150027206</v>
      </c>
    </row>
    <row r="1796" spans="1:15" x14ac:dyDescent="0.25">
      <c r="A1796" t="s">
        <v>7533</v>
      </c>
      <c r="B1796" t="s">
        <v>3593</v>
      </c>
      <c r="C1796" s="3" t="s">
        <v>3594</v>
      </c>
      <c r="D1796" s="24">
        <v>0.266181</v>
      </c>
      <c r="E1796" s="25">
        <v>9.6359999999999992</v>
      </c>
      <c r="F1796" s="25">
        <v>9.9169999999999998</v>
      </c>
      <c r="G1796" s="26">
        <v>-0.28029999999999999</v>
      </c>
      <c r="H1796" s="27">
        <v>0.2286</v>
      </c>
      <c r="I1796" s="26">
        <v>1.226</v>
      </c>
      <c r="J1796" s="28">
        <v>6</v>
      </c>
      <c r="K1796" s="27">
        <v>0.40955900000000001</v>
      </c>
      <c r="L1796" s="29">
        <f t="shared" si="112"/>
        <v>0.38768352606784723</v>
      </c>
      <c r="M1796" s="29">
        <f t="shared" si="113"/>
        <v>-0.28100000000000086</v>
      </c>
      <c r="N1796" s="30">
        <f t="shared" si="114"/>
        <v>0.57482294769548559</v>
      </c>
      <c r="O1796" s="31">
        <f t="shared" si="115"/>
        <v>0.8230203452787076</v>
      </c>
    </row>
    <row r="1797" spans="1:15" x14ac:dyDescent="0.25">
      <c r="A1797" t="s">
        <v>7534</v>
      </c>
      <c r="B1797" t="s">
        <v>3595</v>
      </c>
      <c r="C1797" s="3" t="s">
        <v>3596</v>
      </c>
      <c r="D1797" s="24">
        <v>0.26642700000000002</v>
      </c>
      <c r="E1797" s="25">
        <v>7.9729999999999999</v>
      </c>
      <c r="F1797" s="25">
        <v>8.2620000000000005</v>
      </c>
      <c r="G1797" s="26">
        <v>-0.28870000000000001</v>
      </c>
      <c r="H1797" s="27">
        <v>0.2356</v>
      </c>
      <c r="I1797" s="26">
        <v>1.2250000000000001</v>
      </c>
      <c r="J1797" s="28">
        <v>6</v>
      </c>
      <c r="K1797" s="27">
        <v>0.40955900000000001</v>
      </c>
      <c r="L1797" s="29">
        <f t="shared" si="112"/>
        <v>0.38768352606784723</v>
      </c>
      <c r="M1797" s="29">
        <f t="shared" si="113"/>
        <v>-0.28900000000000042</v>
      </c>
      <c r="N1797" s="30">
        <f t="shared" si="114"/>
        <v>0.57442176539951784</v>
      </c>
      <c r="O1797" s="31">
        <f t="shared" si="115"/>
        <v>0.81846918159080373</v>
      </c>
    </row>
    <row r="1798" spans="1:15" x14ac:dyDescent="0.25">
      <c r="A1798" t="s">
        <v>7535</v>
      </c>
      <c r="B1798" t="s">
        <v>3597</v>
      </c>
      <c r="C1798" s="3" t="s">
        <v>3598</v>
      </c>
      <c r="D1798" s="24">
        <v>0.26643099999999997</v>
      </c>
      <c r="E1798" s="25">
        <v>10.220000000000001</v>
      </c>
      <c r="F1798" s="25">
        <v>10.36</v>
      </c>
      <c r="G1798" s="26">
        <v>-0.14530000000000001</v>
      </c>
      <c r="H1798" s="27">
        <v>0.1186</v>
      </c>
      <c r="I1798" s="26">
        <v>1.2250000000000001</v>
      </c>
      <c r="J1798" s="28">
        <v>6</v>
      </c>
      <c r="K1798" s="27">
        <v>0.40955900000000001</v>
      </c>
      <c r="L1798" s="29">
        <f t="shared" si="112"/>
        <v>0.38768352606784723</v>
      </c>
      <c r="M1798" s="29">
        <f t="shared" si="113"/>
        <v>-0.13999999999999785</v>
      </c>
      <c r="N1798" s="30">
        <f t="shared" si="114"/>
        <v>0.57441524517113574</v>
      </c>
      <c r="O1798" s="31">
        <f t="shared" si="115"/>
        <v>0.90751915531716221</v>
      </c>
    </row>
    <row r="1799" spans="1:15" x14ac:dyDescent="0.25">
      <c r="A1799" t="s">
        <v>7536</v>
      </c>
      <c r="B1799" t="s">
        <v>3599</v>
      </c>
      <c r="C1799" s="3" t="s">
        <v>3600</v>
      </c>
      <c r="D1799" s="24">
        <v>0.266878</v>
      </c>
      <c r="E1799" s="25">
        <v>9.7240000000000002</v>
      </c>
      <c r="F1799" s="25">
        <v>9.7989999999999995</v>
      </c>
      <c r="G1799" s="26">
        <v>-7.5560000000000002E-2</v>
      </c>
      <c r="H1799" s="27">
        <v>6.1740000000000003E-2</v>
      </c>
      <c r="I1799" s="26">
        <v>1.224</v>
      </c>
      <c r="J1799" s="28">
        <v>6</v>
      </c>
      <c r="K1799" s="27">
        <v>0.40983900000000001</v>
      </c>
      <c r="L1799" s="29">
        <f t="shared" si="112"/>
        <v>0.3873867168013711</v>
      </c>
      <c r="M1799" s="29">
        <f t="shared" si="113"/>
        <v>-7.499999999999972E-2</v>
      </c>
      <c r="N1799" s="30">
        <f t="shared" si="114"/>
        <v>0.5736872256594806</v>
      </c>
      <c r="O1799" s="31">
        <f t="shared" si="115"/>
        <v>0.9493421209505194</v>
      </c>
    </row>
    <row r="1800" spans="1:15" x14ac:dyDescent="0.25">
      <c r="A1800" t="s">
        <v>7537</v>
      </c>
      <c r="B1800" t="s">
        <v>3601</v>
      </c>
      <c r="C1800" s="3" t="s">
        <v>3602</v>
      </c>
      <c r="D1800" s="24">
        <v>0.26691100000000001</v>
      </c>
      <c r="E1800" s="25">
        <v>6.94</v>
      </c>
      <c r="F1800" s="25">
        <v>6.6479999999999997</v>
      </c>
      <c r="G1800" s="26">
        <v>0.2923</v>
      </c>
      <c r="H1800" s="27">
        <v>0.23880000000000001</v>
      </c>
      <c r="I1800" s="26">
        <v>1.224</v>
      </c>
      <c r="J1800" s="28">
        <v>6</v>
      </c>
      <c r="K1800" s="27">
        <v>0.40983900000000001</v>
      </c>
      <c r="L1800" s="29">
        <f t="shared" si="112"/>
        <v>0.3873867168013711</v>
      </c>
      <c r="M1800" s="29">
        <f t="shared" si="113"/>
        <v>0.29200000000000076</v>
      </c>
      <c r="N1800" s="30">
        <f t="shared" si="114"/>
        <v>0.57363352759556008</v>
      </c>
      <c r="O1800" s="31">
        <f t="shared" si="115"/>
        <v>1.2243363924002051</v>
      </c>
    </row>
    <row r="1801" spans="1:15" x14ac:dyDescent="0.25">
      <c r="A1801" t="s">
        <v>7538</v>
      </c>
      <c r="B1801" t="s">
        <v>3603</v>
      </c>
      <c r="C1801" s="3" t="s">
        <v>3604</v>
      </c>
      <c r="D1801" s="24">
        <v>0.26713199999999998</v>
      </c>
      <c r="E1801" s="25">
        <v>10.79</v>
      </c>
      <c r="F1801" s="25">
        <v>10.57</v>
      </c>
      <c r="G1801" s="26">
        <v>0.21310000000000001</v>
      </c>
      <c r="H1801" s="27">
        <v>0.17419999999999999</v>
      </c>
      <c r="I1801" s="26">
        <v>1.2230000000000001</v>
      </c>
      <c r="J1801" s="28">
        <v>6</v>
      </c>
      <c r="K1801" s="27">
        <v>0.40995100000000001</v>
      </c>
      <c r="L1801" s="29">
        <f t="shared" si="112"/>
        <v>0.38726804986892299</v>
      </c>
      <c r="M1801" s="29">
        <f t="shared" si="113"/>
        <v>0.21999999999999809</v>
      </c>
      <c r="N1801" s="30">
        <f t="shared" si="114"/>
        <v>0.57327408430736249</v>
      </c>
      <c r="O1801" s="31">
        <f t="shared" si="115"/>
        <v>1.1647335864684543</v>
      </c>
    </row>
    <row r="1802" spans="1:15" x14ac:dyDescent="0.25">
      <c r="A1802" t="s">
        <v>7539</v>
      </c>
      <c r="B1802" t="s">
        <v>3607</v>
      </c>
      <c r="C1802" s="3" t="s">
        <v>3608</v>
      </c>
      <c r="D1802" s="24">
        <v>0.26755699999999999</v>
      </c>
      <c r="E1802" s="25">
        <v>12.2</v>
      </c>
      <c r="F1802" s="25">
        <v>11.91</v>
      </c>
      <c r="G1802" s="26">
        <v>0.28949999999999998</v>
      </c>
      <c r="H1802" s="27">
        <v>0.2369</v>
      </c>
      <c r="I1802" s="26">
        <v>1.222</v>
      </c>
      <c r="J1802" s="28">
        <v>6</v>
      </c>
      <c r="K1802" s="27">
        <v>0.40995300000000001</v>
      </c>
      <c r="L1802" s="29">
        <f t="shared" si="112"/>
        <v>0.38726593111120555</v>
      </c>
      <c r="M1802" s="29">
        <f t="shared" si="113"/>
        <v>0.28999999999999965</v>
      </c>
      <c r="N1802" s="30">
        <f t="shared" si="114"/>
        <v>0.57258368224680001</v>
      </c>
      <c r="O1802" s="31">
        <f t="shared" si="115"/>
        <v>1.2226402776920682</v>
      </c>
    </row>
    <row r="1803" spans="1:15" x14ac:dyDescent="0.25">
      <c r="A1803" t="s">
        <v>7540</v>
      </c>
      <c r="B1803" t="s">
        <v>3605</v>
      </c>
      <c r="C1803" s="3" t="s">
        <v>3606</v>
      </c>
      <c r="D1803" s="24">
        <v>0.26737300000000003</v>
      </c>
      <c r="E1803" s="25">
        <v>8.6920000000000002</v>
      </c>
      <c r="F1803" s="25">
        <v>8.8680000000000003</v>
      </c>
      <c r="G1803" s="26">
        <v>-0.1764</v>
      </c>
      <c r="H1803" s="27">
        <v>0.14430000000000001</v>
      </c>
      <c r="I1803" s="26">
        <v>1.222</v>
      </c>
      <c r="J1803" s="28">
        <v>6</v>
      </c>
      <c r="K1803" s="27">
        <v>0.40995300000000001</v>
      </c>
      <c r="L1803" s="29">
        <f t="shared" si="112"/>
        <v>0.38726593111120555</v>
      </c>
      <c r="M1803" s="29">
        <f t="shared" si="113"/>
        <v>-0.17600000000000018</v>
      </c>
      <c r="N1803" s="30">
        <f t="shared" si="114"/>
        <v>0.57288245101214019</v>
      </c>
      <c r="O1803" s="31">
        <f t="shared" si="115"/>
        <v>0.88515376457954498</v>
      </c>
    </row>
    <row r="1804" spans="1:15" x14ac:dyDescent="0.25">
      <c r="A1804" t="s">
        <v>7541</v>
      </c>
      <c r="B1804" t="s">
        <v>3609</v>
      </c>
      <c r="C1804" s="3" t="s">
        <v>3610</v>
      </c>
      <c r="D1804" s="24">
        <v>0.26757799999999998</v>
      </c>
      <c r="E1804" s="25">
        <v>12.01</v>
      </c>
      <c r="F1804" s="25">
        <v>12.31</v>
      </c>
      <c r="G1804" s="26">
        <v>-0.30780000000000002</v>
      </c>
      <c r="H1804" s="27">
        <v>0.25190000000000001</v>
      </c>
      <c r="I1804" s="26">
        <v>1.222</v>
      </c>
      <c r="J1804" s="28">
        <v>6</v>
      </c>
      <c r="K1804" s="27">
        <v>0.40995300000000001</v>
      </c>
      <c r="L1804" s="29">
        <f t="shared" si="112"/>
        <v>0.38726593111120555</v>
      </c>
      <c r="M1804" s="29">
        <f t="shared" si="113"/>
        <v>-0.29999999999999855</v>
      </c>
      <c r="N1804" s="30">
        <f t="shared" si="114"/>
        <v>0.57254959670156513</v>
      </c>
      <c r="O1804" s="31">
        <f t="shared" si="115"/>
        <v>0.81225239635623636</v>
      </c>
    </row>
    <row r="1805" spans="1:15" x14ac:dyDescent="0.25">
      <c r="A1805" t="s">
        <v>7542</v>
      </c>
      <c r="B1805" t="s">
        <v>3611</v>
      </c>
      <c r="C1805" s="3" t="s">
        <v>3612</v>
      </c>
      <c r="D1805" s="24">
        <v>0.26778600000000002</v>
      </c>
      <c r="E1805" s="25">
        <v>10.67</v>
      </c>
      <c r="F1805" s="25">
        <v>10.54</v>
      </c>
      <c r="G1805" s="26">
        <v>0.12659999999999999</v>
      </c>
      <c r="H1805" s="27">
        <v>0.1037</v>
      </c>
      <c r="I1805" s="26">
        <v>1.2210000000000001</v>
      </c>
      <c r="J1805" s="28">
        <v>6</v>
      </c>
      <c r="K1805" s="27">
        <v>0.41004400000000002</v>
      </c>
      <c r="L1805" s="29">
        <f t="shared" si="112"/>
        <v>0.3871695385682683</v>
      </c>
      <c r="M1805" s="29">
        <f t="shared" si="113"/>
        <v>0.13000000000000136</v>
      </c>
      <c r="N1805" s="30">
        <f t="shared" si="114"/>
        <v>0.57221213188592146</v>
      </c>
      <c r="O1805" s="31">
        <f t="shared" si="115"/>
        <v>1.0942937012607405</v>
      </c>
    </row>
    <row r="1806" spans="1:15" x14ac:dyDescent="0.25">
      <c r="A1806" t="s">
        <v>7543</v>
      </c>
      <c r="B1806" t="s">
        <v>3613</v>
      </c>
      <c r="C1806" s="3" t="s">
        <v>3614</v>
      </c>
      <c r="D1806" s="24">
        <v>0.26808500000000002</v>
      </c>
      <c r="E1806" s="25">
        <v>8.6620000000000008</v>
      </c>
      <c r="F1806" s="25">
        <v>9.0169999999999995</v>
      </c>
      <c r="G1806" s="26">
        <v>-0.35460000000000003</v>
      </c>
      <c r="H1806" s="27">
        <v>0.29060000000000002</v>
      </c>
      <c r="I1806" s="26">
        <v>1.22</v>
      </c>
      <c r="J1806" s="28">
        <v>6</v>
      </c>
      <c r="K1806" s="27">
        <v>0.41027400000000003</v>
      </c>
      <c r="L1806" s="29">
        <f t="shared" si="112"/>
        <v>0.38692600439382563</v>
      </c>
      <c r="M1806" s="29">
        <f t="shared" si="113"/>
        <v>-0.35499999999999887</v>
      </c>
      <c r="N1806" s="30">
        <f t="shared" si="114"/>
        <v>0.57172748515726879</v>
      </c>
      <c r="O1806" s="31">
        <f t="shared" si="115"/>
        <v>0.78186964312859419</v>
      </c>
    </row>
    <row r="1807" spans="1:15" x14ac:dyDescent="0.25">
      <c r="A1807" t="s">
        <v>7544</v>
      </c>
      <c r="B1807" t="s">
        <v>3615</v>
      </c>
      <c r="C1807" s="3" t="s">
        <v>3616</v>
      </c>
      <c r="D1807" s="24">
        <v>0.26827099999999998</v>
      </c>
      <c r="E1807" s="25">
        <v>13.37</v>
      </c>
      <c r="F1807" s="25">
        <v>13.21</v>
      </c>
      <c r="G1807" s="26">
        <v>0.15529999999999999</v>
      </c>
      <c r="H1807" s="27">
        <v>0.1273</v>
      </c>
      <c r="I1807" s="26">
        <v>1.22</v>
      </c>
      <c r="J1807" s="28">
        <v>6</v>
      </c>
      <c r="K1807" s="27">
        <v>0.41033199999999997</v>
      </c>
      <c r="L1807" s="29">
        <f t="shared" si="112"/>
        <v>0.38686461298310648</v>
      </c>
      <c r="M1807" s="29">
        <f t="shared" si="113"/>
        <v>0.15999999999999864</v>
      </c>
      <c r="N1807" s="30">
        <f t="shared" si="114"/>
        <v>0.57142627187030215</v>
      </c>
      <c r="O1807" s="31">
        <f t="shared" si="115"/>
        <v>1.1172871380722189</v>
      </c>
    </row>
    <row r="1808" spans="1:15" x14ac:dyDescent="0.25">
      <c r="A1808" t="s">
        <v>7545</v>
      </c>
      <c r="B1808" t="s">
        <v>3617</v>
      </c>
      <c r="C1808" s="3" t="s">
        <v>3618</v>
      </c>
      <c r="D1808" s="24">
        <v>0.26951199999999997</v>
      </c>
      <c r="E1808" s="25">
        <v>8.6980000000000004</v>
      </c>
      <c r="F1808" s="25">
        <v>8.4879999999999995</v>
      </c>
      <c r="G1808" s="26">
        <v>0.2092</v>
      </c>
      <c r="H1808" s="27">
        <v>0.17199999999999999</v>
      </c>
      <c r="I1808" s="26">
        <v>1.216</v>
      </c>
      <c r="J1808" s="28">
        <v>6</v>
      </c>
      <c r="K1808" s="27">
        <v>0.41200100000000001</v>
      </c>
      <c r="L1808" s="29">
        <f t="shared" si="112"/>
        <v>0.38510172985532448</v>
      </c>
      <c r="M1808" s="29">
        <f t="shared" si="113"/>
        <v>0.21000000000000021</v>
      </c>
      <c r="N1808" s="30">
        <f t="shared" si="114"/>
        <v>0.56942189312006419</v>
      </c>
      <c r="O1808" s="31">
        <f t="shared" si="115"/>
        <v>1.1566881839052876</v>
      </c>
    </row>
    <row r="1809" spans="1:15" x14ac:dyDescent="0.25">
      <c r="A1809" t="s">
        <v>7546</v>
      </c>
      <c r="B1809" t="s">
        <v>3619</v>
      </c>
      <c r="C1809" s="3" t="s">
        <v>3620</v>
      </c>
      <c r="D1809" s="24">
        <v>0.27079900000000001</v>
      </c>
      <c r="E1809" s="25">
        <v>10.4</v>
      </c>
      <c r="F1809" s="25">
        <v>10.31</v>
      </c>
      <c r="G1809" s="26">
        <v>8.3589999999999998E-2</v>
      </c>
      <c r="H1809" s="27">
        <v>6.8930000000000005E-2</v>
      </c>
      <c r="I1809" s="26">
        <v>1.2130000000000001</v>
      </c>
      <c r="J1809" s="28">
        <v>6</v>
      </c>
      <c r="K1809" s="27">
        <v>0.41374</v>
      </c>
      <c r="L1809" s="29">
        <f t="shared" si="112"/>
        <v>0.38327248988644258</v>
      </c>
      <c r="M1809" s="29">
        <f t="shared" si="113"/>
        <v>8.9999999999999566E-2</v>
      </c>
      <c r="N1809" s="30">
        <f t="shared" si="114"/>
        <v>0.56735294373609479</v>
      </c>
      <c r="O1809" s="31">
        <f t="shared" si="115"/>
        <v>1.0643701824533596</v>
      </c>
    </row>
    <row r="1810" spans="1:15" x14ac:dyDescent="0.25">
      <c r="A1810" t="s">
        <v>7547</v>
      </c>
      <c r="B1810" t="s">
        <v>3621</v>
      </c>
      <c r="C1810" s="3" t="s">
        <v>3622</v>
      </c>
      <c r="D1810" s="24">
        <v>0.27265299999999998</v>
      </c>
      <c r="E1810" s="25">
        <v>7.4409999999999998</v>
      </c>
      <c r="F1810" s="25">
        <v>7.2720000000000002</v>
      </c>
      <c r="G1810" s="26">
        <v>0.16889999999999999</v>
      </c>
      <c r="H1810" s="27">
        <v>0.1399</v>
      </c>
      <c r="I1810" s="26">
        <v>1.208</v>
      </c>
      <c r="J1810" s="28">
        <v>6</v>
      </c>
      <c r="K1810" s="27">
        <v>0.41634300000000002</v>
      </c>
      <c r="L1810" s="29">
        <f t="shared" si="112"/>
        <v>0.38054873276365031</v>
      </c>
      <c r="M1810" s="29">
        <f t="shared" si="113"/>
        <v>0.16899999999999865</v>
      </c>
      <c r="N1810" s="30">
        <f t="shared" si="114"/>
        <v>0.56438971941021376</v>
      </c>
      <c r="O1810" s="31">
        <f t="shared" si="115"/>
        <v>1.1242789237786166</v>
      </c>
    </row>
    <row r="1811" spans="1:15" x14ac:dyDescent="0.25">
      <c r="A1811" t="s">
        <v>7548</v>
      </c>
      <c r="B1811" t="s">
        <v>3623</v>
      </c>
      <c r="C1811" s="3" t="s">
        <v>3624</v>
      </c>
      <c r="D1811" s="24">
        <v>0.27376800000000001</v>
      </c>
      <c r="E1811" s="25">
        <v>10.4</v>
      </c>
      <c r="F1811" s="25">
        <v>10.53</v>
      </c>
      <c r="G1811" s="26">
        <v>-0.123</v>
      </c>
      <c r="H1811" s="27">
        <v>0.1021</v>
      </c>
      <c r="I1811" s="26">
        <v>1.204</v>
      </c>
      <c r="J1811" s="28">
        <v>6</v>
      </c>
      <c r="K1811" s="27">
        <v>0.41762300000000002</v>
      </c>
      <c r="L1811" s="29">
        <f t="shared" si="112"/>
        <v>0.37921559118869669</v>
      </c>
      <c r="M1811" s="29">
        <f t="shared" si="113"/>
        <v>-0.1299999999999987</v>
      </c>
      <c r="N1811" s="30">
        <f t="shared" si="114"/>
        <v>0.56261731674112792</v>
      </c>
      <c r="O1811" s="31">
        <f t="shared" si="115"/>
        <v>0.91383145022940138</v>
      </c>
    </row>
    <row r="1812" spans="1:15" x14ac:dyDescent="0.25">
      <c r="A1812" t="s">
        <v>7549</v>
      </c>
      <c r="B1812" t="s">
        <v>3625</v>
      </c>
      <c r="C1812" s="3" t="s">
        <v>3626</v>
      </c>
      <c r="D1812" s="24">
        <v>0.27379399999999998</v>
      </c>
      <c r="E1812" s="25">
        <v>7.8529999999999998</v>
      </c>
      <c r="F1812" s="25">
        <v>7.3940000000000001</v>
      </c>
      <c r="G1812" s="26">
        <v>0.45929999999999999</v>
      </c>
      <c r="H1812" s="27">
        <v>0.38129999999999997</v>
      </c>
      <c r="I1812" s="26">
        <v>1.204</v>
      </c>
      <c r="J1812" s="28">
        <v>6</v>
      </c>
      <c r="K1812" s="27">
        <v>0.41762300000000002</v>
      </c>
      <c r="L1812" s="29">
        <f t="shared" si="112"/>
        <v>0.37921559118869669</v>
      </c>
      <c r="M1812" s="29">
        <f t="shared" si="113"/>
        <v>0.4589999999999993</v>
      </c>
      <c r="N1812" s="30">
        <f t="shared" si="114"/>
        <v>0.56257607335119952</v>
      </c>
      <c r="O1812" s="31">
        <f t="shared" si="115"/>
        <v>1.3745886955720283</v>
      </c>
    </row>
    <row r="1813" spans="1:15" x14ac:dyDescent="0.25">
      <c r="A1813" t="s">
        <v>7550</v>
      </c>
      <c r="B1813" t="s">
        <v>3627</v>
      </c>
      <c r="C1813" s="3" t="s">
        <v>3628</v>
      </c>
      <c r="D1813" s="24">
        <v>0.274092</v>
      </c>
      <c r="E1813" s="25">
        <v>9.6069999999999993</v>
      </c>
      <c r="F1813" s="25">
        <v>9.5190000000000001</v>
      </c>
      <c r="G1813" s="26">
        <v>8.813E-2</v>
      </c>
      <c r="H1813" s="27">
        <v>7.3230000000000003E-2</v>
      </c>
      <c r="I1813" s="26">
        <v>1.204</v>
      </c>
      <c r="J1813" s="28">
        <v>6</v>
      </c>
      <c r="K1813" s="27">
        <v>0.41784700000000002</v>
      </c>
      <c r="L1813" s="29">
        <f t="shared" si="112"/>
        <v>0.37898271157296581</v>
      </c>
      <c r="M1813" s="29">
        <f t="shared" si="113"/>
        <v>8.799999999999869E-2</v>
      </c>
      <c r="N1813" s="30">
        <f t="shared" si="114"/>
        <v>0.56210364015024339</v>
      </c>
      <c r="O1813" s="31">
        <f t="shared" si="115"/>
        <v>1.0628956743585523</v>
      </c>
    </row>
    <row r="1814" spans="1:15" x14ac:dyDescent="0.25">
      <c r="A1814" t="s">
        <v>7551</v>
      </c>
      <c r="B1814" t="s">
        <v>3629</v>
      </c>
      <c r="C1814" s="3" t="s">
        <v>3630</v>
      </c>
      <c r="D1814" s="24">
        <v>0.27429799999999999</v>
      </c>
      <c r="E1814" s="25">
        <v>8.9860000000000007</v>
      </c>
      <c r="F1814" s="25">
        <v>9.1679999999999993</v>
      </c>
      <c r="G1814" s="26">
        <v>-0.18229999999999999</v>
      </c>
      <c r="H1814" s="27">
        <v>0.1515</v>
      </c>
      <c r="I1814" s="26">
        <v>1.2030000000000001</v>
      </c>
      <c r="J1814" s="28">
        <v>6</v>
      </c>
      <c r="K1814" s="27">
        <v>0.41793000000000002</v>
      </c>
      <c r="L1814" s="29">
        <f t="shared" si="112"/>
        <v>0.37889645305636038</v>
      </c>
      <c r="M1814" s="29">
        <f t="shared" si="113"/>
        <v>-0.18199999999999877</v>
      </c>
      <c r="N1814" s="30">
        <f t="shared" si="114"/>
        <v>0.56177735897268666</v>
      </c>
      <c r="O1814" s="31">
        <f t="shared" si="115"/>
        <v>0.88148015790717082</v>
      </c>
    </row>
    <row r="1815" spans="1:15" x14ac:dyDescent="0.25">
      <c r="A1815" t="s">
        <v>7552</v>
      </c>
      <c r="B1815" t="s">
        <v>3631</v>
      </c>
      <c r="C1815" s="3" t="s">
        <v>3632</v>
      </c>
      <c r="D1815" s="24">
        <v>0.27517599999999998</v>
      </c>
      <c r="E1815" s="25">
        <v>10.52</v>
      </c>
      <c r="F1815" s="25">
        <v>10.66</v>
      </c>
      <c r="G1815" s="26">
        <v>-0.14149999999999999</v>
      </c>
      <c r="H1815" s="27">
        <v>0.1179</v>
      </c>
      <c r="I1815" s="26">
        <v>1.2010000000000001</v>
      </c>
      <c r="J1815" s="28">
        <v>6</v>
      </c>
      <c r="K1815" s="27">
        <v>0.41894199999999998</v>
      </c>
      <c r="L1815" s="29">
        <f t="shared" si="112"/>
        <v>0.37784609833086036</v>
      </c>
      <c r="M1815" s="29">
        <f t="shared" si="113"/>
        <v>-0.14000000000000032</v>
      </c>
      <c r="N1815" s="30">
        <f t="shared" si="114"/>
        <v>0.56038944660689816</v>
      </c>
      <c r="O1815" s="31">
        <f t="shared" si="115"/>
        <v>0.90751915531716065</v>
      </c>
    </row>
    <row r="1816" spans="1:15" x14ac:dyDescent="0.25">
      <c r="A1816" t="s">
        <v>7553</v>
      </c>
      <c r="B1816" t="s">
        <v>3633</v>
      </c>
      <c r="C1816" s="3" t="s">
        <v>3634</v>
      </c>
      <c r="D1816" s="24">
        <v>0.27526600000000001</v>
      </c>
      <c r="E1816" s="25">
        <v>11.07</v>
      </c>
      <c r="F1816" s="25">
        <v>10.81</v>
      </c>
      <c r="G1816" s="26">
        <v>0.25340000000000001</v>
      </c>
      <c r="H1816" s="27">
        <v>0.21110000000000001</v>
      </c>
      <c r="I1816" s="26">
        <v>1.2</v>
      </c>
      <c r="J1816" s="28">
        <v>6</v>
      </c>
      <c r="K1816" s="27">
        <v>0.41894199999999998</v>
      </c>
      <c r="L1816" s="29">
        <f t="shared" si="112"/>
        <v>0.37784609833086036</v>
      </c>
      <c r="M1816" s="29">
        <f t="shared" si="113"/>
        <v>0.25999999999999968</v>
      </c>
      <c r="N1816" s="30">
        <f t="shared" si="114"/>
        <v>0.56024742799741833</v>
      </c>
      <c r="O1816" s="31">
        <f t="shared" si="115"/>
        <v>1.1974787046189284</v>
      </c>
    </row>
    <row r="1817" spans="1:15" x14ac:dyDescent="0.25">
      <c r="A1817" t="s">
        <v>7554</v>
      </c>
      <c r="B1817" t="s">
        <v>3635</v>
      </c>
      <c r="C1817" s="3" t="s">
        <v>3636</v>
      </c>
      <c r="D1817" s="24">
        <v>0.27650799999999998</v>
      </c>
      <c r="E1817" s="25">
        <v>8.5050000000000008</v>
      </c>
      <c r="F1817" s="25">
        <v>8.3079999999999998</v>
      </c>
      <c r="G1817" s="26">
        <v>0.19700000000000001</v>
      </c>
      <c r="H1817" s="27">
        <v>0.1646</v>
      </c>
      <c r="I1817" s="26">
        <v>1.1970000000000001</v>
      </c>
      <c r="J1817" s="28">
        <v>6</v>
      </c>
      <c r="K1817" s="27">
        <v>0.42060199999999998</v>
      </c>
      <c r="L1817" s="29">
        <f t="shared" si="112"/>
        <v>0.37612866653581584</v>
      </c>
      <c r="M1817" s="29">
        <f t="shared" si="113"/>
        <v>0.19700000000000131</v>
      </c>
      <c r="N1817" s="30">
        <f t="shared" si="114"/>
        <v>0.55829229905876121</v>
      </c>
      <c r="O1817" s="31">
        <f t="shared" si="115"/>
        <v>1.1463121857283789</v>
      </c>
    </row>
    <row r="1818" spans="1:15" x14ac:dyDescent="0.25">
      <c r="A1818" t="s">
        <v>7555</v>
      </c>
      <c r="B1818" t="s">
        <v>3637</v>
      </c>
      <c r="C1818" s="3" t="s">
        <v>3638</v>
      </c>
      <c r="D1818" s="24">
        <v>0.27698099999999998</v>
      </c>
      <c r="E1818" s="25">
        <v>8.5820000000000007</v>
      </c>
      <c r="F1818" s="25">
        <v>8.3919999999999995</v>
      </c>
      <c r="G1818" s="26">
        <v>0.18990000000000001</v>
      </c>
      <c r="H1818" s="27">
        <v>0.1588</v>
      </c>
      <c r="I1818" s="26">
        <v>1.196</v>
      </c>
      <c r="J1818" s="28">
        <v>6</v>
      </c>
      <c r="K1818" s="27">
        <v>0.42108899999999999</v>
      </c>
      <c r="L1818" s="29">
        <f t="shared" si="112"/>
        <v>0.37562610339497521</v>
      </c>
      <c r="M1818" s="29">
        <f t="shared" si="113"/>
        <v>0.19000000000000083</v>
      </c>
      <c r="N1818" s="30">
        <f t="shared" si="114"/>
        <v>0.55755002110943608</v>
      </c>
      <c r="O1818" s="31">
        <f t="shared" si="115"/>
        <v>1.1407637158684243</v>
      </c>
    </row>
    <row r="1819" spans="1:15" x14ac:dyDescent="0.25">
      <c r="A1819" t="s">
        <v>7556</v>
      </c>
      <c r="B1819" t="s">
        <v>3639</v>
      </c>
      <c r="C1819" s="3" t="s">
        <v>3640</v>
      </c>
      <c r="D1819" s="24">
        <v>0.27793200000000001</v>
      </c>
      <c r="E1819" s="25">
        <v>8.6709999999999994</v>
      </c>
      <c r="F1819" s="25">
        <v>8.7949999999999999</v>
      </c>
      <c r="G1819" s="26">
        <v>-0.12379999999999999</v>
      </c>
      <c r="H1819" s="27">
        <v>0.1038</v>
      </c>
      <c r="I1819" s="26">
        <v>1.1930000000000001</v>
      </c>
      <c r="J1819" s="28">
        <v>6</v>
      </c>
      <c r="K1819" s="27">
        <v>0.42230200000000001</v>
      </c>
      <c r="L1819" s="29">
        <f t="shared" si="112"/>
        <v>0.37437686177445995</v>
      </c>
      <c r="M1819" s="29">
        <f t="shared" si="113"/>
        <v>-0.12400000000000005</v>
      </c>
      <c r="N1819" s="30">
        <f t="shared" si="114"/>
        <v>0.55606144738116425</v>
      </c>
      <c r="O1819" s="31">
        <f t="shared" si="115"/>
        <v>0.91763988231136506</v>
      </c>
    </row>
    <row r="1820" spans="1:15" x14ac:dyDescent="0.25">
      <c r="A1820" t="s">
        <v>7557</v>
      </c>
      <c r="B1820" t="s">
        <v>3643</v>
      </c>
      <c r="C1820" s="3" t="s">
        <v>3644</v>
      </c>
      <c r="D1820" s="24">
        <v>0.27904899999999999</v>
      </c>
      <c r="E1820" s="25">
        <v>8.86</v>
      </c>
      <c r="F1820" s="25">
        <v>8.7230000000000008</v>
      </c>
      <c r="G1820" s="26">
        <v>0.13769999999999999</v>
      </c>
      <c r="H1820" s="27">
        <v>0.1158</v>
      </c>
      <c r="I1820" s="26">
        <v>1.19</v>
      </c>
      <c r="J1820" s="28">
        <v>6</v>
      </c>
      <c r="K1820" s="27">
        <v>0.42353299999999999</v>
      </c>
      <c r="L1820" s="29">
        <f t="shared" si="112"/>
        <v>0.37311274552323126</v>
      </c>
      <c r="M1820" s="29">
        <f t="shared" si="113"/>
        <v>0.1369999999999989</v>
      </c>
      <c r="N1820" s="30">
        <f t="shared" si="114"/>
        <v>0.55431952948224306</v>
      </c>
      <c r="O1820" s="31">
        <f t="shared" si="115"/>
        <v>1.0996161493145504</v>
      </c>
    </row>
    <row r="1821" spans="1:15" x14ac:dyDescent="0.25">
      <c r="A1821" t="s">
        <v>7558</v>
      </c>
      <c r="B1821" t="s">
        <v>3641</v>
      </c>
      <c r="C1821" s="3" t="s">
        <v>3642</v>
      </c>
      <c r="D1821" s="24">
        <v>0.27896700000000002</v>
      </c>
      <c r="E1821" s="25">
        <v>10.23</v>
      </c>
      <c r="F1821" s="25">
        <v>10.3</v>
      </c>
      <c r="G1821" s="26">
        <v>-6.1440000000000002E-2</v>
      </c>
      <c r="H1821" s="27">
        <v>5.1619999999999999E-2</v>
      </c>
      <c r="I1821" s="26">
        <v>1.19</v>
      </c>
      <c r="J1821" s="28">
        <v>6</v>
      </c>
      <c r="K1821" s="27">
        <v>0.42353299999999999</v>
      </c>
      <c r="L1821" s="29">
        <f t="shared" si="112"/>
        <v>0.37311274552323126</v>
      </c>
      <c r="M1821" s="29">
        <f t="shared" si="113"/>
        <v>-7.0000000000000076E-2</v>
      </c>
      <c r="N1821" s="30">
        <f t="shared" si="114"/>
        <v>0.55444716792907034</v>
      </c>
      <c r="O1821" s="31">
        <f t="shared" si="115"/>
        <v>0.95263799804393734</v>
      </c>
    </row>
    <row r="1822" spans="1:15" x14ac:dyDescent="0.25">
      <c r="A1822" t="s">
        <v>7559</v>
      </c>
      <c r="B1822" t="s">
        <v>3645</v>
      </c>
      <c r="C1822" s="3" t="s">
        <v>3646</v>
      </c>
      <c r="D1822" s="24">
        <v>0.27973599999999998</v>
      </c>
      <c r="E1822" s="25">
        <v>8.4920000000000009</v>
      </c>
      <c r="F1822" s="25">
        <v>8.3450000000000006</v>
      </c>
      <c r="G1822" s="26">
        <v>0.14779999999999999</v>
      </c>
      <c r="H1822" s="27">
        <v>0.1245</v>
      </c>
      <c r="I1822" s="26">
        <v>1.1879999999999999</v>
      </c>
      <c r="J1822" s="28">
        <v>6</v>
      </c>
      <c r="K1822" s="27">
        <v>0.42434300000000003</v>
      </c>
      <c r="L1822" s="29">
        <f t="shared" si="112"/>
        <v>0.37228295758877183</v>
      </c>
      <c r="M1822" s="29">
        <f t="shared" si="113"/>
        <v>0.1469999999999991</v>
      </c>
      <c r="N1822" s="30">
        <f t="shared" si="114"/>
        <v>0.55325163947303724</v>
      </c>
      <c r="O1822" s="31">
        <f t="shared" si="115"/>
        <v>1.1072645844842843</v>
      </c>
    </row>
    <row r="1823" spans="1:15" x14ac:dyDescent="0.25">
      <c r="A1823" t="s">
        <v>7560</v>
      </c>
      <c r="B1823" t="s">
        <v>3647</v>
      </c>
      <c r="C1823" s="3" t="s">
        <v>3648</v>
      </c>
      <c r="D1823" s="24">
        <v>0.280277</v>
      </c>
      <c r="E1823" s="25">
        <v>9.5980000000000008</v>
      </c>
      <c r="F1823" s="25">
        <v>9.8520000000000003</v>
      </c>
      <c r="G1823" s="26">
        <v>-0.25330000000000003</v>
      </c>
      <c r="H1823" s="27">
        <v>0.2135</v>
      </c>
      <c r="I1823" s="26">
        <v>1.1859999999999999</v>
      </c>
      <c r="J1823" s="28">
        <v>6</v>
      </c>
      <c r="K1823" s="27">
        <v>0.42492999999999997</v>
      </c>
      <c r="L1823" s="29">
        <f t="shared" si="112"/>
        <v>0.37168260669695463</v>
      </c>
      <c r="M1823" s="29">
        <f t="shared" si="113"/>
        <v>-0.25399999999999984</v>
      </c>
      <c r="N1823" s="30">
        <f t="shared" si="114"/>
        <v>0.55241253970999671</v>
      </c>
      <c r="O1823" s="31">
        <f t="shared" si="115"/>
        <v>0.83856818444093129</v>
      </c>
    </row>
    <row r="1824" spans="1:15" x14ac:dyDescent="0.25">
      <c r="A1824" t="s">
        <v>7561</v>
      </c>
      <c r="B1824" t="s">
        <v>3649</v>
      </c>
      <c r="C1824" s="3" t="s">
        <v>3650</v>
      </c>
      <c r="D1824" s="24">
        <v>0.28085500000000002</v>
      </c>
      <c r="E1824" s="25">
        <v>12.29</v>
      </c>
      <c r="F1824" s="25">
        <v>12.59</v>
      </c>
      <c r="G1824" s="26">
        <v>-0.29370000000000002</v>
      </c>
      <c r="H1824" s="27">
        <v>0.24790000000000001</v>
      </c>
      <c r="I1824" s="26">
        <v>1.1850000000000001</v>
      </c>
      <c r="J1824" s="28">
        <v>6</v>
      </c>
      <c r="K1824" s="27">
        <v>0.42544599999999999</v>
      </c>
      <c r="L1824" s="29">
        <f t="shared" si="112"/>
        <v>0.37115555518052956</v>
      </c>
      <c r="M1824" s="29">
        <f t="shared" si="113"/>
        <v>-0.30000000000000127</v>
      </c>
      <c r="N1824" s="30">
        <f t="shared" si="114"/>
        <v>0.55151784006955407</v>
      </c>
      <c r="O1824" s="31">
        <f t="shared" si="115"/>
        <v>0.81225239635623481</v>
      </c>
    </row>
    <row r="1825" spans="1:15" x14ac:dyDescent="0.25">
      <c r="A1825" t="s">
        <v>7562</v>
      </c>
      <c r="B1825" t="s">
        <v>3653</v>
      </c>
      <c r="C1825" s="3" t="s">
        <v>3654</v>
      </c>
      <c r="D1825" s="24">
        <v>0.28107900000000002</v>
      </c>
      <c r="E1825" s="25">
        <v>8.1850000000000005</v>
      </c>
      <c r="F1825" s="25">
        <v>8.9570000000000007</v>
      </c>
      <c r="G1825" s="26">
        <v>-0.77239999999999998</v>
      </c>
      <c r="H1825" s="27">
        <v>0.6522</v>
      </c>
      <c r="I1825" s="26">
        <v>1.1839999999999999</v>
      </c>
      <c r="J1825" s="28">
        <v>6</v>
      </c>
      <c r="K1825" s="27">
        <v>0.42544599999999999</v>
      </c>
      <c r="L1825" s="29">
        <f t="shared" si="112"/>
        <v>0.37115555518052956</v>
      </c>
      <c r="M1825" s="29">
        <f t="shared" si="113"/>
        <v>-0.77200000000000113</v>
      </c>
      <c r="N1825" s="30">
        <f t="shared" si="114"/>
        <v>0.5511716002296474</v>
      </c>
      <c r="O1825" s="31">
        <f t="shared" si="115"/>
        <v>0.58560509060940447</v>
      </c>
    </row>
    <row r="1826" spans="1:15" x14ac:dyDescent="0.25">
      <c r="A1826" t="s">
        <v>7563</v>
      </c>
      <c r="B1826" t="s">
        <v>3651</v>
      </c>
      <c r="C1826" s="3" t="s">
        <v>3652</v>
      </c>
      <c r="D1826" s="24">
        <v>0.28102500000000002</v>
      </c>
      <c r="E1826" s="25">
        <v>9.0380000000000003</v>
      </c>
      <c r="F1826" s="25">
        <v>9.1679999999999993</v>
      </c>
      <c r="G1826" s="26">
        <v>-0.1298</v>
      </c>
      <c r="H1826" s="27">
        <v>0.1096</v>
      </c>
      <c r="I1826" s="26">
        <v>1.1839999999999999</v>
      </c>
      <c r="J1826" s="28">
        <v>6</v>
      </c>
      <c r="K1826" s="27">
        <v>0.42544599999999999</v>
      </c>
      <c r="L1826" s="29">
        <f t="shared" si="112"/>
        <v>0.37115555518052956</v>
      </c>
      <c r="M1826" s="29">
        <f t="shared" si="113"/>
        <v>-0.1299999999999987</v>
      </c>
      <c r="N1826" s="30">
        <f t="shared" si="114"/>
        <v>0.55125504351450183</v>
      </c>
      <c r="O1826" s="31">
        <f t="shared" si="115"/>
        <v>0.91383145022940138</v>
      </c>
    </row>
    <row r="1827" spans="1:15" x14ac:dyDescent="0.25">
      <c r="A1827" t="s">
        <v>7564</v>
      </c>
      <c r="B1827" t="s">
        <v>3657</v>
      </c>
      <c r="C1827" s="3" t="s">
        <v>3658</v>
      </c>
      <c r="D1827" s="24">
        <v>0.28236800000000001</v>
      </c>
      <c r="E1827" s="25">
        <v>10.050000000000001</v>
      </c>
      <c r="F1827" s="25">
        <v>9.7929999999999993</v>
      </c>
      <c r="G1827" s="26">
        <v>0.25509999999999999</v>
      </c>
      <c r="H1827" s="27">
        <v>0.216</v>
      </c>
      <c r="I1827" s="26">
        <v>1.181</v>
      </c>
      <c r="J1827" s="28">
        <v>6</v>
      </c>
      <c r="K1827" s="27">
        <v>0.42692999999999998</v>
      </c>
      <c r="L1827" s="29">
        <f t="shared" si="112"/>
        <v>0.36964332662804217</v>
      </c>
      <c r="M1827" s="29">
        <f t="shared" si="113"/>
        <v>0.25700000000000117</v>
      </c>
      <c r="N1827" s="30">
        <f t="shared" si="114"/>
        <v>0.54918452224795977</v>
      </c>
      <c r="O1827" s="31">
        <f t="shared" si="115"/>
        <v>1.1949912048567832</v>
      </c>
    </row>
    <row r="1828" spans="1:15" x14ac:dyDescent="0.25">
      <c r="A1828" t="s">
        <v>7565</v>
      </c>
      <c r="B1828" t="s">
        <v>3655</v>
      </c>
      <c r="C1828" s="3" t="s">
        <v>3656</v>
      </c>
      <c r="D1828" s="24">
        <v>0.2823</v>
      </c>
      <c r="E1828" s="25">
        <v>8.8409999999999993</v>
      </c>
      <c r="F1828" s="25">
        <v>8.9700000000000006</v>
      </c>
      <c r="G1828" s="26">
        <v>-0.12920000000000001</v>
      </c>
      <c r="H1828" s="27">
        <v>0.1094</v>
      </c>
      <c r="I1828" s="26">
        <v>1.181</v>
      </c>
      <c r="J1828" s="28">
        <v>6</v>
      </c>
      <c r="K1828" s="27">
        <v>0.42692999999999998</v>
      </c>
      <c r="L1828" s="29">
        <f t="shared" si="112"/>
        <v>0.36964332662804217</v>
      </c>
      <c r="M1828" s="29">
        <f t="shared" si="113"/>
        <v>-0.12900000000000073</v>
      </c>
      <c r="N1828" s="30">
        <f t="shared" si="114"/>
        <v>0.54928912185308065</v>
      </c>
      <c r="O1828" s="31">
        <f t="shared" si="115"/>
        <v>0.91446508949990102</v>
      </c>
    </row>
    <row r="1829" spans="1:15" x14ac:dyDescent="0.25">
      <c r="A1829" t="s">
        <v>7566</v>
      </c>
      <c r="B1829" t="s">
        <v>3659</v>
      </c>
      <c r="C1829" s="3" t="s">
        <v>3660</v>
      </c>
      <c r="D1829" s="24">
        <v>0.28281899999999999</v>
      </c>
      <c r="E1829" s="25">
        <v>8.86</v>
      </c>
      <c r="F1829" s="25">
        <v>8.9760000000000009</v>
      </c>
      <c r="G1829" s="26">
        <v>-0.11650000000000001</v>
      </c>
      <c r="H1829" s="27">
        <v>9.8760000000000001E-2</v>
      </c>
      <c r="I1829" s="26">
        <v>1.18</v>
      </c>
      <c r="J1829" s="28">
        <v>6</v>
      </c>
      <c r="K1829" s="27">
        <v>0.42737700000000001</v>
      </c>
      <c r="L1829" s="29">
        <f t="shared" si="112"/>
        <v>0.36918885381879102</v>
      </c>
      <c r="M1829" s="29">
        <f t="shared" si="113"/>
        <v>-0.1160000000000006</v>
      </c>
      <c r="N1829" s="30">
        <f t="shared" si="114"/>
        <v>0.54849141765457354</v>
      </c>
      <c r="O1829" s="31">
        <f t="shared" si="115"/>
        <v>0.92274249265379793</v>
      </c>
    </row>
    <row r="1830" spans="1:15" x14ac:dyDescent="0.25">
      <c r="A1830" t="s">
        <v>7567</v>
      </c>
      <c r="B1830" t="s">
        <v>3663</v>
      </c>
      <c r="C1830" s="3" t="s">
        <v>3664</v>
      </c>
      <c r="D1830" s="24">
        <v>0.283161</v>
      </c>
      <c r="E1830" s="25">
        <v>11.76</v>
      </c>
      <c r="F1830" s="25">
        <v>11.49</v>
      </c>
      <c r="G1830" s="26">
        <v>0.26850000000000002</v>
      </c>
      <c r="H1830" s="27">
        <v>0.2278</v>
      </c>
      <c r="I1830" s="26">
        <v>1.179</v>
      </c>
      <c r="J1830" s="28">
        <v>6</v>
      </c>
      <c r="K1830" s="27">
        <v>0.42742599999999997</v>
      </c>
      <c r="L1830" s="29">
        <f t="shared" si="112"/>
        <v>0.36913906356387483</v>
      </c>
      <c r="M1830" s="29">
        <f t="shared" si="113"/>
        <v>0.27000000000000007</v>
      </c>
      <c r="N1830" s="30">
        <f t="shared" si="114"/>
        <v>0.54796656260355248</v>
      </c>
      <c r="O1830" s="31">
        <f t="shared" si="115"/>
        <v>1.2058078276907604</v>
      </c>
    </row>
    <row r="1831" spans="1:15" x14ac:dyDescent="0.25">
      <c r="A1831" t="s">
        <v>7568</v>
      </c>
      <c r="B1831" t="s">
        <v>3661</v>
      </c>
      <c r="C1831" s="3" t="s">
        <v>3662</v>
      </c>
      <c r="D1831" s="24">
        <v>0.283134</v>
      </c>
      <c r="E1831" s="25">
        <v>10.74</v>
      </c>
      <c r="F1831" s="25">
        <v>10.62</v>
      </c>
      <c r="G1831" s="26">
        <v>0.1229</v>
      </c>
      <c r="H1831" s="27">
        <v>0.1043</v>
      </c>
      <c r="I1831" s="26">
        <v>1.179</v>
      </c>
      <c r="J1831" s="28">
        <v>6</v>
      </c>
      <c r="K1831" s="27">
        <v>0.42742599999999997</v>
      </c>
      <c r="L1831" s="29">
        <f t="shared" si="112"/>
        <v>0.36913906356387483</v>
      </c>
      <c r="M1831" s="29">
        <f t="shared" si="113"/>
        <v>0.12000000000000192</v>
      </c>
      <c r="N1831" s="30">
        <f t="shared" si="114"/>
        <v>0.54800797547500735</v>
      </c>
      <c r="O1831" s="31">
        <f t="shared" si="115"/>
        <v>1.0867348625260596</v>
      </c>
    </row>
    <row r="1832" spans="1:15" x14ac:dyDescent="0.25">
      <c r="A1832" t="s">
        <v>7569</v>
      </c>
      <c r="B1832" t="s">
        <v>3665</v>
      </c>
      <c r="C1832" s="3" t="s">
        <v>3666</v>
      </c>
      <c r="D1832" s="24">
        <v>0.28410999999999997</v>
      </c>
      <c r="E1832" s="25">
        <v>11.58</v>
      </c>
      <c r="F1832" s="25">
        <v>11.9</v>
      </c>
      <c r="G1832" s="26">
        <v>-0.32029999999999997</v>
      </c>
      <c r="H1832" s="27">
        <v>0.27239999999999998</v>
      </c>
      <c r="I1832" s="26">
        <v>1.1759999999999999</v>
      </c>
      <c r="J1832" s="28">
        <v>6</v>
      </c>
      <c r="K1832" s="27">
        <v>0.428624</v>
      </c>
      <c r="L1832" s="29">
        <f t="shared" si="112"/>
        <v>0.36792351510531907</v>
      </c>
      <c r="M1832" s="29">
        <f t="shared" si="113"/>
        <v>-0.31999999999999934</v>
      </c>
      <c r="N1832" s="30">
        <f t="shared" si="114"/>
        <v>0.54651347986950538</v>
      </c>
      <c r="O1832" s="31">
        <f t="shared" si="115"/>
        <v>0.80106987758962245</v>
      </c>
    </row>
    <row r="1833" spans="1:15" x14ac:dyDescent="0.25">
      <c r="A1833" t="s">
        <v>7570</v>
      </c>
      <c r="B1833" t="s">
        <v>3667</v>
      </c>
      <c r="C1833" s="3" t="s">
        <v>3668</v>
      </c>
      <c r="D1833" s="24">
        <v>0.28456799999999999</v>
      </c>
      <c r="E1833" s="25">
        <v>12.92</v>
      </c>
      <c r="F1833" s="25">
        <v>11.89</v>
      </c>
      <c r="G1833" s="26">
        <v>1.034</v>
      </c>
      <c r="H1833" s="27">
        <v>0.88039999999999996</v>
      </c>
      <c r="I1833" s="26">
        <v>1.175</v>
      </c>
      <c r="J1833" s="28">
        <v>6</v>
      </c>
      <c r="K1833" s="27">
        <v>0.42908200000000002</v>
      </c>
      <c r="L1833" s="29">
        <f t="shared" si="112"/>
        <v>0.3674597037489406</v>
      </c>
      <c r="M1833" s="29">
        <f t="shared" si="113"/>
        <v>1.0299999999999976</v>
      </c>
      <c r="N1833" s="30">
        <f t="shared" si="114"/>
        <v>0.54581393842173542</v>
      </c>
      <c r="O1833" s="31">
        <f t="shared" si="115"/>
        <v>2.0420242514143832</v>
      </c>
    </row>
    <row r="1834" spans="1:15" x14ac:dyDescent="0.25">
      <c r="A1834" t="s">
        <v>7571</v>
      </c>
      <c r="B1834" t="s">
        <v>3669</v>
      </c>
      <c r="C1834" s="3" t="s">
        <v>3670</v>
      </c>
      <c r="D1834" s="24">
        <v>0.284798</v>
      </c>
      <c r="E1834" s="25">
        <v>7.5659999999999998</v>
      </c>
      <c r="F1834" s="25">
        <v>7.7789999999999999</v>
      </c>
      <c r="G1834" s="26">
        <v>-0.21240000000000001</v>
      </c>
      <c r="H1834" s="27">
        <v>0.18079999999999999</v>
      </c>
      <c r="I1834" s="26">
        <v>1.1739999999999999</v>
      </c>
      <c r="J1834" s="28">
        <v>6</v>
      </c>
      <c r="K1834" s="27">
        <v>0.42919400000000002</v>
      </c>
      <c r="L1834" s="29">
        <f t="shared" si="112"/>
        <v>0.36734635796681631</v>
      </c>
      <c r="M1834" s="29">
        <f t="shared" si="113"/>
        <v>-0.21300000000000044</v>
      </c>
      <c r="N1834" s="30">
        <f t="shared" si="114"/>
        <v>0.54546306486668972</v>
      </c>
      <c r="O1834" s="31">
        <f t="shared" si="115"/>
        <v>0.86274134454265572</v>
      </c>
    </row>
    <row r="1835" spans="1:15" x14ac:dyDescent="0.25">
      <c r="A1835" t="s">
        <v>7572</v>
      </c>
      <c r="B1835" t="s">
        <v>3671</v>
      </c>
      <c r="C1835" s="3" t="s">
        <v>3672</v>
      </c>
      <c r="D1835" s="24">
        <v>0.285383</v>
      </c>
      <c r="E1835" s="25">
        <v>6.95</v>
      </c>
      <c r="F1835" s="25">
        <v>6.4809999999999999</v>
      </c>
      <c r="G1835" s="26">
        <v>0.46920000000000001</v>
      </c>
      <c r="H1835" s="27">
        <v>0.40010000000000001</v>
      </c>
      <c r="I1835" s="26">
        <v>1.173</v>
      </c>
      <c r="J1835" s="28">
        <v>6</v>
      </c>
      <c r="K1835" s="27">
        <v>0.42984</v>
      </c>
      <c r="L1835" s="29">
        <f t="shared" si="112"/>
        <v>0.36669317243936245</v>
      </c>
      <c r="M1835" s="29">
        <f t="shared" si="113"/>
        <v>0.46900000000000108</v>
      </c>
      <c r="N1835" s="30">
        <f t="shared" si="114"/>
        <v>0.54457190096940045</v>
      </c>
      <c r="O1835" s="31">
        <f t="shared" si="115"/>
        <v>1.3841497160514811</v>
      </c>
    </row>
    <row r="1836" spans="1:15" x14ac:dyDescent="0.25">
      <c r="A1836" t="s">
        <v>7573</v>
      </c>
      <c r="B1836" t="s">
        <v>3673</v>
      </c>
      <c r="C1836" s="3" t="s">
        <v>3674</v>
      </c>
      <c r="D1836" s="24">
        <v>0.28556799999999999</v>
      </c>
      <c r="E1836" s="25">
        <v>9.8770000000000007</v>
      </c>
      <c r="F1836" s="25">
        <v>9.766</v>
      </c>
      <c r="G1836" s="26">
        <v>0.11020000000000001</v>
      </c>
      <c r="H1836" s="27">
        <v>9.4049999999999995E-2</v>
      </c>
      <c r="I1836" s="26">
        <v>1.1719999999999999</v>
      </c>
      <c r="J1836" s="28">
        <v>6</v>
      </c>
      <c r="K1836" s="27">
        <v>0.42988399999999999</v>
      </c>
      <c r="L1836" s="29">
        <f t="shared" si="112"/>
        <v>0.36664871873742921</v>
      </c>
      <c r="M1836" s="29">
        <f t="shared" si="113"/>
        <v>0.11100000000000082</v>
      </c>
      <c r="N1836" s="30">
        <f t="shared" si="114"/>
        <v>0.54429046006829385</v>
      </c>
      <c r="O1836" s="31">
        <f t="shared" si="115"/>
        <v>1.079976559832883</v>
      </c>
    </row>
    <row r="1837" spans="1:15" x14ac:dyDescent="0.25">
      <c r="A1837" t="s">
        <v>7574</v>
      </c>
      <c r="B1837" t="s">
        <v>3675</v>
      </c>
      <c r="C1837" s="3" t="s">
        <v>3676</v>
      </c>
      <c r="D1837" s="24">
        <v>0.28631699999999999</v>
      </c>
      <c r="E1837" s="25">
        <v>9.9789999999999992</v>
      </c>
      <c r="F1837" s="25">
        <v>9.9079999999999995</v>
      </c>
      <c r="G1837" s="26">
        <v>7.1230000000000002E-2</v>
      </c>
      <c r="H1837" s="27">
        <v>6.0879999999999997E-2</v>
      </c>
      <c r="I1837" s="26">
        <v>1.17</v>
      </c>
      <c r="J1837" s="28">
        <v>6</v>
      </c>
      <c r="K1837" s="27">
        <v>0.43077700000000002</v>
      </c>
      <c r="L1837" s="29">
        <f t="shared" si="112"/>
        <v>0.36574749256007916</v>
      </c>
      <c r="M1837" s="29">
        <f t="shared" si="113"/>
        <v>7.0999999999999147E-2</v>
      </c>
      <c r="N1837" s="30">
        <f t="shared" si="114"/>
        <v>0.54315286508700777</v>
      </c>
      <c r="O1837" s="31">
        <f t="shared" si="115"/>
        <v>1.0504445440107526</v>
      </c>
    </row>
    <row r="1838" spans="1:15" x14ac:dyDescent="0.25">
      <c r="A1838" t="s">
        <v>7575</v>
      </c>
      <c r="B1838" t="s">
        <v>3677</v>
      </c>
      <c r="C1838" s="3" t="s">
        <v>3678</v>
      </c>
      <c r="D1838" s="24">
        <v>0.28695599999999999</v>
      </c>
      <c r="E1838" s="25">
        <v>11.16</v>
      </c>
      <c r="F1838" s="25">
        <v>11.23</v>
      </c>
      <c r="G1838" s="26">
        <v>-6.8390000000000006E-2</v>
      </c>
      <c r="H1838" s="27">
        <v>5.8529999999999999E-2</v>
      </c>
      <c r="I1838" s="26">
        <v>1.1679999999999999</v>
      </c>
      <c r="J1838" s="28">
        <v>6</v>
      </c>
      <c r="K1838" s="27">
        <v>0.431504</v>
      </c>
      <c r="L1838" s="29">
        <f t="shared" si="112"/>
        <v>0.36501517406261663</v>
      </c>
      <c r="M1838" s="29">
        <f t="shared" si="113"/>
        <v>-7.0000000000000243E-2</v>
      </c>
      <c r="N1838" s="30">
        <f t="shared" si="114"/>
        <v>0.5421846901027727</v>
      </c>
      <c r="O1838" s="31">
        <f t="shared" si="115"/>
        <v>0.95263799804393723</v>
      </c>
    </row>
    <row r="1839" spans="1:15" x14ac:dyDescent="0.25">
      <c r="A1839" t="s">
        <v>7576</v>
      </c>
      <c r="B1839" t="s">
        <v>3679</v>
      </c>
      <c r="C1839" s="3" t="s">
        <v>3680</v>
      </c>
      <c r="D1839" s="24">
        <v>0.28724699999999997</v>
      </c>
      <c r="E1839" s="25">
        <v>11.57</v>
      </c>
      <c r="F1839" s="25">
        <v>10.68</v>
      </c>
      <c r="G1839" s="26">
        <v>0.88790000000000002</v>
      </c>
      <c r="H1839" s="27">
        <v>0.76039999999999996</v>
      </c>
      <c r="I1839" s="26">
        <v>1.1679999999999999</v>
      </c>
      <c r="J1839" s="28">
        <v>6</v>
      </c>
      <c r="K1839" s="27">
        <v>0.43170700000000001</v>
      </c>
      <c r="L1839" s="29">
        <f t="shared" si="112"/>
        <v>0.36481090933139426</v>
      </c>
      <c r="M1839" s="29">
        <f t="shared" si="113"/>
        <v>0.88999999999999979</v>
      </c>
      <c r="N1839" s="30">
        <f t="shared" si="114"/>
        <v>0.54174449837596728</v>
      </c>
      <c r="O1839" s="31">
        <f t="shared" si="115"/>
        <v>1.8531761237807414</v>
      </c>
    </row>
    <row r="1840" spans="1:15" x14ac:dyDescent="0.25">
      <c r="A1840" t="s">
        <v>7577</v>
      </c>
      <c r="B1840" t="s">
        <v>3681</v>
      </c>
      <c r="C1840" s="3" t="s">
        <v>3682</v>
      </c>
      <c r="D1840" s="24">
        <v>0.287943</v>
      </c>
      <c r="E1840" s="25">
        <v>8.2680000000000007</v>
      </c>
      <c r="F1840" s="25">
        <v>8.4169999999999998</v>
      </c>
      <c r="G1840" s="26">
        <v>-0.1482</v>
      </c>
      <c r="H1840" s="27">
        <v>0.12709999999999999</v>
      </c>
      <c r="I1840" s="26">
        <v>1.1659999999999999</v>
      </c>
      <c r="J1840" s="28">
        <v>6</v>
      </c>
      <c r="K1840" s="27">
        <v>0.43251699999999998</v>
      </c>
      <c r="L1840" s="29">
        <f t="shared" si="112"/>
        <v>0.36399681800009964</v>
      </c>
      <c r="M1840" s="29">
        <f t="shared" si="113"/>
        <v>-0.14899999999999888</v>
      </c>
      <c r="N1840" s="30">
        <f t="shared" si="114"/>
        <v>0.54069347486397767</v>
      </c>
      <c r="O1840" s="31">
        <f t="shared" si="115"/>
        <v>0.90187537838225029</v>
      </c>
    </row>
    <row r="1841" spans="1:15" x14ac:dyDescent="0.25">
      <c r="A1841" t="s">
        <v>7578</v>
      </c>
      <c r="B1841" t="s">
        <v>3683</v>
      </c>
      <c r="C1841" s="3" t="s">
        <v>3684</v>
      </c>
      <c r="D1841" s="24">
        <v>0.288298</v>
      </c>
      <c r="E1841" s="25">
        <v>7.226</v>
      </c>
      <c r="F1841" s="25">
        <v>6.6379999999999999</v>
      </c>
      <c r="G1841" s="26">
        <v>0.58830000000000005</v>
      </c>
      <c r="H1841" s="27">
        <v>0.50509999999999999</v>
      </c>
      <c r="I1841" s="26">
        <v>1.165</v>
      </c>
      <c r="J1841" s="28">
        <v>6</v>
      </c>
      <c r="K1841" s="27">
        <v>0.43274299999999999</v>
      </c>
      <c r="L1841" s="29">
        <f t="shared" si="112"/>
        <v>0.36376994849233979</v>
      </c>
      <c r="M1841" s="29">
        <f t="shared" si="113"/>
        <v>0.58799999999999886</v>
      </c>
      <c r="N1841" s="30">
        <f t="shared" si="114"/>
        <v>0.54015837041781578</v>
      </c>
      <c r="O1841" s="31">
        <f t="shared" si="115"/>
        <v>1.5031614780655616</v>
      </c>
    </row>
    <row r="1842" spans="1:15" x14ac:dyDescent="0.25">
      <c r="A1842" t="s">
        <v>7579</v>
      </c>
      <c r="B1842" t="s">
        <v>3685</v>
      </c>
      <c r="C1842" s="3" t="s">
        <v>3686</v>
      </c>
      <c r="D1842" s="24">
        <v>0.28840700000000002</v>
      </c>
      <c r="E1842" s="25">
        <v>9.0579999999999998</v>
      </c>
      <c r="F1842" s="25">
        <v>8.7710000000000008</v>
      </c>
      <c r="G1842" s="26">
        <v>0.28699999999999998</v>
      </c>
      <c r="H1842" s="27">
        <v>0.24640000000000001</v>
      </c>
      <c r="I1842" s="26">
        <v>1.165</v>
      </c>
      <c r="J1842" s="28">
        <v>6</v>
      </c>
      <c r="K1842" s="27">
        <v>0.43274299999999999</v>
      </c>
      <c r="L1842" s="29">
        <f t="shared" si="112"/>
        <v>0.36376994849233979</v>
      </c>
      <c r="M1842" s="29">
        <f t="shared" si="113"/>
        <v>0.28699999999999981</v>
      </c>
      <c r="N1842" s="30">
        <f t="shared" si="114"/>
        <v>0.53999420295233125</v>
      </c>
      <c r="O1842" s="31">
        <f t="shared" si="115"/>
        <v>1.2201005102722231</v>
      </c>
    </row>
    <row r="1843" spans="1:15" x14ac:dyDescent="0.25">
      <c r="A1843" t="s">
        <v>7580</v>
      </c>
      <c r="B1843" t="s">
        <v>3687</v>
      </c>
      <c r="C1843" s="3" t="s">
        <v>3688</v>
      </c>
      <c r="D1843" s="24">
        <v>0.28888399999999997</v>
      </c>
      <c r="E1843" s="25">
        <v>8.77</v>
      </c>
      <c r="F1843" s="25">
        <v>8.6359999999999992</v>
      </c>
      <c r="G1843" s="26">
        <v>0.13389999999999999</v>
      </c>
      <c r="H1843" s="27">
        <v>0.11509999999999999</v>
      </c>
      <c r="I1843" s="26">
        <v>1.163</v>
      </c>
      <c r="J1843" s="28">
        <v>6</v>
      </c>
      <c r="K1843" s="27">
        <v>0.433224</v>
      </c>
      <c r="L1843" s="29">
        <f t="shared" si="112"/>
        <v>0.36328749207707572</v>
      </c>
      <c r="M1843" s="29">
        <f t="shared" si="113"/>
        <v>0.13400000000000051</v>
      </c>
      <c r="N1843" s="30">
        <f t="shared" si="114"/>
        <v>0.53927651112962105</v>
      </c>
      <c r="O1843" s="31">
        <f t="shared" si="115"/>
        <v>1.0973319375792434</v>
      </c>
    </row>
    <row r="1844" spans="1:15" x14ac:dyDescent="0.25">
      <c r="A1844" t="s">
        <v>7581</v>
      </c>
      <c r="B1844" t="s">
        <v>3689</v>
      </c>
      <c r="C1844" s="3" t="s">
        <v>3690</v>
      </c>
      <c r="D1844" s="24">
        <v>0.28908800000000001</v>
      </c>
      <c r="E1844" s="25">
        <v>8.4359999999999999</v>
      </c>
      <c r="F1844" s="25">
        <v>8.6110000000000007</v>
      </c>
      <c r="G1844" s="26">
        <v>-0.17480000000000001</v>
      </c>
      <c r="H1844" s="27">
        <v>0.15029999999999999</v>
      </c>
      <c r="I1844" s="26">
        <v>1.163</v>
      </c>
      <c r="J1844" s="28">
        <v>6</v>
      </c>
      <c r="K1844" s="27">
        <v>0.43329400000000001</v>
      </c>
      <c r="L1844" s="29">
        <f t="shared" si="112"/>
        <v>0.36321732477807128</v>
      </c>
      <c r="M1844" s="29">
        <f t="shared" si="113"/>
        <v>-0.17500000000000085</v>
      </c>
      <c r="N1844" s="30">
        <f t="shared" si="114"/>
        <v>0.53896993545471861</v>
      </c>
      <c r="O1844" s="31">
        <f t="shared" si="115"/>
        <v>0.88576751910236007</v>
      </c>
    </row>
    <row r="1845" spans="1:15" x14ac:dyDescent="0.25">
      <c r="A1845" t="s">
        <v>7582</v>
      </c>
      <c r="B1845" t="s">
        <v>3691</v>
      </c>
      <c r="C1845" s="3" t="s">
        <v>3692</v>
      </c>
      <c r="D1845" s="24">
        <v>0.29008299999999998</v>
      </c>
      <c r="E1845" s="25">
        <v>9.7550000000000008</v>
      </c>
      <c r="F1845" s="25">
        <v>9.5960000000000001</v>
      </c>
      <c r="G1845" s="26">
        <v>0.1595</v>
      </c>
      <c r="H1845" s="27">
        <v>0.13750000000000001</v>
      </c>
      <c r="I1845" s="26">
        <v>1.1599999999999999</v>
      </c>
      <c r="J1845" s="28">
        <v>6</v>
      </c>
      <c r="K1845" s="27">
        <v>0.43454999999999999</v>
      </c>
      <c r="L1845" s="29">
        <f t="shared" si="112"/>
        <v>0.36196024574055691</v>
      </c>
      <c r="M1845" s="29">
        <f t="shared" si="113"/>
        <v>0.15900000000000081</v>
      </c>
      <c r="N1845" s="30">
        <f t="shared" si="114"/>
        <v>0.53747772180927889</v>
      </c>
      <c r="O1845" s="31">
        <f t="shared" si="115"/>
        <v>1.1165129619825731</v>
      </c>
    </row>
    <row r="1846" spans="1:15" x14ac:dyDescent="0.25">
      <c r="A1846" t="s">
        <v>7583</v>
      </c>
      <c r="B1846" t="s">
        <v>3693</v>
      </c>
      <c r="C1846" s="3" t="s">
        <v>3694</v>
      </c>
      <c r="D1846" s="24">
        <v>0.29104200000000002</v>
      </c>
      <c r="E1846" s="25">
        <v>6.93</v>
      </c>
      <c r="F1846" s="25">
        <v>7.6859999999999999</v>
      </c>
      <c r="G1846" s="26">
        <v>-0.75649999999999995</v>
      </c>
      <c r="H1846" s="27">
        <v>0.64100000000000001</v>
      </c>
      <c r="I1846" s="26">
        <v>1.18</v>
      </c>
      <c r="J1846" s="28">
        <v>5</v>
      </c>
      <c r="K1846" s="27">
        <v>0.43575000000000003</v>
      </c>
      <c r="L1846" s="29">
        <f t="shared" si="112"/>
        <v>0.36076260421796913</v>
      </c>
      <c r="M1846" s="29">
        <f t="shared" si="113"/>
        <v>-0.75600000000000078</v>
      </c>
      <c r="N1846" s="30">
        <f t="shared" si="114"/>
        <v>0.53604433385927708</v>
      </c>
      <c r="O1846" s="31">
        <f t="shared" si="115"/>
        <v>0.59213580592681603</v>
      </c>
    </row>
    <row r="1847" spans="1:15" x14ac:dyDescent="0.25">
      <c r="A1847" t="s">
        <v>7584</v>
      </c>
      <c r="B1847" t="s">
        <v>3695</v>
      </c>
      <c r="C1847" s="3" t="s">
        <v>3696</v>
      </c>
      <c r="D1847" s="24">
        <v>0.29127199999999998</v>
      </c>
      <c r="E1847" s="25">
        <v>8.8260000000000005</v>
      </c>
      <c r="F1847" s="25">
        <v>8.673</v>
      </c>
      <c r="G1847" s="26">
        <v>0.15279999999999999</v>
      </c>
      <c r="H1847" s="27">
        <v>0.1321</v>
      </c>
      <c r="I1847" s="26">
        <v>1.157</v>
      </c>
      <c r="J1847" s="28">
        <v>6</v>
      </c>
      <c r="K1847" s="27">
        <v>0.435859</v>
      </c>
      <c r="L1847" s="29">
        <f t="shared" si="112"/>
        <v>0.36065398189127401</v>
      </c>
      <c r="M1847" s="29">
        <f t="shared" si="113"/>
        <v>0.15300000000000066</v>
      </c>
      <c r="N1847" s="30">
        <f t="shared" si="114"/>
        <v>0.53570126212810765</v>
      </c>
      <c r="O1847" s="31">
        <f t="shared" si="115"/>
        <v>1.1118791575171074</v>
      </c>
    </row>
    <row r="1848" spans="1:15" x14ac:dyDescent="0.25">
      <c r="A1848" t="s">
        <v>7585</v>
      </c>
      <c r="B1848" t="s">
        <v>3699</v>
      </c>
      <c r="C1848" s="3" t="s">
        <v>3700</v>
      </c>
      <c r="D1848" s="24">
        <v>0.29183799999999999</v>
      </c>
      <c r="E1848" s="25">
        <v>8.6069999999999993</v>
      </c>
      <c r="F1848" s="25">
        <v>8.2789999999999999</v>
      </c>
      <c r="G1848" s="26">
        <v>0.32769999999999999</v>
      </c>
      <c r="H1848" s="27">
        <v>0.28370000000000001</v>
      </c>
      <c r="I1848" s="26">
        <v>1.155</v>
      </c>
      <c r="J1848" s="28">
        <v>6</v>
      </c>
      <c r="K1848" s="27">
        <v>0.43618499999999999</v>
      </c>
      <c r="L1848" s="29">
        <f t="shared" si="112"/>
        <v>0.36032927348734983</v>
      </c>
      <c r="M1848" s="29">
        <f t="shared" si="113"/>
        <v>0.32799999999999907</v>
      </c>
      <c r="N1848" s="30">
        <f t="shared" si="114"/>
        <v>0.53485815961243732</v>
      </c>
      <c r="O1848" s="31">
        <f t="shared" si="115"/>
        <v>1.2552719912826424</v>
      </c>
    </row>
    <row r="1849" spans="1:15" x14ac:dyDescent="0.25">
      <c r="A1849" t="s">
        <v>7586</v>
      </c>
      <c r="B1849" t="s">
        <v>3697</v>
      </c>
      <c r="C1849" s="3" t="s">
        <v>3698</v>
      </c>
      <c r="D1849" s="24">
        <v>0.29179699999999997</v>
      </c>
      <c r="E1849" s="25">
        <v>11.17</v>
      </c>
      <c r="F1849" s="25">
        <v>10.95</v>
      </c>
      <c r="G1849" s="26">
        <v>0.22509999999999999</v>
      </c>
      <c r="H1849" s="27">
        <v>0.1948</v>
      </c>
      <c r="I1849" s="26">
        <v>1.1559999999999999</v>
      </c>
      <c r="J1849" s="28">
        <v>6</v>
      </c>
      <c r="K1849" s="27">
        <v>0.43618499999999999</v>
      </c>
      <c r="L1849" s="29">
        <f t="shared" si="112"/>
        <v>0.36032927348734983</v>
      </c>
      <c r="M1849" s="29">
        <f t="shared" si="113"/>
        <v>0.21999999999999945</v>
      </c>
      <c r="N1849" s="30">
        <f t="shared" si="114"/>
        <v>0.53491917745333906</v>
      </c>
      <c r="O1849" s="31">
        <f t="shared" si="115"/>
        <v>1.1647335864684554</v>
      </c>
    </row>
    <row r="1850" spans="1:15" x14ac:dyDescent="0.25">
      <c r="A1850" t="s">
        <v>7587</v>
      </c>
      <c r="B1850" t="s">
        <v>3701</v>
      </c>
      <c r="C1850" s="3" t="s">
        <v>3702</v>
      </c>
      <c r="D1850" s="24">
        <v>0.29196299999999997</v>
      </c>
      <c r="E1850" s="25">
        <v>8.8889999999999993</v>
      </c>
      <c r="F1850" s="25">
        <v>8.7739999999999991</v>
      </c>
      <c r="G1850" s="26">
        <v>0.115</v>
      </c>
      <c r="H1850" s="27">
        <v>9.9559999999999996E-2</v>
      </c>
      <c r="I1850" s="26">
        <v>1.155</v>
      </c>
      <c r="J1850" s="28">
        <v>6</v>
      </c>
      <c r="K1850" s="27">
        <v>0.43618499999999999</v>
      </c>
      <c r="L1850" s="29">
        <f t="shared" si="112"/>
        <v>0.36032927348734983</v>
      </c>
      <c r="M1850" s="29">
        <f t="shared" si="113"/>
        <v>0.11500000000000009</v>
      </c>
      <c r="N1850" s="30">
        <f t="shared" si="114"/>
        <v>0.53467218250356818</v>
      </c>
      <c r="O1850" s="31">
        <f t="shared" si="115"/>
        <v>1.0829750455259248</v>
      </c>
    </row>
    <row r="1851" spans="1:15" x14ac:dyDescent="0.25">
      <c r="A1851" t="s">
        <v>7588</v>
      </c>
      <c r="B1851" t="s">
        <v>3703</v>
      </c>
      <c r="C1851" s="3" t="s">
        <v>3704</v>
      </c>
      <c r="D1851" s="24">
        <v>0.29244700000000001</v>
      </c>
      <c r="E1851" s="25">
        <v>10.92</v>
      </c>
      <c r="F1851" s="25">
        <v>11.01</v>
      </c>
      <c r="G1851" s="26">
        <v>-8.6489999999999997E-2</v>
      </c>
      <c r="H1851" s="27">
        <v>7.4959999999999999E-2</v>
      </c>
      <c r="I1851" s="26">
        <v>1.1539999999999999</v>
      </c>
      <c r="J1851" s="28">
        <v>6</v>
      </c>
      <c r="K1851" s="27">
        <v>0.43667099999999998</v>
      </c>
      <c r="L1851" s="29">
        <f t="shared" si="112"/>
        <v>0.35984564929271401</v>
      </c>
      <c r="M1851" s="29">
        <f t="shared" si="113"/>
        <v>-8.9999999999999455E-2</v>
      </c>
      <c r="N1851" s="30">
        <f t="shared" si="114"/>
        <v>0.53395282938743727</v>
      </c>
      <c r="O1851" s="31">
        <f t="shared" si="115"/>
        <v>0.93952274921401213</v>
      </c>
    </row>
    <row r="1852" spans="1:15" x14ac:dyDescent="0.25">
      <c r="A1852" t="s">
        <v>7589</v>
      </c>
      <c r="B1852" t="s">
        <v>3705</v>
      </c>
      <c r="C1852" s="3" t="s">
        <v>3706</v>
      </c>
      <c r="D1852" s="24">
        <v>0.29311199999999998</v>
      </c>
      <c r="E1852" s="25">
        <v>8.5180000000000007</v>
      </c>
      <c r="F1852" s="25">
        <v>8.0139999999999993</v>
      </c>
      <c r="G1852" s="26">
        <v>0.50349999999999995</v>
      </c>
      <c r="H1852" s="27">
        <v>0.437</v>
      </c>
      <c r="I1852" s="26">
        <v>1.1519999999999999</v>
      </c>
      <c r="J1852" s="28">
        <v>6</v>
      </c>
      <c r="K1852" s="27">
        <v>0.43742700000000001</v>
      </c>
      <c r="L1852" s="29">
        <f t="shared" si="112"/>
        <v>0.35909441382441226</v>
      </c>
      <c r="M1852" s="29">
        <f t="shared" si="113"/>
        <v>0.50400000000000189</v>
      </c>
      <c r="N1852" s="30">
        <f t="shared" si="114"/>
        <v>0.53296640118933203</v>
      </c>
      <c r="O1852" s="31">
        <f t="shared" si="115"/>
        <v>1.4181400356794605</v>
      </c>
    </row>
    <row r="1853" spans="1:15" x14ac:dyDescent="0.25">
      <c r="A1853" t="s">
        <v>7590</v>
      </c>
      <c r="B1853" t="s">
        <v>3707</v>
      </c>
      <c r="C1853" s="3" t="s">
        <v>3708</v>
      </c>
      <c r="D1853" s="24">
        <v>0.29339900000000002</v>
      </c>
      <c r="E1853" s="25">
        <v>10.32</v>
      </c>
      <c r="F1853" s="25">
        <v>10.44</v>
      </c>
      <c r="G1853" s="26">
        <v>-0.11799999999999999</v>
      </c>
      <c r="H1853" s="27">
        <v>0.10249999999999999</v>
      </c>
      <c r="I1853" s="26">
        <v>1.151</v>
      </c>
      <c r="J1853" s="28">
        <v>6</v>
      </c>
      <c r="K1853" s="27">
        <v>0.43753700000000001</v>
      </c>
      <c r="L1853" s="29">
        <f t="shared" si="112"/>
        <v>0.35898521528993305</v>
      </c>
      <c r="M1853" s="29">
        <f t="shared" si="113"/>
        <v>-0.11999999999999951</v>
      </c>
      <c r="N1853" s="30">
        <f t="shared" si="114"/>
        <v>0.53254137070821672</v>
      </c>
      <c r="O1853" s="31">
        <f t="shared" si="115"/>
        <v>0.9201876506248754</v>
      </c>
    </row>
    <row r="1854" spans="1:15" x14ac:dyDescent="0.25">
      <c r="A1854" t="s">
        <v>7591</v>
      </c>
      <c r="B1854" t="s">
        <v>3709</v>
      </c>
      <c r="C1854" s="3" t="s">
        <v>3710</v>
      </c>
      <c r="D1854" s="24">
        <v>0.29350199999999999</v>
      </c>
      <c r="E1854" s="25">
        <v>9.3070000000000004</v>
      </c>
      <c r="F1854" s="25">
        <v>9.5169999999999995</v>
      </c>
      <c r="G1854" s="26">
        <v>-0.21049999999999999</v>
      </c>
      <c r="H1854" s="27">
        <v>0.18290000000000001</v>
      </c>
      <c r="I1854" s="26">
        <v>1.151</v>
      </c>
      <c r="J1854" s="28">
        <v>6</v>
      </c>
      <c r="K1854" s="27">
        <v>0.43753700000000001</v>
      </c>
      <c r="L1854" s="29">
        <f t="shared" si="112"/>
        <v>0.35898521528993305</v>
      </c>
      <c r="M1854" s="29">
        <f t="shared" si="113"/>
        <v>-0.2099999999999991</v>
      </c>
      <c r="N1854" s="30">
        <f t="shared" si="114"/>
        <v>0.53238893500919671</v>
      </c>
      <c r="O1854" s="31">
        <f t="shared" si="115"/>
        <v>0.86453723130786575</v>
      </c>
    </row>
    <row r="1855" spans="1:15" x14ac:dyDescent="0.25">
      <c r="A1855" t="s">
        <v>7592</v>
      </c>
      <c r="B1855" t="s">
        <v>3711</v>
      </c>
      <c r="C1855" s="3" t="s">
        <v>3712</v>
      </c>
      <c r="D1855" s="24">
        <v>0.29445900000000003</v>
      </c>
      <c r="E1855" s="25">
        <v>8.3019999999999996</v>
      </c>
      <c r="F1855" s="25">
        <v>8.4320000000000004</v>
      </c>
      <c r="G1855" s="26">
        <v>-0.12970000000000001</v>
      </c>
      <c r="H1855" s="27">
        <v>0.113</v>
      </c>
      <c r="I1855" s="26">
        <v>1.149</v>
      </c>
      <c r="J1855" s="28">
        <v>6</v>
      </c>
      <c r="K1855" s="27">
        <v>0.438726</v>
      </c>
      <c r="L1855" s="29">
        <f t="shared" si="112"/>
        <v>0.3578066274552395</v>
      </c>
      <c r="M1855" s="29">
        <f t="shared" si="113"/>
        <v>-0.13000000000000131</v>
      </c>
      <c r="N1855" s="30">
        <f t="shared" si="114"/>
        <v>0.53097516713611581</v>
      </c>
      <c r="O1855" s="31">
        <f t="shared" si="115"/>
        <v>0.91383145022939971</v>
      </c>
    </row>
    <row r="1856" spans="1:15" x14ac:dyDescent="0.25">
      <c r="A1856" t="s">
        <v>7593</v>
      </c>
      <c r="B1856" t="s">
        <v>3713</v>
      </c>
      <c r="C1856" s="3" t="s">
        <v>3714</v>
      </c>
      <c r="D1856" s="24">
        <v>0.29621500000000001</v>
      </c>
      <c r="E1856" s="25">
        <v>10.18</v>
      </c>
      <c r="F1856" s="25">
        <v>10.37</v>
      </c>
      <c r="G1856" s="26">
        <v>-0.18279999999999999</v>
      </c>
      <c r="H1856" s="27">
        <v>0.1598</v>
      </c>
      <c r="I1856" s="26">
        <v>1.1439999999999999</v>
      </c>
      <c r="J1856" s="28">
        <v>6</v>
      </c>
      <c r="K1856" s="27">
        <v>0.441104</v>
      </c>
      <c r="L1856" s="29">
        <f t="shared" si="112"/>
        <v>0.35545900395351038</v>
      </c>
      <c r="M1856" s="29">
        <f t="shared" si="113"/>
        <v>-0.18999999999999945</v>
      </c>
      <c r="N1856" s="30">
        <f t="shared" si="114"/>
        <v>0.52839295306570722</v>
      </c>
      <c r="O1856" s="31">
        <f t="shared" si="115"/>
        <v>0.87660572131603542</v>
      </c>
    </row>
    <row r="1857" spans="1:15" x14ac:dyDescent="0.25">
      <c r="A1857" t="s">
        <v>7594</v>
      </c>
      <c r="B1857" t="s">
        <v>3715</v>
      </c>
      <c r="C1857" s="3" t="s">
        <v>3716</v>
      </c>
      <c r="D1857" s="24">
        <v>0.29644399999999999</v>
      </c>
      <c r="E1857" s="25">
        <v>8.99</v>
      </c>
      <c r="F1857" s="25">
        <v>9.2349999999999994</v>
      </c>
      <c r="G1857" s="26">
        <v>-0.24460000000000001</v>
      </c>
      <c r="H1857" s="27">
        <v>0.21390000000000001</v>
      </c>
      <c r="I1857" s="26">
        <v>1.143</v>
      </c>
      <c r="J1857" s="28">
        <v>6</v>
      </c>
      <c r="K1857" s="27">
        <v>0.44120799999999999</v>
      </c>
      <c r="L1857" s="29">
        <f t="shared" si="112"/>
        <v>0.35535662151662384</v>
      </c>
      <c r="M1857" s="29">
        <f t="shared" si="113"/>
        <v>-0.24499999999999958</v>
      </c>
      <c r="N1857" s="30">
        <f t="shared" si="114"/>
        <v>0.52805733531146637</v>
      </c>
      <c r="O1857" s="31">
        <f t="shared" si="115"/>
        <v>0.84381579613001811</v>
      </c>
    </row>
    <row r="1858" spans="1:15" x14ac:dyDescent="0.25">
      <c r="A1858" t="s">
        <v>7595</v>
      </c>
      <c r="B1858" t="s">
        <v>3717</v>
      </c>
      <c r="C1858" s="3" t="s">
        <v>3718</v>
      </c>
      <c r="D1858" s="24">
        <v>0.29676599999999997</v>
      </c>
      <c r="E1858" s="25">
        <v>8.4179999999999993</v>
      </c>
      <c r="F1858" s="25">
        <v>8.0579999999999998</v>
      </c>
      <c r="G1858" s="26">
        <v>0.36020000000000002</v>
      </c>
      <c r="H1858" s="27">
        <v>0.31530000000000002</v>
      </c>
      <c r="I1858" s="26">
        <v>1.143</v>
      </c>
      <c r="J1858" s="28">
        <v>6</v>
      </c>
      <c r="K1858" s="27">
        <v>0.44145000000000001</v>
      </c>
      <c r="L1858" s="29">
        <f t="shared" ref="L1858:L1921" si="116">-LOG(K1858,10)</f>
        <v>0.35511847884470776</v>
      </c>
      <c r="M1858" s="29">
        <f t="shared" ref="M1858:M1921" si="117">LOG(O1858,2)</f>
        <v>0.3599999999999986</v>
      </c>
      <c r="N1858" s="30">
        <f t="shared" ref="N1858:N1921" si="118">-LOG(D1858,10)</f>
        <v>0.52758585695841309</v>
      </c>
      <c r="O1858" s="31">
        <f t="shared" ref="O1858:O1921" si="119">((2^E1858)/(2^F1858))</f>
        <v>1.2834258975629029</v>
      </c>
    </row>
    <row r="1859" spans="1:15" x14ac:dyDescent="0.25">
      <c r="A1859" t="s">
        <v>7596</v>
      </c>
      <c r="B1859" t="s">
        <v>3719</v>
      </c>
      <c r="C1859" s="3" t="s">
        <v>3720</v>
      </c>
      <c r="D1859" s="24">
        <v>0.29757899999999998</v>
      </c>
      <c r="E1859" s="25">
        <v>8.0969999999999995</v>
      </c>
      <c r="F1859" s="25">
        <v>8.3789999999999996</v>
      </c>
      <c r="G1859" s="26">
        <v>-0.28170000000000001</v>
      </c>
      <c r="H1859" s="27">
        <v>0.247</v>
      </c>
      <c r="I1859" s="26">
        <v>1.1399999999999999</v>
      </c>
      <c r="J1859" s="28">
        <v>6</v>
      </c>
      <c r="K1859" s="27">
        <v>0.44242100000000001</v>
      </c>
      <c r="L1859" s="29">
        <f t="shared" si="116"/>
        <v>0.35416426694823433</v>
      </c>
      <c r="M1859" s="29">
        <f t="shared" si="117"/>
        <v>-0.28200000000000019</v>
      </c>
      <c r="N1859" s="30">
        <f t="shared" si="118"/>
        <v>0.52639771998743512</v>
      </c>
      <c r="O1859" s="31">
        <f t="shared" si="119"/>
        <v>0.82245006871246418</v>
      </c>
    </row>
    <row r="1860" spans="1:15" x14ac:dyDescent="0.25">
      <c r="A1860" t="s">
        <v>7597</v>
      </c>
      <c r="B1860" t="s">
        <v>3721</v>
      </c>
      <c r="C1860" s="3" t="s">
        <v>3722</v>
      </c>
      <c r="D1860" s="24">
        <v>0.29860700000000001</v>
      </c>
      <c r="E1860" s="25">
        <v>10.64</v>
      </c>
      <c r="F1860" s="25">
        <v>10.74</v>
      </c>
      <c r="G1860" s="26">
        <v>-0.1026</v>
      </c>
      <c r="H1860" s="27">
        <v>9.0200000000000002E-2</v>
      </c>
      <c r="I1860" s="26">
        <v>1.1379999999999999</v>
      </c>
      <c r="J1860" s="28">
        <v>6</v>
      </c>
      <c r="K1860" s="27">
        <v>0.44370999999999999</v>
      </c>
      <c r="L1860" s="29">
        <f t="shared" si="116"/>
        <v>0.35290078337296582</v>
      </c>
      <c r="M1860" s="29">
        <f t="shared" si="117"/>
        <v>-0.10000000000000002</v>
      </c>
      <c r="N1860" s="30">
        <f t="shared" si="118"/>
        <v>0.52490001568085198</v>
      </c>
      <c r="O1860" s="31">
        <f t="shared" si="119"/>
        <v>0.93303299153680741</v>
      </c>
    </row>
    <row r="1861" spans="1:15" x14ac:dyDescent="0.25">
      <c r="A1861" t="s">
        <v>7598</v>
      </c>
      <c r="B1861" t="s">
        <v>3723</v>
      </c>
      <c r="C1861" s="3" t="s">
        <v>3724</v>
      </c>
      <c r="D1861" s="24">
        <v>0.29877500000000001</v>
      </c>
      <c r="E1861" s="25">
        <v>10.46</v>
      </c>
      <c r="F1861" s="25">
        <v>10.72</v>
      </c>
      <c r="G1861" s="26">
        <v>-0.26040000000000002</v>
      </c>
      <c r="H1861" s="27">
        <v>0.22889999999999999</v>
      </c>
      <c r="I1861" s="26">
        <v>1.137</v>
      </c>
      <c r="J1861" s="28">
        <v>6</v>
      </c>
      <c r="K1861" s="27">
        <v>0.44372099999999998</v>
      </c>
      <c r="L1861" s="29">
        <f t="shared" si="116"/>
        <v>0.35289001692621969</v>
      </c>
      <c r="M1861" s="29">
        <f t="shared" si="117"/>
        <v>-0.25999999999999984</v>
      </c>
      <c r="N1861" s="30">
        <f t="shared" si="118"/>
        <v>0.52465574492986444</v>
      </c>
      <c r="O1861" s="31">
        <f t="shared" si="119"/>
        <v>0.83508791942836946</v>
      </c>
    </row>
    <row r="1862" spans="1:15" x14ac:dyDescent="0.25">
      <c r="A1862" t="s">
        <v>7599</v>
      </c>
      <c r="B1862" t="s">
        <v>3725</v>
      </c>
      <c r="C1862" s="3" t="s">
        <v>3726</v>
      </c>
      <c r="D1862" s="24">
        <v>0.29987000000000003</v>
      </c>
      <c r="E1862" s="25">
        <v>8.923</v>
      </c>
      <c r="F1862" s="25">
        <v>8.4269999999999996</v>
      </c>
      <c r="G1862" s="26">
        <v>0.496</v>
      </c>
      <c r="H1862" s="27">
        <v>0.43719999999999998</v>
      </c>
      <c r="I1862" s="26">
        <v>1.1339999999999999</v>
      </c>
      <c r="J1862" s="28">
        <v>6</v>
      </c>
      <c r="K1862" s="27">
        <v>0.44492300000000001</v>
      </c>
      <c r="L1862" s="29">
        <f t="shared" si="116"/>
        <v>0.35171514310586016</v>
      </c>
      <c r="M1862" s="29">
        <f t="shared" si="117"/>
        <v>0.49599999999999977</v>
      </c>
      <c r="N1862" s="30">
        <f t="shared" si="118"/>
        <v>0.52306698034303867</v>
      </c>
      <c r="O1862" s="31">
        <f t="shared" si="119"/>
        <v>1.4102979604843893</v>
      </c>
    </row>
    <row r="1863" spans="1:15" x14ac:dyDescent="0.25">
      <c r="A1863" t="s">
        <v>7600</v>
      </c>
      <c r="B1863" t="s">
        <v>3727</v>
      </c>
      <c r="C1863" s="3" t="s">
        <v>3728</v>
      </c>
      <c r="D1863" s="24">
        <v>0.29990699999999998</v>
      </c>
      <c r="E1863" s="25">
        <v>11</v>
      </c>
      <c r="F1863" s="25">
        <v>11.16</v>
      </c>
      <c r="G1863" s="26">
        <v>-0.1641</v>
      </c>
      <c r="H1863" s="27">
        <v>0.1447</v>
      </c>
      <c r="I1863" s="26">
        <v>1.1339999999999999</v>
      </c>
      <c r="J1863" s="28">
        <v>6</v>
      </c>
      <c r="K1863" s="27">
        <v>0.44492300000000001</v>
      </c>
      <c r="L1863" s="29">
        <f t="shared" si="116"/>
        <v>0.35171514310586016</v>
      </c>
      <c r="M1863" s="29">
        <f t="shared" si="117"/>
        <v>-0.15999999999999978</v>
      </c>
      <c r="N1863" s="30">
        <f t="shared" si="118"/>
        <v>0.52301339744189101</v>
      </c>
      <c r="O1863" s="31">
        <f t="shared" si="119"/>
        <v>0.89502507092797257</v>
      </c>
    </row>
    <row r="1864" spans="1:15" x14ac:dyDescent="0.25">
      <c r="A1864" t="s">
        <v>7601</v>
      </c>
      <c r="B1864" t="s">
        <v>3729</v>
      </c>
      <c r="C1864" s="3" t="s">
        <v>3730</v>
      </c>
      <c r="D1864" s="24">
        <v>0.30023</v>
      </c>
      <c r="E1864" s="25">
        <v>7.6550000000000002</v>
      </c>
      <c r="F1864" s="25">
        <v>7.9569999999999999</v>
      </c>
      <c r="G1864" s="26">
        <v>-0.30159999999999998</v>
      </c>
      <c r="H1864" s="27">
        <v>0.2661</v>
      </c>
      <c r="I1864" s="26">
        <v>1.1339999999999999</v>
      </c>
      <c r="J1864" s="28">
        <v>6</v>
      </c>
      <c r="K1864" s="27">
        <v>0.445164</v>
      </c>
      <c r="L1864" s="29">
        <f t="shared" si="116"/>
        <v>0.35147996390945263</v>
      </c>
      <c r="M1864" s="29">
        <f t="shared" si="117"/>
        <v>-0.3019999999999996</v>
      </c>
      <c r="N1864" s="30">
        <f t="shared" si="118"/>
        <v>0.52254591374666992</v>
      </c>
      <c r="O1864" s="31">
        <f t="shared" si="119"/>
        <v>0.81112715557704296</v>
      </c>
    </row>
    <row r="1865" spans="1:15" x14ac:dyDescent="0.25">
      <c r="A1865" t="s">
        <v>7602</v>
      </c>
      <c r="B1865" t="s">
        <v>3733</v>
      </c>
      <c r="C1865" s="3" t="s">
        <v>3734</v>
      </c>
      <c r="D1865" s="24">
        <v>0.30110199999999998</v>
      </c>
      <c r="E1865" s="25">
        <v>7.9480000000000004</v>
      </c>
      <c r="F1865" s="25">
        <v>7.6189999999999998</v>
      </c>
      <c r="G1865" s="26">
        <v>0.32919999999999999</v>
      </c>
      <c r="H1865" s="27">
        <v>0.29099999999999998</v>
      </c>
      <c r="I1865" s="26">
        <v>1.131</v>
      </c>
      <c r="J1865" s="28">
        <v>6</v>
      </c>
      <c r="K1865" s="27">
        <v>0.445938</v>
      </c>
      <c r="L1865" s="29">
        <f t="shared" si="116"/>
        <v>0.35072551826007226</v>
      </c>
      <c r="M1865" s="29">
        <f t="shared" si="117"/>
        <v>0.32899999999999952</v>
      </c>
      <c r="N1865" s="30">
        <f t="shared" si="118"/>
        <v>0.52128635977757909</v>
      </c>
      <c r="O1865" s="31">
        <f t="shared" si="119"/>
        <v>1.2561423811435268</v>
      </c>
    </row>
    <row r="1866" spans="1:15" x14ac:dyDescent="0.25">
      <c r="A1866" t="s">
        <v>7603</v>
      </c>
      <c r="B1866" t="s">
        <v>3735</v>
      </c>
      <c r="C1866" s="3" t="s">
        <v>3736</v>
      </c>
      <c r="D1866" s="24">
        <v>0.301236</v>
      </c>
      <c r="E1866" s="25">
        <v>9.0139999999999993</v>
      </c>
      <c r="F1866" s="25">
        <v>9.1750000000000007</v>
      </c>
      <c r="G1866" s="26">
        <v>-0.16089999999999999</v>
      </c>
      <c r="H1866" s="27">
        <v>0.14230000000000001</v>
      </c>
      <c r="I1866" s="26">
        <v>1.131</v>
      </c>
      <c r="J1866" s="28">
        <v>6</v>
      </c>
      <c r="K1866" s="27">
        <v>0.445938</v>
      </c>
      <c r="L1866" s="29">
        <f t="shared" si="116"/>
        <v>0.35072551826007226</v>
      </c>
      <c r="M1866" s="29">
        <f t="shared" si="117"/>
        <v>-0.16100000000000131</v>
      </c>
      <c r="N1866" s="30">
        <f t="shared" si="118"/>
        <v>0.5210931278661437</v>
      </c>
      <c r="O1866" s="31">
        <f t="shared" si="119"/>
        <v>0.8944049017826049</v>
      </c>
    </row>
    <row r="1867" spans="1:15" x14ac:dyDescent="0.25">
      <c r="A1867" t="s">
        <v>7604</v>
      </c>
      <c r="B1867" t="s">
        <v>3731</v>
      </c>
      <c r="C1867" s="3" t="s">
        <v>3732</v>
      </c>
      <c r="D1867" s="24">
        <v>0.30096000000000001</v>
      </c>
      <c r="E1867" s="25">
        <v>8.218</v>
      </c>
      <c r="F1867" s="25">
        <v>7.6020000000000003</v>
      </c>
      <c r="G1867" s="26">
        <v>0.61580000000000001</v>
      </c>
      <c r="H1867" s="27">
        <v>0.54410000000000003</v>
      </c>
      <c r="I1867" s="26">
        <v>1.1319999999999999</v>
      </c>
      <c r="J1867" s="28">
        <v>6</v>
      </c>
      <c r="K1867" s="27">
        <v>0.445938</v>
      </c>
      <c r="L1867" s="29">
        <f t="shared" si="116"/>
        <v>0.35072551826007226</v>
      </c>
      <c r="M1867" s="29">
        <f t="shared" si="117"/>
        <v>0.61599999999999899</v>
      </c>
      <c r="N1867" s="30">
        <f t="shared" si="118"/>
        <v>0.52149122179369622</v>
      </c>
      <c r="O1867" s="31">
        <f t="shared" si="119"/>
        <v>1.5326199602077821</v>
      </c>
    </row>
    <row r="1868" spans="1:15" x14ac:dyDescent="0.25">
      <c r="A1868" t="s">
        <v>7605</v>
      </c>
      <c r="B1868" t="s">
        <v>3737</v>
      </c>
      <c r="C1868" s="3" t="s">
        <v>3738</v>
      </c>
      <c r="D1868" s="24">
        <v>0.30262</v>
      </c>
      <c r="E1868" s="25">
        <v>9.2409999999999997</v>
      </c>
      <c r="F1868" s="25">
        <v>9.1359999999999992</v>
      </c>
      <c r="G1868" s="26">
        <v>0.10489999999999999</v>
      </c>
      <c r="H1868" s="27">
        <v>9.3030000000000002E-2</v>
      </c>
      <c r="I1868" s="26">
        <v>1.127</v>
      </c>
      <c r="J1868" s="28">
        <v>6</v>
      </c>
      <c r="K1868" s="27">
        <v>0.44774599999999998</v>
      </c>
      <c r="L1868" s="29">
        <f t="shared" si="116"/>
        <v>0.34896828529062768</v>
      </c>
      <c r="M1868" s="29">
        <f t="shared" si="117"/>
        <v>0.10500000000000087</v>
      </c>
      <c r="N1868" s="30">
        <f t="shared" si="118"/>
        <v>0.51910237306561202</v>
      </c>
      <c r="O1868" s="31">
        <f t="shared" si="119"/>
        <v>1.0754943904573788</v>
      </c>
    </row>
    <row r="1869" spans="1:15" x14ac:dyDescent="0.25">
      <c r="A1869" t="s">
        <v>7606</v>
      </c>
      <c r="B1869" t="s">
        <v>3739</v>
      </c>
      <c r="C1869" s="3" t="s">
        <v>3740</v>
      </c>
      <c r="D1869" s="24">
        <v>0.30336000000000002</v>
      </c>
      <c r="E1869" s="25">
        <v>8.82</v>
      </c>
      <c r="F1869" s="25">
        <v>9.0210000000000008</v>
      </c>
      <c r="G1869" s="26">
        <v>-0.20050000000000001</v>
      </c>
      <c r="H1869" s="27">
        <v>0.17810000000000001</v>
      </c>
      <c r="I1869" s="26">
        <v>1.1259999999999999</v>
      </c>
      <c r="J1869" s="28">
        <v>6</v>
      </c>
      <c r="K1869" s="27">
        <v>0.448405</v>
      </c>
      <c r="L1869" s="29">
        <f t="shared" si="116"/>
        <v>0.34832955339128652</v>
      </c>
      <c r="M1869" s="29">
        <f t="shared" si="117"/>
        <v>-0.20100000000000073</v>
      </c>
      <c r="N1869" s="30">
        <f t="shared" si="118"/>
        <v>0.51804168434202769</v>
      </c>
      <c r="O1869" s="31">
        <f t="shared" si="119"/>
        <v>0.86994735270865031</v>
      </c>
    </row>
    <row r="1870" spans="1:15" x14ac:dyDescent="0.25">
      <c r="A1870" t="s">
        <v>7607</v>
      </c>
      <c r="B1870" t="s">
        <v>3741</v>
      </c>
      <c r="C1870" s="3" t="s">
        <v>3742</v>
      </c>
      <c r="D1870" s="24">
        <v>0.30352899999999999</v>
      </c>
      <c r="E1870" s="25">
        <v>8.4559999999999995</v>
      </c>
      <c r="F1870" s="25">
        <v>8.77</v>
      </c>
      <c r="G1870" s="26">
        <v>-0.314</v>
      </c>
      <c r="H1870" s="27">
        <v>0.27910000000000001</v>
      </c>
      <c r="I1870" s="26">
        <v>1.125</v>
      </c>
      <c r="J1870" s="28">
        <v>6</v>
      </c>
      <c r="K1870" s="27">
        <v>0.448405</v>
      </c>
      <c r="L1870" s="29">
        <f t="shared" si="116"/>
        <v>0.34832955339128652</v>
      </c>
      <c r="M1870" s="29">
        <f t="shared" si="117"/>
        <v>-0.31399999999999961</v>
      </c>
      <c r="N1870" s="30">
        <f t="shared" si="118"/>
        <v>0.51779980891064303</v>
      </c>
      <c r="O1870" s="31">
        <f t="shared" si="119"/>
        <v>0.80440837094191597</v>
      </c>
    </row>
    <row r="1871" spans="1:15" x14ac:dyDescent="0.25">
      <c r="A1871" t="s">
        <v>7608</v>
      </c>
      <c r="B1871" t="s">
        <v>3743</v>
      </c>
      <c r="C1871" s="3" t="s">
        <v>3744</v>
      </c>
      <c r="D1871" s="24">
        <v>0.30355199999999999</v>
      </c>
      <c r="E1871" s="25">
        <v>9.4359999999999999</v>
      </c>
      <c r="F1871" s="25">
        <v>9.5980000000000008</v>
      </c>
      <c r="G1871" s="26">
        <v>-0.1618</v>
      </c>
      <c r="H1871" s="27">
        <v>0.14380000000000001</v>
      </c>
      <c r="I1871" s="26">
        <v>1.125</v>
      </c>
      <c r="J1871" s="28">
        <v>6</v>
      </c>
      <c r="K1871" s="27">
        <v>0.448405</v>
      </c>
      <c r="L1871" s="29">
        <f t="shared" si="116"/>
        <v>0.34832955339128652</v>
      </c>
      <c r="M1871" s="29">
        <f t="shared" si="117"/>
        <v>-0.16200000000000064</v>
      </c>
      <c r="N1871" s="30">
        <f t="shared" si="118"/>
        <v>0.51776690136424131</v>
      </c>
      <c r="O1871" s="31">
        <f t="shared" si="119"/>
        <v>0.89378516235678651</v>
      </c>
    </row>
    <row r="1872" spans="1:15" x14ac:dyDescent="0.25">
      <c r="A1872" t="s">
        <v>7609</v>
      </c>
      <c r="B1872" t="s">
        <v>3745</v>
      </c>
      <c r="C1872" s="3" t="s">
        <v>3746</v>
      </c>
      <c r="D1872" s="24">
        <v>0.30398599999999998</v>
      </c>
      <c r="E1872" s="25">
        <v>9.8010000000000002</v>
      </c>
      <c r="F1872" s="25">
        <v>9.9529999999999994</v>
      </c>
      <c r="G1872" s="26">
        <v>-0.1515</v>
      </c>
      <c r="H1872" s="27">
        <v>0.1348</v>
      </c>
      <c r="I1872" s="26">
        <v>1.1240000000000001</v>
      </c>
      <c r="J1872" s="28">
        <v>6</v>
      </c>
      <c r="K1872" s="27">
        <v>0.44880599999999998</v>
      </c>
      <c r="L1872" s="29">
        <f t="shared" si="116"/>
        <v>0.347941345714744</v>
      </c>
      <c r="M1872" s="29">
        <f t="shared" si="117"/>
        <v>-0.15199999999999889</v>
      </c>
      <c r="N1872" s="30">
        <f t="shared" si="118"/>
        <v>0.51714641725556787</v>
      </c>
      <c r="O1872" s="31">
        <f t="shared" si="119"/>
        <v>0.90000192979351279</v>
      </c>
    </row>
    <row r="1873" spans="1:15" x14ac:dyDescent="0.25">
      <c r="A1873" t="s">
        <v>7610</v>
      </c>
      <c r="B1873" t="s">
        <v>3747</v>
      </c>
      <c r="C1873" s="3" t="s">
        <v>3748</v>
      </c>
      <c r="D1873" s="24">
        <v>0.30504100000000001</v>
      </c>
      <c r="E1873" s="25">
        <v>8.2799999999999994</v>
      </c>
      <c r="F1873" s="25">
        <v>8.1920000000000002</v>
      </c>
      <c r="G1873" s="26">
        <v>8.7980000000000003E-2</v>
      </c>
      <c r="H1873" s="27">
        <v>7.8469999999999998E-2</v>
      </c>
      <c r="I1873" s="26">
        <v>1.121</v>
      </c>
      <c r="J1873" s="28">
        <v>6</v>
      </c>
      <c r="K1873" s="27">
        <v>0.450123</v>
      </c>
      <c r="L1873" s="29">
        <f t="shared" si="116"/>
        <v>0.34666879528662542</v>
      </c>
      <c r="M1873" s="29">
        <f t="shared" si="117"/>
        <v>8.7999999999998996E-2</v>
      </c>
      <c r="N1873" s="30">
        <f t="shared" si="118"/>
        <v>0.51564178400710392</v>
      </c>
      <c r="O1873" s="31">
        <f t="shared" si="119"/>
        <v>1.0628956743585525</v>
      </c>
    </row>
    <row r="1874" spans="1:15" x14ac:dyDescent="0.25">
      <c r="A1874" t="s">
        <v>7611</v>
      </c>
      <c r="B1874" t="s">
        <v>3753</v>
      </c>
      <c r="C1874" s="3" t="s">
        <v>3754</v>
      </c>
      <c r="D1874" s="24">
        <v>0.306033</v>
      </c>
      <c r="E1874" s="25">
        <v>8.8559999999999999</v>
      </c>
      <c r="F1874" s="25">
        <v>8.9320000000000004</v>
      </c>
      <c r="G1874" s="26">
        <v>-7.6050000000000006E-2</v>
      </c>
      <c r="H1874" s="27">
        <v>6.7979999999999999E-2</v>
      </c>
      <c r="I1874" s="26">
        <v>1.119</v>
      </c>
      <c r="J1874" s="28">
        <v>6</v>
      </c>
      <c r="K1874" s="27">
        <v>0.45086399999999999</v>
      </c>
      <c r="L1874" s="29">
        <f t="shared" si="116"/>
        <v>0.34595444028783506</v>
      </c>
      <c r="M1874" s="29">
        <f t="shared" si="117"/>
        <v>-7.6000000000001511E-2</v>
      </c>
      <c r="N1874" s="30">
        <f t="shared" si="118"/>
        <v>0.51423174036427066</v>
      </c>
      <c r="O1874" s="31">
        <f t="shared" si="119"/>
        <v>0.94868431514045293</v>
      </c>
    </row>
    <row r="1875" spans="1:15" x14ac:dyDescent="0.25">
      <c r="A1875" t="s">
        <v>7612</v>
      </c>
      <c r="B1875" t="s">
        <v>3749</v>
      </c>
      <c r="C1875" s="3" t="s">
        <v>3750</v>
      </c>
      <c r="D1875" s="24">
        <v>0.30581399999999997</v>
      </c>
      <c r="E1875" s="25">
        <v>10.67</v>
      </c>
      <c r="F1875" s="25">
        <v>10.59</v>
      </c>
      <c r="G1875" s="26">
        <v>7.3080000000000006E-2</v>
      </c>
      <c r="H1875" s="27">
        <v>6.5290000000000001E-2</v>
      </c>
      <c r="I1875" s="26">
        <v>1.119</v>
      </c>
      <c r="J1875" s="28">
        <v>6</v>
      </c>
      <c r="K1875" s="27">
        <v>0.45086399999999999</v>
      </c>
      <c r="L1875" s="29">
        <f t="shared" si="116"/>
        <v>0.34595444028783506</v>
      </c>
      <c r="M1875" s="29">
        <f t="shared" si="117"/>
        <v>8.000000000000046E-2</v>
      </c>
      <c r="N1875" s="30">
        <f t="shared" si="118"/>
        <v>0.5145426367014222</v>
      </c>
      <c r="O1875" s="31">
        <f t="shared" si="119"/>
        <v>1.0570180405613807</v>
      </c>
    </row>
    <row r="1876" spans="1:15" x14ac:dyDescent="0.25">
      <c r="A1876" t="s">
        <v>7613</v>
      </c>
      <c r="B1876" t="s">
        <v>3751</v>
      </c>
      <c r="C1876" s="3" t="s">
        <v>3752</v>
      </c>
      <c r="D1876" s="24">
        <v>0.30601800000000001</v>
      </c>
      <c r="E1876" s="25">
        <v>9.3140000000000001</v>
      </c>
      <c r="F1876" s="25">
        <v>9.1780000000000008</v>
      </c>
      <c r="G1876" s="26">
        <v>0.13650000000000001</v>
      </c>
      <c r="H1876" s="27">
        <v>0.122</v>
      </c>
      <c r="I1876" s="26">
        <v>1.119</v>
      </c>
      <c r="J1876" s="28">
        <v>6</v>
      </c>
      <c r="K1876" s="27">
        <v>0.45086399999999999</v>
      </c>
      <c r="L1876" s="29">
        <f t="shared" si="116"/>
        <v>0.34595444028783506</v>
      </c>
      <c r="M1876" s="29">
        <f t="shared" si="117"/>
        <v>0.13599999999999884</v>
      </c>
      <c r="N1876" s="30">
        <f t="shared" si="118"/>
        <v>0.51425302753553537</v>
      </c>
      <c r="O1876" s="31">
        <f t="shared" si="119"/>
        <v>1.0988542175768787</v>
      </c>
    </row>
    <row r="1877" spans="1:15" x14ac:dyDescent="0.25">
      <c r="A1877" t="s">
        <v>7614</v>
      </c>
      <c r="B1877" t="s">
        <v>3755</v>
      </c>
      <c r="C1877" s="3" t="s">
        <v>3756</v>
      </c>
      <c r="D1877" s="24">
        <v>0.307031</v>
      </c>
      <c r="E1877" s="25">
        <v>8.4290000000000003</v>
      </c>
      <c r="F1877" s="25">
        <v>8.5879999999999992</v>
      </c>
      <c r="G1877" s="26">
        <v>-0.15959999999999999</v>
      </c>
      <c r="H1877" s="27">
        <v>0.14299999999999999</v>
      </c>
      <c r="I1877" s="26">
        <v>1.1160000000000001</v>
      </c>
      <c r="J1877" s="28">
        <v>6</v>
      </c>
      <c r="K1877" s="27">
        <v>0.452094</v>
      </c>
      <c r="L1877" s="29">
        <f t="shared" si="116"/>
        <v>0.34477125669979702</v>
      </c>
      <c r="M1877" s="29">
        <f t="shared" si="117"/>
        <v>-0.15899999999999812</v>
      </c>
      <c r="N1877" s="30">
        <f t="shared" si="118"/>
        <v>0.51281777289659125</v>
      </c>
      <c r="O1877" s="31">
        <f t="shared" si="119"/>
        <v>0.89564567009085039</v>
      </c>
    </row>
    <row r="1878" spans="1:15" x14ac:dyDescent="0.25">
      <c r="A1878" t="s">
        <v>7615</v>
      </c>
      <c r="B1878" t="s">
        <v>3757</v>
      </c>
      <c r="C1878" s="3" t="s">
        <v>3758</v>
      </c>
      <c r="D1878" s="24">
        <v>0.30875900000000001</v>
      </c>
      <c r="E1878" s="25">
        <v>8.7100000000000009</v>
      </c>
      <c r="F1878" s="25">
        <v>8.8840000000000003</v>
      </c>
      <c r="G1878" s="26">
        <v>-0.17430000000000001</v>
      </c>
      <c r="H1878" s="27">
        <v>0.15670000000000001</v>
      </c>
      <c r="I1878" s="26">
        <v>1.1120000000000001</v>
      </c>
      <c r="J1878" s="28">
        <v>6</v>
      </c>
      <c r="K1878" s="27">
        <v>0.45439600000000002</v>
      </c>
      <c r="L1878" s="29">
        <f t="shared" si="116"/>
        <v>0.34256550032866973</v>
      </c>
      <c r="M1878" s="29">
        <f t="shared" si="117"/>
        <v>-0.17399999999999949</v>
      </c>
      <c r="N1878" s="30">
        <f t="shared" si="118"/>
        <v>0.51038037432055294</v>
      </c>
      <c r="O1878" s="31">
        <f t="shared" si="119"/>
        <v>0.88638169919486764</v>
      </c>
    </row>
    <row r="1879" spans="1:15" x14ac:dyDescent="0.25">
      <c r="A1879" t="s">
        <v>7616</v>
      </c>
      <c r="B1879" t="s">
        <v>3759</v>
      </c>
      <c r="C1879" s="3" t="s">
        <v>3760</v>
      </c>
      <c r="D1879" s="24">
        <v>0.30979899999999999</v>
      </c>
      <c r="E1879" s="25">
        <v>12.61</v>
      </c>
      <c r="F1879" s="25">
        <v>12.75</v>
      </c>
      <c r="G1879" s="26">
        <v>-0.1323</v>
      </c>
      <c r="H1879" s="27">
        <v>0.1192</v>
      </c>
      <c r="I1879" s="26">
        <v>1.109</v>
      </c>
      <c r="J1879" s="28">
        <v>6</v>
      </c>
      <c r="K1879" s="27">
        <v>0.455683</v>
      </c>
      <c r="L1879" s="29">
        <f t="shared" si="116"/>
        <v>0.3413371731816684</v>
      </c>
      <c r="M1879" s="29">
        <f t="shared" si="117"/>
        <v>-0.14000000000000032</v>
      </c>
      <c r="N1879" s="30">
        <f t="shared" si="118"/>
        <v>0.50891998843343911</v>
      </c>
      <c r="O1879" s="31">
        <f t="shared" si="119"/>
        <v>0.90751915531716065</v>
      </c>
    </row>
    <row r="1880" spans="1:15" x14ac:dyDescent="0.25">
      <c r="A1880" t="s">
        <v>7617</v>
      </c>
      <c r="B1880" t="s">
        <v>3761</v>
      </c>
      <c r="C1880" s="3" t="s">
        <v>3762</v>
      </c>
      <c r="D1880" s="24">
        <v>0.31162200000000001</v>
      </c>
      <c r="E1880" s="25">
        <v>7.306</v>
      </c>
      <c r="F1880" s="25">
        <v>7.0129999999999999</v>
      </c>
      <c r="G1880" s="26">
        <v>0.29239999999999999</v>
      </c>
      <c r="H1880" s="27">
        <v>0.26469999999999999</v>
      </c>
      <c r="I1880" s="26">
        <v>1.105</v>
      </c>
      <c r="J1880" s="28">
        <v>6</v>
      </c>
      <c r="K1880" s="27">
        <v>0.45793099999999998</v>
      </c>
      <c r="L1880" s="29">
        <f t="shared" si="116"/>
        <v>0.33919995556985633</v>
      </c>
      <c r="M1880" s="29">
        <f t="shared" si="117"/>
        <v>0.29299999999999943</v>
      </c>
      <c r="N1880" s="30">
        <f t="shared" si="118"/>
        <v>0.50637188944193545</v>
      </c>
      <c r="O1880" s="31">
        <f t="shared" si="119"/>
        <v>1.2251853319046755</v>
      </c>
    </row>
    <row r="1881" spans="1:15" x14ac:dyDescent="0.25">
      <c r="A1881" t="s">
        <v>7618</v>
      </c>
      <c r="B1881" t="s">
        <v>3763</v>
      </c>
      <c r="C1881" s="3" t="s">
        <v>3764</v>
      </c>
      <c r="D1881" s="24">
        <v>0.31165799999999999</v>
      </c>
      <c r="E1881" s="25">
        <v>8.1859999999999999</v>
      </c>
      <c r="F1881" s="25">
        <v>8.4290000000000003</v>
      </c>
      <c r="G1881" s="26">
        <v>-0.24299999999999999</v>
      </c>
      <c r="H1881" s="27">
        <v>0.22</v>
      </c>
      <c r="I1881" s="26">
        <v>1.105</v>
      </c>
      <c r="J1881" s="28">
        <v>6</v>
      </c>
      <c r="K1881" s="27">
        <v>0.45793099999999998</v>
      </c>
      <c r="L1881" s="29">
        <f t="shared" si="116"/>
        <v>0.33919995556985633</v>
      </c>
      <c r="M1881" s="29">
        <f t="shared" si="117"/>
        <v>-0.24300000000000041</v>
      </c>
      <c r="N1881" s="30">
        <f t="shared" si="118"/>
        <v>0.50632172065305769</v>
      </c>
      <c r="O1881" s="31">
        <f t="shared" si="119"/>
        <v>0.84498638441251328</v>
      </c>
    </row>
    <row r="1882" spans="1:15" x14ac:dyDescent="0.25">
      <c r="A1882" t="s">
        <v>7619</v>
      </c>
      <c r="B1882" t="s">
        <v>3765</v>
      </c>
      <c r="C1882" s="3" t="s">
        <v>3766</v>
      </c>
      <c r="D1882" s="24">
        <v>0.31184899999999999</v>
      </c>
      <c r="E1882" s="25">
        <v>13.69</v>
      </c>
      <c r="F1882" s="25">
        <v>13.87</v>
      </c>
      <c r="G1882" s="26">
        <v>-0.17799999999999999</v>
      </c>
      <c r="H1882" s="27">
        <v>0.16120000000000001</v>
      </c>
      <c r="I1882" s="26">
        <v>1.1040000000000001</v>
      </c>
      <c r="J1882" s="28">
        <v>6</v>
      </c>
      <c r="K1882" s="27">
        <v>0.45796700000000001</v>
      </c>
      <c r="L1882" s="29">
        <f t="shared" si="116"/>
        <v>0.33916581508400184</v>
      </c>
      <c r="M1882" s="29">
        <f t="shared" si="117"/>
        <v>-0.17999999999999913</v>
      </c>
      <c r="N1882" s="30">
        <f t="shared" si="118"/>
        <v>0.50605564425411365</v>
      </c>
      <c r="O1882" s="31">
        <f t="shared" si="119"/>
        <v>0.88270299629065541</v>
      </c>
    </row>
    <row r="1883" spans="1:15" x14ac:dyDescent="0.25">
      <c r="A1883" t="s">
        <v>7620</v>
      </c>
      <c r="B1883" t="s">
        <v>3767</v>
      </c>
      <c r="C1883" s="3" t="s">
        <v>3768</v>
      </c>
      <c r="D1883" s="24">
        <v>0.31231799999999998</v>
      </c>
      <c r="E1883" s="25">
        <v>10.15</v>
      </c>
      <c r="F1883" s="25">
        <v>9.7110000000000003</v>
      </c>
      <c r="G1883" s="26">
        <v>0.43919999999999998</v>
      </c>
      <c r="H1883" s="27">
        <v>0.39829999999999999</v>
      </c>
      <c r="I1883" s="26">
        <v>1.103</v>
      </c>
      <c r="J1883" s="28">
        <v>6</v>
      </c>
      <c r="K1883" s="27">
        <v>0.45841300000000001</v>
      </c>
      <c r="L1883" s="29">
        <f t="shared" si="116"/>
        <v>0.33874307483602029</v>
      </c>
      <c r="M1883" s="29">
        <f t="shared" si="117"/>
        <v>0.439000000000001</v>
      </c>
      <c r="N1883" s="30">
        <f t="shared" si="118"/>
        <v>0.50540298510889692</v>
      </c>
      <c r="O1883" s="31">
        <f t="shared" si="119"/>
        <v>1.3556643268000019</v>
      </c>
    </row>
    <row r="1884" spans="1:15" x14ac:dyDescent="0.25">
      <c r="A1884" t="s">
        <v>7621</v>
      </c>
      <c r="B1884" t="s">
        <v>3773</v>
      </c>
      <c r="C1884" s="3" t="s">
        <v>3774</v>
      </c>
      <c r="D1884" s="24">
        <v>0.31346800000000002</v>
      </c>
      <c r="E1884" s="25">
        <v>7.641</v>
      </c>
      <c r="F1884" s="25">
        <v>7.3449999999999998</v>
      </c>
      <c r="G1884" s="26">
        <v>0.2959</v>
      </c>
      <c r="H1884" s="27">
        <v>0.26889999999999997</v>
      </c>
      <c r="I1884" s="26">
        <v>1.1000000000000001</v>
      </c>
      <c r="J1884" s="28">
        <v>6</v>
      </c>
      <c r="K1884" s="27">
        <v>0.45936700000000003</v>
      </c>
      <c r="L1884" s="29">
        <f t="shared" si="116"/>
        <v>0.33784020686121763</v>
      </c>
      <c r="M1884" s="29">
        <f t="shared" si="117"/>
        <v>0.29600000000000082</v>
      </c>
      <c r="N1884" s="30">
        <f t="shared" si="118"/>
        <v>0.50380678699513892</v>
      </c>
      <c r="O1884" s="31">
        <f t="shared" si="119"/>
        <v>1.227735683915061</v>
      </c>
    </row>
    <row r="1885" spans="1:15" x14ac:dyDescent="0.25">
      <c r="A1885" t="s">
        <v>7622</v>
      </c>
      <c r="B1885" t="s">
        <v>3769</v>
      </c>
      <c r="C1885" s="3" t="s">
        <v>3770</v>
      </c>
      <c r="D1885" s="24">
        <v>0.31340400000000002</v>
      </c>
      <c r="E1885" s="25">
        <v>11.45</v>
      </c>
      <c r="F1885" s="25">
        <v>11.6</v>
      </c>
      <c r="G1885" s="26">
        <v>-0.155</v>
      </c>
      <c r="H1885" s="27">
        <v>0.1409</v>
      </c>
      <c r="I1885" s="26">
        <v>1.1000000000000001</v>
      </c>
      <c r="J1885" s="28">
        <v>6</v>
      </c>
      <c r="K1885" s="27">
        <v>0.45936700000000003</v>
      </c>
      <c r="L1885" s="29">
        <f t="shared" si="116"/>
        <v>0.33784020686121763</v>
      </c>
      <c r="M1885" s="29">
        <f t="shared" si="117"/>
        <v>-0.14999999999999936</v>
      </c>
      <c r="N1885" s="30">
        <f t="shared" si="118"/>
        <v>0.5038954648972892</v>
      </c>
      <c r="O1885" s="31">
        <f t="shared" si="119"/>
        <v>0.90125046261083064</v>
      </c>
    </row>
    <row r="1886" spans="1:15" x14ac:dyDescent="0.25">
      <c r="A1886" t="s">
        <v>7623</v>
      </c>
      <c r="B1886" t="s">
        <v>3771</v>
      </c>
      <c r="C1886" s="3" t="s">
        <v>3772</v>
      </c>
      <c r="D1886" s="24">
        <v>0.31343199999999999</v>
      </c>
      <c r="E1886" s="25">
        <v>9.3879999999999999</v>
      </c>
      <c r="F1886" s="25">
        <v>9.5980000000000008</v>
      </c>
      <c r="G1886" s="26">
        <v>-0.20960000000000001</v>
      </c>
      <c r="H1886" s="27">
        <v>0.1905</v>
      </c>
      <c r="I1886" s="26">
        <v>1.1000000000000001</v>
      </c>
      <c r="J1886" s="28">
        <v>6</v>
      </c>
      <c r="K1886" s="27">
        <v>0.45936700000000003</v>
      </c>
      <c r="L1886" s="29">
        <f t="shared" si="116"/>
        <v>0.33784020686121763</v>
      </c>
      <c r="M1886" s="29">
        <f t="shared" si="117"/>
        <v>-0.21000000000000038</v>
      </c>
      <c r="N1886" s="30">
        <f t="shared" si="118"/>
        <v>0.50385666608706969</v>
      </c>
      <c r="O1886" s="31">
        <f t="shared" si="119"/>
        <v>0.86453723130786497</v>
      </c>
    </row>
    <row r="1887" spans="1:15" x14ac:dyDescent="0.25">
      <c r="A1887" t="s">
        <v>7624</v>
      </c>
      <c r="B1887" t="s">
        <v>3775</v>
      </c>
      <c r="C1887" s="3" t="s">
        <v>3776</v>
      </c>
      <c r="D1887" s="24">
        <v>0.31364999999999998</v>
      </c>
      <c r="E1887" s="25">
        <v>8.4</v>
      </c>
      <c r="F1887" s="25">
        <v>7.5960000000000001</v>
      </c>
      <c r="G1887" s="26">
        <v>0.80449999999999999</v>
      </c>
      <c r="H1887" s="27">
        <v>0.73160000000000003</v>
      </c>
      <c r="I1887" s="26">
        <v>1.1000000000000001</v>
      </c>
      <c r="J1887" s="28">
        <v>6</v>
      </c>
      <c r="K1887" s="27">
        <v>0.45939099999999999</v>
      </c>
      <c r="L1887" s="29">
        <f t="shared" si="116"/>
        <v>0.33781751738788945</v>
      </c>
      <c r="M1887" s="29">
        <f t="shared" si="117"/>
        <v>0.80400000000000049</v>
      </c>
      <c r="N1887" s="30">
        <f t="shared" si="118"/>
        <v>0.50355470812664693</v>
      </c>
      <c r="O1887" s="31">
        <f t="shared" si="119"/>
        <v>1.7459351822675264</v>
      </c>
    </row>
    <row r="1888" spans="1:15" x14ac:dyDescent="0.25">
      <c r="A1888" t="s">
        <v>7625</v>
      </c>
      <c r="B1888" t="s">
        <v>3777</v>
      </c>
      <c r="C1888" s="3" t="s">
        <v>3778</v>
      </c>
      <c r="D1888" s="24">
        <v>0.314141</v>
      </c>
      <c r="E1888" s="25">
        <v>10.18</v>
      </c>
      <c r="F1888" s="25">
        <v>10.07</v>
      </c>
      <c r="G1888" s="26">
        <v>0.1041</v>
      </c>
      <c r="H1888" s="27">
        <v>9.4799999999999995E-2</v>
      </c>
      <c r="I1888" s="26">
        <v>1.0980000000000001</v>
      </c>
      <c r="J1888" s="28">
        <v>6</v>
      </c>
      <c r="K1888" s="27">
        <v>0.45986700000000003</v>
      </c>
      <c r="L1888" s="29">
        <f t="shared" si="116"/>
        <v>0.33736775422703141</v>
      </c>
      <c r="M1888" s="29">
        <f t="shared" si="117"/>
        <v>0.10999999999999915</v>
      </c>
      <c r="N1888" s="30">
        <f t="shared" si="118"/>
        <v>0.50287537811365435</v>
      </c>
      <c r="O1888" s="31">
        <f t="shared" si="119"/>
        <v>1.0792282365044266</v>
      </c>
    </row>
    <row r="1889" spans="1:15" x14ac:dyDescent="0.25">
      <c r="A1889" t="s">
        <v>7626</v>
      </c>
      <c r="B1889" t="s">
        <v>3779</v>
      </c>
      <c r="C1889" s="3" t="s">
        <v>3780</v>
      </c>
      <c r="D1889" s="24">
        <v>0.31474600000000003</v>
      </c>
      <c r="E1889" s="25">
        <v>8.6259999999999994</v>
      </c>
      <c r="F1889" s="25">
        <v>8.8490000000000002</v>
      </c>
      <c r="G1889" s="26">
        <v>-0.22309999999999999</v>
      </c>
      <c r="H1889" s="27">
        <v>0.2034</v>
      </c>
      <c r="I1889" s="26">
        <v>1.097</v>
      </c>
      <c r="J1889" s="28">
        <v>6</v>
      </c>
      <c r="K1889" s="27">
        <v>0.46050799999999997</v>
      </c>
      <c r="L1889" s="29">
        <f t="shared" si="116"/>
        <v>0.33676282078596703</v>
      </c>
      <c r="M1889" s="29">
        <f t="shared" si="117"/>
        <v>-0.22300000000000078</v>
      </c>
      <c r="N1889" s="30">
        <f t="shared" si="118"/>
        <v>0.50203978048607645</v>
      </c>
      <c r="O1889" s="31">
        <f t="shared" si="119"/>
        <v>0.85678195476856933</v>
      </c>
    </row>
    <row r="1890" spans="1:15" x14ac:dyDescent="0.25">
      <c r="A1890" t="s">
        <v>7627</v>
      </c>
      <c r="B1890" t="s">
        <v>3781</v>
      </c>
      <c r="C1890" s="3" t="s">
        <v>3782</v>
      </c>
      <c r="D1890" s="24">
        <v>0.31588300000000002</v>
      </c>
      <c r="E1890" s="25">
        <v>8.73</v>
      </c>
      <c r="F1890" s="25">
        <v>8.4879999999999995</v>
      </c>
      <c r="G1890" s="26">
        <v>0.24199999999999999</v>
      </c>
      <c r="H1890" s="27">
        <v>0.22120000000000001</v>
      </c>
      <c r="I1890" s="26">
        <v>1.0940000000000001</v>
      </c>
      <c r="J1890" s="28">
        <v>6</v>
      </c>
      <c r="K1890" s="27">
        <v>0.46192699999999998</v>
      </c>
      <c r="L1890" s="29">
        <f t="shared" si="116"/>
        <v>0.33542665215416961</v>
      </c>
      <c r="M1890" s="29">
        <f t="shared" si="117"/>
        <v>0.24199999999999974</v>
      </c>
      <c r="N1890" s="30">
        <f t="shared" si="118"/>
        <v>0.50047374606337225</v>
      </c>
      <c r="O1890" s="31">
        <f t="shared" si="119"/>
        <v>1.1826310002441425</v>
      </c>
    </row>
    <row r="1891" spans="1:15" x14ac:dyDescent="0.25">
      <c r="A1891" t="s">
        <v>7628</v>
      </c>
      <c r="B1891" t="s">
        <v>3783</v>
      </c>
      <c r="C1891" s="3" t="s">
        <v>3784</v>
      </c>
      <c r="D1891" s="24">
        <v>0.316216</v>
      </c>
      <c r="E1891" s="25">
        <v>9.2319999999999993</v>
      </c>
      <c r="F1891" s="25">
        <v>10.14</v>
      </c>
      <c r="G1891" s="26">
        <v>-0.90600000000000003</v>
      </c>
      <c r="H1891" s="27">
        <v>0.82869999999999999</v>
      </c>
      <c r="I1891" s="26">
        <v>1.093</v>
      </c>
      <c r="J1891" s="28">
        <v>6</v>
      </c>
      <c r="K1891" s="27">
        <v>0.46216800000000002</v>
      </c>
      <c r="L1891" s="29">
        <f t="shared" si="116"/>
        <v>0.33520012788445358</v>
      </c>
      <c r="M1891" s="29">
        <f t="shared" si="117"/>
        <v>-0.90800000000000092</v>
      </c>
      <c r="N1891" s="30">
        <f t="shared" si="118"/>
        <v>0.50001615927442677</v>
      </c>
      <c r="O1891" s="31">
        <f t="shared" si="119"/>
        <v>0.53292336803397089</v>
      </c>
    </row>
    <row r="1892" spans="1:15" x14ac:dyDescent="0.25">
      <c r="A1892" t="s">
        <v>7629</v>
      </c>
      <c r="B1892" t="s">
        <v>3785</v>
      </c>
      <c r="C1892" s="3" t="s">
        <v>3786</v>
      </c>
      <c r="D1892" s="24">
        <v>0.31691900000000001</v>
      </c>
      <c r="E1892" s="25">
        <v>8.391</v>
      </c>
      <c r="F1892" s="25">
        <v>8.4949999999999992</v>
      </c>
      <c r="G1892" s="26">
        <v>-0.1037</v>
      </c>
      <c r="H1892" s="27">
        <v>9.5039999999999999E-2</v>
      </c>
      <c r="I1892" s="26">
        <v>1.0920000000000001</v>
      </c>
      <c r="J1892" s="28">
        <v>6</v>
      </c>
      <c r="K1892" s="27">
        <v>0.46295199999999997</v>
      </c>
      <c r="L1892" s="29">
        <f t="shared" si="116"/>
        <v>0.33446403536602792</v>
      </c>
      <c r="M1892" s="29">
        <f t="shared" si="117"/>
        <v>-0.10399999999999908</v>
      </c>
      <c r="N1892" s="30">
        <f t="shared" si="118"/>
        <v>0.49905172310758372</v>
      </c>
      <c r="O1892" s="31">
        <f t="shared" si="119"/>
        <v>0.93044965770301591</v>
      </c>
    </row>
    <row r="1893" spans="1:15" x14ac:dyDescent="0.25">
      <c r="A1893" t="s">
        <v>7630</v>
      </c>
      <c r="B1893" t="s">
        <v>3787</v>
      </c>
      <c r="C1893" s="3" t="s">
        <v>3788</v>
      </c>
      <c r="D1893" s="24">
        <v>0.31784000000000001</v>
      </c>
      <c r="E1893" s="25">
        <v>10.130000000000001</v>
      </c>
      <c r="F1893" s="25">
        <v>10</v>
      </c>
      <c r="G1893" s="26">
        <v>0.1242</v>
      </c>
      <c r="H1893" s="27">
        <v>0.11409999999999999</v>
      </c>
      <c r="I1893" s="26">
        <v>1.089</v>
      </c>
      <c r="J1893" s="28">
        <v>6</v>
      </c>
      <c r="K1893" s="27">
        <v>0.46405099999999999</v>
      </c>
      <c r="L1893" s="29">
        <f t="shared" si="116"/>
        <v>0.33343428711446194</v>
      </c>
      <c r="M1893" s="29">
        <f t="shared" si="117"/>
        <v>0.12999999999999987</v>
      </c>
      <c r="N1893" s="30">
        <f t="shared" si="118"/>
        <v>0.49779144795269348</v>
      </c>
      <c r="O1893" s="31">
        <f t="shared" si="119"/>
        <v>1.0942937012607394</v>
      </c>
    </row>
    <row r="1894" spans="1:15" x14ac:dyDescent="0.25">
      <c r="A1894" t="s">
        <v>7631</v>
      </c>
      <c r="B1894" t="s">
        <v>3789</v>
      </c>
      <c r="C1894" s="3" t="s">
        <v>3790</v>
      </c>
      <c r="D1894" s="24">
        <v>0.31843500000000002</v>
      </c>
      <c r="E1894" s="25">
        <v>8.2880000000000003</v>
      </c>
      <c r="F1894" s="25">
        <v>8.0960000000000001</v>
      </c>
      <c r="G1894" s="26">
        <v>0.1918</v>
      </c>
      <c r="H1894" s="27">
        <v>0.17630000000000001</v>
      </c>
      <c r="I1894" s="26">
        <v>1.0880000000000001</v>
      </c>
      <c r="J1894" s="28">
        <v>6</v>
      </c>
      <c r="K1894" s="27">
        <v>0.46467399999999998</v>
      </c>
      <c r="L1894" s="29">
        <f t="shared" si="116"/>
        <v>0.33285162700988946</v>
      </c>
      <c r="M1894" s="29">
        <f t="shared" si="117"/>
        <v>0.1920000000000005</v>
      </c>
      <c r="N1894" s="30">
        <f t="shared" si="118"/>
        <v>0.49697920390081374</v>
      </c>
      <c r="O1894" s="31">
        <f t="shared" si="119"/>
        <v>1.1423462468485457</v>
      </c>
    </row>
    <row r="1895" spans="1:15" x14ac:dyDescent="0.25">
      <c r="A1895" t="s">
        <v>7632</v>
      </c>
      <c r="B1895" t="s">
        <v>3791</v>
      </c>
      <c r="C1895" s="3" t="s">
        <v>3792</v>
      </c>
      <c r="D1895" s="24">
        <v>0.32066299999999998</v>
      </c>
      <c r="E1895" s="25">
        <v>13.07</v>
      </c>
      <c r="F1895" s="25">
        <v>13.36</v>
      </c>
      <c r="G1895" s="26">
        <v>-0.29649999999999999</v>
      </c>
      <c r="H1895" s="27">
        <v>0.27400000000000002</v>
      </c>
      <c r="I1895" s="26">
        <v>1.0820000000000001</v>
      </c>
      <c r="J1895" s="28">
        <v>6</v>
      </c>
      <c r="K1895" s="27">
        <v>0.46767799999999998</v>
      </c>
      <c r="L1895" s="29">
        <f t="shared" si="116"/>
        <v>0.33005305921983463</v>
      </c>
      <c r="M1895" s="29">
        <f t="shared" si="117"/>
        <v>-0.2899999999999997</v>
      </c>
      <c r="N1895" s="30">
        <f t="shared" si="118"/>
        <v>0.49395114865546053</v>
      </c>
      <c r="O1895" s="31">
        <f t="shared" si="119"/>
        <v>0.81790205855778131</v>
      </c>
    </row>
    <row r="1896" spans="1:15" x14ac:dyDescent="0.25">
      <c r="A1896" t="s">
        <v>7633</v>
      </c>
      <c r="B1896" t="s">
        <v>3793</v>
      </c>
      <c r="C1896" s="3" t="s">
        <v>3794</v>
      </c>
      <c r="D1896" s="24">
        <v>0.32216</v>
      </c>
      <c r="E1896" s="25">
        <v>7.8860000000000001</v>
      </c>
      <c r="F1896" s="25">
        <v>8.17</v>
      </c>
      <c r="G1896" s="26">
        <v>-0.28420000000000001</v>
      </c>
      <c r="H1896" s="27">
        <v>0.26340000000000002</v>
      </c>
      <c r="I1896" s="26">
        <v>1.079</v>
      </c>
      <c r="J1896" s="28">
        <v>6</v>
      </c>
      <c r="K1896" s="27">
        <v>0.46961399999999998</v>
      </c>
      <c r="L1896" s="29">
        <f t="shared" si="116"/>
        <v>0.32825896450295411</v>
      </c>
      <c r="M1896" s="29">
        <f t="shared" si="117"/>
        <v>-0.28399999999999942</v>
      </c>
      <c r="N1896" s="30">
        <f t="shared" si="118"/>
        <v>0.49192838340062478</v>
      </c>
      <c r="O1896" s="31">
        <f t="shared" si="119"/>
        <v>0.82131070075206614</v>
      </c>
    </row>
    <row r="1897" spans="1:15" x14ac:dyDescent="0.25">
      <c r="A1897" t="s">
        <v>7634</v>
      </c>
      <c r="B1897" t="s">
        <v>3795</v>
      </c>
      <c r="C1897" s="3" t="s">
        <v>3796</v>
      </c>
      <c r="D1897" s="24">
        <v>0.32233400000000001</v>
      </c>
      <c r="E1897" s="25">
        <v>8.0449999999999999</v>
      </c>
      <c r="F1897" s="25">
        <v>7.7549999999999999</v>
      </c>
      <c r="G1897" s="26">
        <v>0.28989999999999999</v>
      </c>
      <c r="H1897" s="27">
        <v>0.26879999999999998</v>
      </c>
      <c r="I1897" s="26">
        <v>1.0780000000000001</v>
      </c>
      <c r="J1897" s="28">
        <v>6</v>
      </c>
      <c r="K1897" s="27">
        <v>0.46961900000000001</v>
      </c>
      <c r="L1897" s="29">
        <f t="shared" si="116"/>
        <v>0.32825434057596353</v>
      </c>
      <c r="M1897" s="29">
        <f t="shared" si="117"/>
        <v>0.28999999999999965</v>
      </c>
      <c r="N1897" s="30">
        <f t="shared" si="118"/>
        <v>0.49169388240701684</v>
      </c>
      <c r="O1897" s="31">
        <f t="shared" si="119"/>
        <v>1.2226402776920682</v>
      </c>
    </row>
    <row r="1898" spans="1:15" x14ac:dyDescent="0.25">
      <c r="A1898" t="s">
        <v>7635</v>
      </c>
      <c r="B1898" t="s">
        <v>3797</v>
      </c>
      <c r="C1898" s="3" t="s">
        <v>3798</v>
      </c>
      <c r="D1898" s="24">
        <v>0.32307000000000002</v>
      </c>
      <c r="E1898" s="25">
        <v>8.9909999999999997</v>
      </c>
      <c r="F1898" s="25">
        <v>8.7219999999999995</v>
      </c>
      <c r="G1898" s="26">
        <v>0.26900000000000002</v>
      </c>
      <c r="H1898" s="27">
        <v>0.24990000000000001</v>
      </c>
      <c r="I1898" s="26">
        <v>1.077</v>
      </c>
      <c r="J1898" s="28">
        <v>6</v>
      </c>
      <c r="K1898" s="27">
        <v>0.470443</v>
      </c>
      <c r="L1898" s="29">
        <f t="shared" si="116"/>
        <v>0.32749298920820663</v>
      </c>
      <c r="M1898" s="29">
        <f t="shared" si="117"/>
        <v>0.26900000000000102</v>
      </c>
      <c r="N1898" s="30">
        <f t="shared" si="118"/>
        <v>0.4907033683189746</v>
      </c>
      <c r="O1898" s="31">
        <f t="shared" si="119"/>
        <v>1.2049723149947871</v>
      </c>
    </row>
    <row r="1899" spans="1:15" x14ac:dyDescent="0.25">
      <c r="A1899" t="s">
        <v>7636</v>
      </c>
      <c r="B1899" t="s">
        <v>3805</v>
      </c>
      <c r="C1899" s="3" t="s">
        <v>3806</v>
      </c>
      <c r="D1899" s="24">
        <v>0.32385999999999998</v>
      </c>
      <c r="E1899" s="25">
        <v>8.4710000000000001</v>
      </c>
      <c r="F1899" s="25">
        <v>8.41</v>
      </c>
      <c r="G1899" s="26">
        <v>6.1310000000000003E-2</v>
      </c>
      <c r="H1899" s="27">
        <v>5.7049999999999997E-2</v>
      </c>
      <c r="I1899" s="26">
        <v>1.075</v>
      </c>
      <c r="J1899" s="28">
        <v>6</v>
      </c>
      <c r="K1899" s="27">
        <v>0.47060200000000002</v>
      </c>
      <c r="L1899" s="29">
        <f t="shared" si="116"/>
        <v>0.32734623145851405</v>
      </c>
      <c r="M1899" s="29">
        <f t="shared" si="117"/>
        <v>6.1000000000000235E-2</v>
      </c>
      <c r="N1899" s="30">
        <f t="shared" si="118"/>
        <v>0.48964268845795383</v>
      </c>
      <c r="O1899" s="31">
        <f t="shared" si="119"/>
        <v>1.0431885935298584</v>
      </c>
    </row>
    <row r="1900" spans="1:15" x14ac:dyDescent="0.25">
      <c r="A1900" t="s">
        <v>7637</v>
      </c>
      <c r="B1900" t="s">
        <v>3801</v>
      </c>
      <c r="C1900" s="3" t="s">
        <v>3802</v>
      </c>
      <c r="D1900" s="24">
        <v>0.32377099999999998</v>
      </c>
      <c r="E1900" s="25">
        <v>9.1969999999999992</v>
      </c>
      <c r="F1900" s="25">
        <v>8.9689999999999994</v>
      </c>
      <c r="G1900" s="26">
        <v>0.2286</v>
      </c>
      <c r="H1900" s="27">
        <v>0.2127</v>
      </c>
      <c r="I1900" s="26">
        <v>1.075</v>
      </c>
      <c r="J1900" s="28">
        <v>6</v>
      </c>
      <c r="K1900" s="27">
        <v>0.47060200000000002</v>
      </c>
      <c r="L1900" s="29">
        <f t="shared" si="116"/>
        <v>0.32734623145851405</v>
      </c>
      <c r="M1900" s="29">
        <f t="shared" si="117"/>
        <v>0.22799999999999887</v>
      </c>
      <c r="N1900" s="30">
        <f t="shared" si="118"/>
        <v>0.48976205337140838</v>
      </c>
      <c r="O1900" s="31">
        <f t="shared" si="119"/>
        <v>1.1712101812188089</v>
      </c>
    </row>
    <row r="1901" spans="1:15" x14ac:dyDescent="0.25">
      <c r="A1901" t="s">
        <v>7638</v>
      </c>
      <c r="B1901" t="s">
        <v>3803</v>
      </c>
      <c r="C1901" s="3" t="s">
        <v>3804</v>
      </c>
      <c r="D1901" s="24">
        <v>0.32378299999999999</v>
      </c>
      <c r="E1901" s="25">
        <v>12.89</v>
      </c>
      <c r="F1901" s="25">
        <v>12.75</v>
      </c>
      <c r="G1901" s="26">
        <v>0.1399</v>
      </c>
      <c r="H1901" s="27">
        <v>0.13020000000000001</v>
      </c>
      <c r="I1901" s="26">
        <v>1.075</v>
      </c>
      <c r="J1901" s="28">
        <v>6</v>
      </c>
      <c r="K1901" s="27">
        <v>0.47060200000000002</v>
      </c>
      <c r="L1901" s="29">
        <f t="shared" si="116"/>
        <v>0.32734623145851405</v>
      </c>
      <c r="M1901" s="29">
        <f t="shared" si="117"/>
        <v>0.14000000000000287</v>
      </c>
      <c r="N1901" s="30">
        <f t="shared" si="118"/>
        <v>0.48974595731213472</v>
      </c>
      <c r="O1901" s="31">
        <f t="shared" si="119"/>
        <v>1.1019051158766129</v>
      </c>
    </row>
    <row r="1902" spans="1:15" x14ac:dyDescent="0.25">
      <c r="A1902" t="s">
        <v>7639</v>
      </c>
      <c r="B1902" t="s">
        <v>3799</v>
      </c>
      <c r="C1902" s="3" t="s">
        <v>3800</v>
      </c>
      <c r="D1902" s="24">
        <v>0.32361800000000002</v>
      </c>
      <c r="E1902" s="25">
        <v>10.47</v>
      </c>
      <c r="F1902" s="25">
        <v>10.37</v>
      </c>
      <c r="G1902" s="26">
        <v>0.10920000000000001</v>
      </c>
      <c r="H1902" s="27">
        <v>0.1016</v>
      </c>
      <c r="I1902" s="26">
        <v>1.075</v>
      </c>
      <c r="J1902" s="28">
        <v>6</v>
      </c>
      <c r="K1902" s="27">
        <v>0.47060200000000002</v>
      </c>
      <c r="L1902" s="29">
        <f t="shared" si="116"/>
        <v>0.32734623145851405</v>
      </c>
      <c r="M1902" s="29">
        <f t="shared" si="117"/>
        <v>0.10000000000000146</v>
      </c>
      <c r="N1902" s="30">
        <f t="shared" si="118"/>
        <v>0.48996733043656787</v>
      </c>
      <c r="O1902" s="31">
        <f t="shared" si="119"/>
        <v>1.0717734625362942</v>
      </c>
    </row>
    <row r="1903" spans="1:15" x14ac:dyDescent="0.25">
      <c r="A1903" t="s">
        <v>7640</v>
      </c>
      <c r="B1903" t="s">
        <v>3807</v>
      </c>
      <c r="C1903" s="3" t="s">
        <v>3808</v>
      </c>
      <c r="D1903" s="24">
        <v>0.32430100000000001</v>
      </c>
      <c r="E1903" s="25">
        <v>7.1779999999999999</v>
      </c>
      <c r="F1903" s="25">
        <v>6.8689999999999998</v>
      </c>
      <c r="G1903" s="26">
        <v>0.30869999999999997</v>
      </c>
      <c r="H1903" s="27">
        <v>0.28760000000000002</v>
      </c>
      <c r="I1903" s="26">
        <v>1.0740000000000001</v>
      </c>
      <c r="J1903" s="28">
        <v>6</v>
      </c>
      <c r="K1903" s="27">
        <v>0.470995</v>
      </c>
      <c r="L1903" s="29">
        <f t="shared" si="116"/>
        <v>0.3269837032403935</v>
      </c>
      <c r="M1903" s="29">
        <f t="shared" si="117"/>
        <v>0.309</v>
      </c>
      <c r="N1903" s="30">
        <f t="shared" si="118"/>
        <v>0.48905171215400123</v>
      </c>
      <c r="O1903" s="31">
        <f t="shared" si="119"/>
        <v>1.2388486977839088</v>
      </c>
    </row>
    <row r="1904" spans="1:15" x14ac:dyDescent="0.25">
      <c r="A1904" t="s">
        <v>7641</v>
      </c>
      <c r="B1904" t="s">
        <v>3809</v>
      </c>
      <c r="C1904" s="3" t="s">
        <v>3810</v>
      </c>
      <c r="D1904" s="24">
        <v>0.32516299999999998</v>
      </c>
      <c r="E1904" s="25">
        <v>9.7530000000000001</v>
      </c>
      <c r="F1904" s="25">
        <v>9.9760000000000009</v>
      </c>
      <c r="G1904" s="26">
        <v>-0.22370000000000001</v>
      </c>
      <c r="H1904" s="27">
        <v>0.20880000000000001</v>
      </c>
      <c r="I1904" s="26">
        <v>1.071</v>
      </c>
      <c r="J1904" s="28">
        <v>6</v>
      </c>
      <c r="K1904" s="27">
        <v>0.471999</v>
      </c>
      <c r="L1904" s="29">
        <f t="shared" si="116"/>
        <v>0.32605892148231463</v>
      </c>
      <c r="M1904" s="29">
        <f t="shared" si="117"/>
        <v>-0.22300000000000078</v>
      </c>
      <c r="N1904" s="30">
        <f t="shared" si="118"/>
        <v>0.48789887823795774</v>
      </c>
      <c r="O1904" s="31">
        <f t="shared" si="119"/>
        <v>0.85678195476856933</v>
      </c>
    </row>
    <row r="1905" spans="1:15" x14ac:dyDescent="0.25">
      <c r="A1905" t="s">
        <v>7642</v>
      </c>
      <c r="B1905" t="s">
        <v>3811</v>
      </c>
      <c r="C1905" s="3" t="s">
        <v>3812</v>
      </c>
      <c r="D1905" s="24">
        <v>0.32557700000000001</v>
      </c>
      <c r="E1905" s="25">
        <v>8.2189999999999994</v>
      </c>
      <c r="F1905" s="25">
        <v>8.7750000000000004</v>
      </c>
      <c r="G1905" s="26">
        <v>-0.55530000000000002</v>
      </c>
      <c r="H1905" s="27">
        <v>0.51880000000000004</v>
      </c>
      <c r="I1905" s="26">
        <v>1.07</v>
      </c>
      <c r="J1905" s="28">
        <v>6</v>
      </c>
      <c r="K1905" s="27">
        <v>0.47235100000000002</v>
      </c>
      <c r="L1905" s="29">
        <f t="shared" si="116"/>
        <v>0.32573516087510374</v>
      </c>
      <c r="M1905" s="29">
        <f t="shared" si="117"/>
        <v>-0.55600000000000083</v>
      </c>
      <c r="N1905" s="30">
        <f t="shared" si="118"/>
        <v>0.48734628291642962</v>
      </c>
      <c r="O1905" s="31">
        <f t="shared" si="119"/>
        <v>0.68018542620297706</v>
      </c>
    </row>
    <row r="1906" spans="1:15" x14ac:dyDescent="0.25">
      <c r="A1906" t="s">
        <v>7643</v>
      </c>
      <c r="B1906" t="s">
        <v>3813</v>
      </c>
      <c r="C1906" s="3" t="s">
        <v>3814</v>
      </c>
      <c r="D1906" s="24">
        <v>0.32633800000000002</v>
      </c>
      <c r="E1906" s="25">
        <v>7.85</v>
      </c>
      <c r="F1906" s="25">
        <v>7.6630000000000003</v>
      </c>
      <c r="G1906" s="26">
        <v>0.1875</v>
      </c>
      <c r="H1906" s="27">
        <v>0.1754</v>
      </c>
      <c r="I1906" s="26">
        <v>1.069</v>
      </c>
      <c r="J1906" s="28">
        <v>6</v>
      </c>
      <c r="K1906" s="27">
        <v>0.47312700000000002</v>
      </c>
      <c r="L1906" s="29">
        <f t="shared" si="116"/>
        <v>0.32502226730459077</v>
      </c>
      <c r="M1906" s="29">
        <f t="shared" si="117"/>
        <v>0.18699999999999944</v>
      </c>
      <c r="N1906" s="30">
        <f t="shared" si="118"/>
        <v>0.4863323524167561</v>
      </c>
      <c r="O1906" s="31">
        <f t="shared" si="119"/>
        <v>1.1383940290748773</v>
      </c>
    </row>
    <row r="1907" spans="1:15" x14ac:dyDescent="0.25">
      <c r="A1907" t="s">
        <v>7644</v>
      </c>
      <c r="B1907" t="s">
        <v>3815</v>
      </c>
      <c r="C1907" s="3" t="s">
        <v>3816</v>
      </c>
      <c r="D1907" s="24">
        <v>0.32645400000000002</v>
      </c>
      <c r="E1907" s="25">
        <v>10.73</v>
      </c>
      <c r="F1907" s="25">
        <v>10.62</v>
      </c>
      <c r="G1907" s="26">
        <v>0.1143</v>
      </c>
      <c r="H1907" s="27">
        <v>0.107</v>
      </c>
      <c r="I1907" s="26">
        <v>1.0680000000000001</v>
      </c>
      <c r="J1907" s="28">
        <v>6</v>
      </c>
      <c r="K1907" s="27">
        <v>0.47312700000000002</v>
      </c>
      <c r="L1907" s="29">
        <f t="shared" si="116"/>
        <v>0.32502226730459077</v>
      </c>
      <c r="M1907" s="29">
        <f t="shared" si="117"/>
        <v>0.11000000000000154</v>
      </c>
      <c r="N1907" s="30">
        <f t="shared" si="118"/>
        <v>0.48617800567099018</v>
      </c>
      <c r="O1907" s="31">
        <f t="shared" si="119"/>
        <v>1.0792282365044283</v>
      </c>
    </row>
    <row r="1908" spans="1:15" x14ac:dyDescent="0.25">
      <c r="A1908" t="s">
        <v>7645</v>
      </c>
      <c r="B1908" t="s">
        <v>3817</v>
      </c>
      <c r="C1908" s="3" t="s">
        <v>3818</v>
      </c>
      <c r="D1908" s="24">
        <v>0.327158</v>
      </c>
      <c r="E1908" s="25">
        <v>7.931</v>
      </c>
      <c r="F1908" s="25">
        <v>8.0649999999999995</v>
      </c>
      <c r="G1908" s="26">
        <v>-0.13400000000000001</v>
      </c>
      <c r="H1908" s="27">
        <v>0.12559999999999999</v>
      </c>
      <c r="I1908" s="26">
        <v>1.0669999999999999</v>
      </c>
      <c r="J1908" s="28">
        <v>6</v>
      </c>
      <c r="K1908" s="27">
        <v>0.47389900000000001</v>
      </c>
      <c r="L1908" s="29">
        <f t="shared" si="116"/>
        <v>0.3243142077279888</v>
      </c>
      <c r="M1908" s="29">
        <f t="shared" si="117"/>
        <v>-0.13399999999999906</v>
      </c>
      <c r="N1908" s="30">
        <f t="shared" si="118"/>
        <v>0.48524245542560429</v>
      </c>
      <c r="O1908" s="31">
        <f t="shared" si="119"/>
        <v>0.91130128063714211</v>
      </c>
    </row>
    <row r="1909" spans="1:15" x14ac:dyDescent="0.25">
      <c r="A1909" t="s">
        <v>7646</v>
      </c>
      <c r="B1909" t="s">
        <v>3821</v>
      </c>
      <c r="C1909" s="3" t="s">
        <v>3822</v>
      </c>
      <c r="D1909" s="24">
        <v>0.32786700000000002</v>
      </c>
      <c r="E1909" s="25">
        <v>13.22</v>
      </c>
      <c r="F1909" s="25">
        <v>13.16</v>
      </c>
      <c r="G1909" s="26">
        <v>5.8689999999999999E-2</v>
      </c>
      <c r="H1909" s="27">
        <v>5.5109999999999999E-2</v>
      </c>
      <c r="I1909" s="26">
        <v>1.0649999999999999</v>
      </c>
      <c r="J1909" s="28">
        <v>6</v>
      </c>
      <c r="K1909" s="27">
        <v>0.47442800000000002</v>
      </c>
      <c r="L1909" s="29">
        <f t="shared" si="116"/>
        <v>0.32382968750499347</v>
      </c>
      <c r="M1909" s="29">
        <f t="shared" si="117"/>
        <v>6.0000000000000032E-2</v>
      </c>
      <c r="N1909" s="30">
        <f t="shared" si="118"/>
        <v>0.48430229311754047</v>
      </c>
      <c r="O1909" s="31">
        <f t="shared" si="119"/>
        <v>1.0424657608411214</v>
      </c>
    </row>
    <row r="1910" spans="1:15" x14ac:dyDescent="0.25">
      <c r="A1910" t="s">
        <v>7647</v>
      </c>
      <c r="B1910" t="s">
        <v>3819</v>
      </c>
      <c r="C1910" s="3" t="s">
        <v>3820</v>
      </c>
      <c r="D1910" s="24">
        <v>0.327795</v>
      </c>
      <c r="E1910" s="25">
        <v>7.9669999999999996</v>
      </c>
      <c r="F1910" s="25">
        <v>8.0709999999999997</v>
      </c>
      <c r="G1910" s="26">
        <v>-0.10340000000000001</v>
      </c>
      <c r="H1910" s="27">
        <v>9.7049999999999997E-2</v>
      </c>
      <c r="I1910" s="26">
        <v>1.0649999999999999</v>
      </c>
      <c r="J1910" s="28">
        <v>6</v>
      </c>
      <c r="K1910" s="27">
        <v>0.47442800000000002</v>
      </c>
      <c r="L1910" s="29">
        <f t="shared" si="116"/>
        <v>0.32382968750499347</v>
      </c>
      <c r="M1910" s="29">
        <f t="shared" si="117"/>
        <v>-0.10399999999999943</v>
      </c>
      <c r="N1910" s="30">
        <f t="shared" si="118"/>
        <v>0.48439767519801091</v>
      </c>
      <c r="O1910" s="31">
        <f t="shared" si="119"/>
        <v>0.93044965770301569</v>
      </c>
    </row>
    <row r="1911" spans="1:15" x14ac:dyDescent="0.25">
      <c r="A1911" t="s">
        <v>7648</v>
      </c>
      <c r="B1911" t="s">
        <v>3823</v>
      </c>
      <c r="C1911" s="3" t="s">
        <v>3824</v>
      </c>
      <c r="D1911" s="24">
        <v>0.32923599999999997</v>
      </c>
      <c r="E1911" s="25">
        <v>7.4649999999999999</v>
      </c>
      <c r="F1911" s="25">
        <v>7.32</v>
      </c>
      <c r="G1911" s="26">
        <v>0.14530000000000001</v>
      </c>
      <c r="H1911" s="27">
        <v>0.13689999999999999</v>
      </c>
      <c r="I1911" s="26">
        <v>1.0620000000000001</v>
      </c>
      <c r="J1911" s="28">
        <v>6</v>
      </c>
      <c r="K1911" s="27">
        <v>0.47616000000000003</v>
      </c>
      <c r="L1911" s="29">
        <f t="shared" si="116"/>
        <v>0.32224709047023409</v>
      </c>
      <c r="M1911" s="29">
        <f t="shared" si="117"/>
        <v>0.1449999999999998</v>
      </c>
      <c r="N1911" s="30">
        <f t="shared" si="118"/>
        <v>0.48249268334269002</v>
      </c>
      <c r="O1911" s="31">
        <f t="shared" si="119"/>
        <v>1.1057306533202687</v>
      </c>
    </row>
    <row r="1912" spans="1:15" x14ac:dyDescent="0.25">
      <c r="A1912" t="s">
        <v>7649</v>
      </c>
      <c r="B1912" t="s">
        <v>3825</v>
      </c>
      <c r="C1912" s="3" t="s">
        <v>3826</v>
      </c>
      <c r="D1912" s="24">
        <v>0.32996599999999998</v>
      </c>
      <c r="E1912" s="25">
        <v>10.02</v>
      </c>
      <c r="F1912" s="25">
        <v>9.9030000000000005</v>
      </c>
      <c r="G1912" s="26">
        <v>0.1138</v>
      </c>
      <c r="H1912" s="27">
        <v>0.10730000000000001</v>
      </c>
      <c r="I1912" s="26">
        <v>1.06</v>
      </c>
      <c r="J1912" s="28">
        <v>6</v>
      </c>
      <c r="K1912" s="27">
        <v>0.47682799999999997</v>
      </c>
      <c r="L1912" s="29">
        <f t="shared" si="116"/>
        <v>0.32163825014606434</v>
      </c>
      <c r="M1912" s="29">
        <f t="shared" si="117"/>
        <v>0.11699999999999965</v>
      </c>
      <c r="N1912" s="30">
        <f t="shared" si="118"/>
        <v>0.48153080791941649</v>
      </c>
      <c r="O1912" s="31">
        <f t="shared" si="119"/>
        <v>1.0844774088430631</v>
      </c>
    </row>
    <row r="1913" spans="1:15" x14ac:dyDescent="0.25">
      <c r="A1913" t="s">
        <v>7650</v>
      </c>
      <c r="B1913" t="s">
        <v>3827</v>
      </c>
      <c r="C1913" s="3" t="s">
        <v>3828</v>
      </c>
      <c r="D1913" s="24">
        <v>0.33004299999999998</v>
      </c>
      <c r="E1913" s="25">
        <v>8.2200000000000006</v>
      </c>
      <c r="F1913" s="25">
        <v>7.827</v>
      </c>
      <c r="G1913" s="26">
        <v>0.39240000000000003</v>
      </c>
      <c r="H1913" s="27">
        <v>0.37030000000000002</v>
      </c>
      <c r="I1913" s="26">
        <v>1.06</v>
      </c>
      <c r="J1913" s="28">
        <v>6</v>
      </c>
      <c r="K1913" s="27">
        <v>0.47682799999999997</v>
      </c>
      <c r="L1913" s="29">
        <f t="shared" si="116"/>
        <v>0.32163825014606434</v>
      </c>
      <c r="M1913" s="29">
        <f t="shared" si="117"/>
        <v>0.39300000000000102</v>
      </c>
      <c r="N1913" s="30">
        <f t="shared" si="118"/>
        <v>0.48142947392167329</v>
      </c>
      <c r="O1913" s="31">
        <f t="shared" si="119"/>
        <v>1.313121125424153</v>
      </c>
    </row>
    <row r="1914" spans="1:15" x14ac:dyDescent="0.25">
      <c r="A1914" t="s">
        <v>7651</v>
      </c>
      <c r="B1914" t="s">
        <v>3829</v>
      </c>
      <c r="C1914" s="3" t="s">
        <v>3830</v>
      </c>
      <c r="D1914" s="24">
        <v>0.330843</v>
      </c>
      <c r="E1914" s="25">
        <v>9.3889999999999993</v>
      </c>
      <c r="F1914" s="25">
        <v>9.2799999999999994</v>
      </c>
      <c r="G1914" s="26">
        <v>0.1094</v>
      </c>
      <c r="H1914" s="27">
        <v>0.10349999999999999</v>
      </c>
      <c r="I1914" s="26">
        <v>1.0580000000000001</v>
      </c>
      <c r="J1914" s="28">
        <v>6</v>
      </c>
      <c r="K1914" s="27">
        <v>0.47773399999999999</v>
      </c>
      <c r="L1914" s="29">
        <f t="shared" si="116"/>
        <v>0.32081384917733535</v>
      </c>
      <c r="M1914" s="29">
        <f t="shared" si="117"/>
        <v>0.10899999999999987</v>
      </c>
      <c r="N1914" s="30">
        <f t="shared" si="118"/>
        <v>0.48037804975707599</v>
      </c>
      <c r="O1914" s="31">
        <f t="shared" si="119"/>
        <v>1.0784804316944516</v>
      </c>
    </row>
    <row r="1915" spans="1:15" x14ac:dyDescent="0.25">
      <c r="A1915" t="s">
        <v>7652</v>
      </c>
      <c r="B1915" t="s">
        <v>3831</v>
      </c>
      <c r="C1915" s="3" t="s">
        <v>3832</v>
      </c>
      <c r="D1915" s="24">
        <v>0.33147399999999999</v>
      </c>
      <c r="E1915" s="25">
        <v>12.6</v>
      </c>
      <c r="F1915" s="25">
        <v>12.79</v>
      </c>
      <c r="G1915" s="26">
        <v>-0.1885</v>
      </c>
      <c r="H1915" s="27">
        <v>0.1784</v>
      </c>
      <c r="I1915" s="26">
        <v>1.056</v>
      </c>
      <c r="J1915" s="28">
        <v>6</v>
      </c>
      <c r="K1915" s="27">
        <v>0.47839399999999999</v>
      </c>
      <c r="L1915" s="29">
        <f t="shared" si="116"/>
        <v>0.32021427589095003</v>
      </c>
      <c r="M1915" s="29">
        <f t="shared" si="117"/>
        <v>-0.19000000000000092</v>
      </c>
      <c r="N1915" s="30">
        <f t="shared" si="118"/>
        <v>0.47955053090736099</v>
      </c>
      <c r="O1915" s="31">
        <f t="shared" si="119"/>
        <v>0.87660572131603454</v>
      </c>
    </row>
    <row r="1916" spans="1:15" x14ac:dyDescent="0.25">
      <c r="A1916" t="s">
        <v>7653</v>
      </c>
      <c r="B1916" t="s">
        <v>3833</v>
      </c>
      <c r="C1916" s="3" t="s">
        <v>3834</v>
      </c>
      <c r="D1916" s="24">
        <v>0.331951</v>
      </c>
      <c r="E1916" s="25">
        <v>10.6</v>
      </c>
      <c r="F1916" s="25">
        <v>10.44</v>
      </c>
      <c r="G1916" s="26">
        <v>0.15529999999999999</v>
      </c>
      <c r="H1916" s="27">
        <v>0.1472</v>
      </c>
      <c r="I1916" s="26">
        <v>1.0549999999999999</v>
      </c>
      <c r="J1916" s="28">
        <v>6</v>
      </c>
      <c r="K1916" s="27">
        <v>0.47883300000000001</v>
      </c>
      <c r="L1916" s="29">
        <f t="shared" si="116"/>
        <v>0.31981592672001707</v>
      </c>
      <c r="M1916" s="29">
        <f t="shared" si="117"/>
        <v>0.15999999999999978</v>
      </c>
      <c r="N1916" s="30">
        <f t="shared" si="118"/>
        <v>0.47892601870608692</v>
      </c>
      <c r="O1916" s="31">
        <f t="shared" si="119"/>
        <v>1.1172871380722198</v>
      </c>
    </row>
    <row r="1917" spans="1:15" x14ac:dyDescent="0.25">
      <c r="A1917" t="s">
        <v>7654</v>
      </c>
      <c r="B1917" t="s">
        <v>3835</v>
      </c>
      <c r="C1917" s="3" t="s">
        <v>3836</v>
      </c>
      <c r="D1917" s="24">
        <v>0.33235199999999998</v>
      </c>
      <c r="E1917" s="25">
        <v>8.2119999999999997</v>
      </c>
      <c r="F1917" s="25">
        <v>8.0540000000000003</v>
      </c>
      <c r="G1917" s="26">
        <v>0.15820000000000001</v>
      </c>
      <c r="H1917" s="27">
        <v>0.15010000000000001</v>
      </c>
      <c r="I1917" s="26">
        <v>1.054</v>
      </c>
      <c r="J1917" s="28">
        <v>6</v>
      </c>
      <c r="K1917" s="27">
        <v>0.47915999999999997</v>
      </c>
      <c r="L1917" s="29">
        <f t="shared" si="116"/>
        <v>0.31951944375803759</v>
      </c>
      <c r="M1917" s="29">
        <f t="shared" si="117"/>
        <v>0.15800000000000022</v>
      </c>
      <c r="N1917" s="30">
        <f t="shared" si="118"/>
        <v>0.47840170342105653</v>
      </c>
      <c r="O1917" s="31">
        <f t="shared" si="119"/>
        <v>1.1157393223249643</v>
      </c>
    </row>
    <row r="1918" spans="1:15" x14ac:dyDescent="0.25">
      <c r="A1918" t="s">
        <v>7655</v>
      </c>
      <c r="B1918" t="s">
        <v>3841</v>
      </c>
      <c r="C1918" s="3" t="s">
        <v>3842</v>
      </c>
      <c r="D1918" s="24">
        <v>0.33432200000000001</v>
      </c>
      <c r="E1918" s="25">
        <v>7.2770000000000001</v>
      </c>
      <c r="F1918" s="25">
        <v>7.7709999999999999</v>
      </c>
      <c r="G1918" s="26">
        <v>-0.49430000000000002</v>
      </c>
      <c r="H1918" s="27">
        <v>0.47089999999999999</v>
      </c>
      <c r="I1918" s="26">
        <v>1.05</v>
      </c>
      <c r="J1918" s="28">
        <v>6</v>
      </c>
      <c r="K1918" s="27">
        <v>0.48124800000000001</v>
      </c>
      <c r="L1918" s="29">
        <f t="shared" si="116"/>
        <v>0.31763106234737781</v>
      </c>
      <c r="M1918" s="29">
        <f t="shared" si="117"/>
        <v>-0.49400000000000027</v>
      </c>
      <c r="N1918" s="30">
        <f t="shared" si="118"/>
        <v>0.47583504379561692</v>
      </c>
      <c r="O1918" s="31">
        <f t="shared" si="119"/>
        <v>0.71005367927171348</v>
      </c>
    </row>
    <row r="1919" spans="1:15" x14ac:dyDescent="0.25">
      <c r="A1919" t="s">
        <v>7656</v>
      </c>
      <c r="B1919" t="s">
        <v>3839</v>
      </c>
      <c r="C1919" s="3" t="s">
        <v>3840</v>
      </c>
      <c r="D1919" s="24">
        <v>0.33430399999999999</v>
      </c>
      <c r="E1919" s="25">
        <v>13.03</v>
      </c>
      <c r="F1919" s="25">
        <v>13.13</v>
      </c>
      <c r="G1919" s="26">
        <v>-0.104</v>
      </c>
      <c r="H1919" s="27">
        <v>9.9080000000000001E-2</v>
      </c>
      <c r="I1919" s="26">
        <v>1.05</v>
      </c>
      <c r="J1919" s="28">
        <v>6</v>
      </c>
      <c r="K1919" s="27">
        <v>0.48124800000000001</v>
      </c>
      <c r="L1919" s="29">
        <f t="shared" si="116"/>
        <v>0.31763106234737781</v>
      </c>
      <c r="M1919" s="29">
        <f t="shared" si="117"/>
        <v>-0.10000000000000121</v>
      </c>
      <c r="N1919" s="30">
        <f t="shared" si="118"/>
        <v>0.47585842697448272</v>
      </c>
      <c r="O1919" s="31">
        <f t="shared" si="119"/>
        <v>0.93303299153680663</v>
      </c>
    </row>
    <row r="1920" spans="1:15" x14ac:dyDescent="0.25">
      <c r="A1920" t="s">
        <v>7657</v>
      </c>
      <c r="B1920" t="s">
        <v>3837</v>
      </c>
      <c r="C1920" s="3" t="s">
        <v>3838</v>
      </c>
      <c r="D1920" s="24">
        <v>0.33426499999999998</v>
      </c>
      <c r="E1920" s="25">
        <v>8.9600000000000009</v>
      </c>
      <c r="F1920" s="25">
        <v>8.4890000000000008</v>
      </c>
      <c r="G1920" s="26">
        <v>0.47170000000000001</v>
      </c>
      <c r="H1920" s="27">
        <v>0.44940000000000002</v>
      </c>
      <c r="I1920" s="26">
        <v>1.05</v>
      </c>
      <c r="J1920" s="28">
        <v>6</v>
      </c>
      <c r="K1920" s="27">
        <v>0.48124800000000001</v>
      </c>
      <c r="L1920" s="29">
        <f t="shared" si="116"/>
        <v>0.31763106234737781</v>
      </c>
      <c r="M1920" s="29">
        <f t="shared" si="117"/>
        <v>0.4710000000000007</v>
      </c>
      <c r="N1920" s="30">
        <f t="shared" si="118"/>
        <v>0.47590909484814553</v>
      </c>
      <c r="O1920" s="31">
        <f t="shared" si="119"/>
        <v>1.3860698856504152</v>
      </c>
    </row>
    <row r="1921" spans="1:15" x14ac:dyDescent="0.25">
      <c r="A1921" t="s">
        <v>7658</v>
      </c>
      <c r="B1921" t="s">
        <v>3845</v>
      </c>
      <c r="C1921" s="3" t="s">
        <v>3846</v>
      </c>
      <c r="D1921" s="24">
        <v>0.33629199999999998</v>
      </c>
      <c r="E1921" s="25">
        <v>8.7629999999999999</v>
      </c>
      <c r="F1921" s="25">
        <v>8.6010000000000009</v>
      </c>
      <c r="G1921" s="26">
        <v>0.16170000000000001</v>
      </c>
      <c r="H1921" s="27">
        <v>0.15479999999999999</v>
      </c>
      <c r="I1921" s="26">
        <v>1.0449999999999999</v>
      </c>
      <c r="J1921" s="28">
        <v>6</v>
      </c>
      <c r="K1921" s="27">
        <v>0.48357899999999998</v>
      </c>
      <c r="L1921" s="29">
        <f t="shared" si="116"/>
        <v>0.31553256716226774</v>
      </c>
      <c r="M1921" s="29">
        <f t="shared" si="117"/>
        <v>0.16199999999999906</v>
      </c>
      <c r="N1921" s="30">
        <f t="shared" si="118"/>
        <v>0.47328346392883852</v>
      </c>
      <c r="O1921" s="31">
        <f t="shared" si="119"/>
        <v>1.1188371010357105</v>
      </c>
    </row>
    <row r="1922" spans="1:15" x14ac:dyDescent="0.25">
      <c r="A1922" t="s">
        <v>7659</v>
      </c>
      <c r="B1922" t="s">
        <v>3843</v>
      </c>
      <c r="C1922" s="3" t="s">
        <v>3844</v>
      </c>
      <c r="D1922" s="24">
        <v>0.33628000000000002</v>
      </c>
      <c r="E1922" s="25">
        <v>8.6869999999999994</v>
      </c>
      <c r="F1922" s="25">
        <v>8.5619999999999994</v>
      </c>
      <c r="G1922" s="26">
        <v>0.12509999999999999</v>
      </c>
      <c r="H1922" s="27">
        <v>0.1197</v>
      </c>
      <c r="I1922" s="26">
        <v>1.0449999999999999</v>
      </c>
      <c r="J1922" s="28">
        <v>6</v>
      </c>
      <c r="K1922" s="27">
        <v>0.48357899999999998</v>
      </c>
      <c r="L1922" s="29">
        <f t="shared" ref="L1922:L1985" si="120">-LOG(K1922,10)</f>
        <v>0.31553256716226774</v>
      </c>
      <c r="M1922" s="29">
        <f t="shared" ref="M1922:M1985" si="121">LOG(O1922,2)</f>
        <v>0.12500000000000033</v>
      </c>
      <c r="N1922" s="30">
        <f t="shared" ref="N1922:N1985" si="122">-LOG(D1922,10)</f>
        <v>0.47329896125487464</v>
      </c>
      <c r="O1922" s="31">
        <f t="shared" ref="O1922:O1985" si="123">((2^E1922)/(2^F1922))</f>
        <v>1.0905077326652579</v>
      </c>
    </row>
    <row r="1923" spans="1:15" x14ac:dyDescent="0.25">
      <c r="A1923" t="s">
        <v>7660</v>
      </c>
      <c r="B1923" t="s">
        <v>3847</v>
      </c>
      <c r="C1923" s="3" t="s">
        <v>3848</v>
      </c>
      <c r="D1923" s="24">
        <v>0.33703100000000003</v>
      </c>
      <c r="E1923" s="25">
        <v>9.8369999999999997</v>
      </c>
      <c r="F1923" s="25">
        <v>9.9480000000000004</v>
      </c>
      <c r="G1923" s="26">
        <v>-0.111</v>
      </c>
      <c r="H1923" s="27">
        <v>0.10639999999999999</v>
      </c>
      <c r="I1923" s="26">
        <v>1.0429999999999999</v>
      </c>
      <c r="J1923" s="28">
        <v>6</v>
      </c>
      <c r="K1923" s="27">
        <v>0.48416700000000001</v>
      </c>
      <c r="L1923" s="29">
        <f t="shared" si="120"/>
        <v>0.31500481465947483</v>
      </c>
      <c r="M1923" s="29">
        <f t="shared" si="121"/>
        <v>-0.11100000000000082</v>
      </c>
      <c r="N1923" s="30">
        <f t="shared" si="122"/>
        <v>0.47233015102850417</v>
      </c>
      <c r="O1923" s="31">
        <f t="shared" si="123"/>
        <v>0.9259460225273235</v>
      </c>
    </row>
    <row r="1924" spans="1:15" x14ac:dyDescent="0.25">
      <c r="A1924" t="s">
        <v>7661</v>
      </c>
      <c r="B1924" t="s">
        <v>3849</v>
      </c>
      <c r="C1924" s="3" t="s">
        <v>3850</v>
      </c>
      <c r="D1924" s="24">
        <v>0.33705099999999999</v>
      </c>
      <c r="E1924" s="25">
        <v>7.93</v>
      </c>
      <c r="F1924" s="25">
        <v>7.48</v>
      </c>
      <c r="G1924" s="26">
        <v>0.45</v>
      </c>
      <c r="H1924" s="27">
        <v>0.43140000000000001</v>
      </c>
      <c r="I1924" s="26">
        <v>1.0429999999999999</v>
      </c>
      <c r="J1924" s="28">
        <v>6</v>
      </c>
      <c r="K1924" s="27">
        <v>0.48416700000000001</v>
      </c>
      <c r="L1924" s="29">
        <f t="shared" si="120"/>
        <v>0.31500481465947483</v>
      </c>
      <c r="M1924" s="29">
        <f t="shared" si="121"/>
        <v>0.44999999999999946</v>
      </c>
      <c r="N1924" s="30">
        <f t="shared" si="122"/>
        <v>0.47230438001061437</v>
      </c>
      <c r="O1924" s="31">
        <f t="shared" si="123"/>
        <v>1.366040256754395</v>
      </c>
    </row>
    <row r="1925" spans="1:15" x14ac:dyDescent="0.25">
      <c r="A1925" t="s">
        <v>7662</v>
      </c>
      <c r="B1925" t="s">
        <v>3853</v>
      </c>
      <c r="C1925" s="3" t="s">
        <v>3854</v>
      </c>
      <c r="D1925" s="24">
        <v>0.337557</v>
      </c>
      <c r="E1925" s="25">
        <v>9.8520000000000003</v>
      </c>
      <c r="F1925" s="25">
        <v>10.1</v>
      </c>
      <c r="G1925" s="26">
        <v>-0.2505</v>
      </c>
      <c r="H1925" s="27">
        <v>0.2404</v>
      </c>
      <c r="I1925" s="26">
        <v>1.042</v>
      </c>
      <c r="J1925" s="28">
        <v>6</v>
      </c>
      <c r="K1925" s="27">
        <v>0.48438999999999999</v>
      </c>
      <c r="L1925" s="29">
        <f t="shared" si="120"/>
        <v>0.31480483123841502</v>
      </c>
      <c r="M1925" s="29">
        <f t="shared" si="121"/>
        <v>-0.24799999999999847</v>
      </c>
      <c r="N1925" s="30">
        <f t="shared" si="122"/>
        <v>0.47165288151354967</v>
      </c>
      <c r="O1925" s="31">
        <f t="shared" si="123"/>
        <v>0.84206295360841688</v>
      </c>
    </row>
    <row r="1926" spans="1:15" x14ac:dyDescent="0.25">
      <c r="A1926" t="s">
        <v>7663</v>
      </c>
      <c r="B1926" t="s">
        <v>3851</v>
      </c>
      <c r="C1926" s="3" t="s">
        <v>3852</v>
      </c>
      <c r="D1926" s="24">
        <v>0.33750599999999997</v>
      </c>
      <c r="E1926" s="25">
        <v>9.7240000000000002</v>
      </c>
      <c r="F1926" s="25">
        <v>10</v>
      </c>
      <c r="G1926" s="26">
        <v>-0.27900000000000003</v>
      </c>
      <c r="H1926" s="27">
        <v>0.26779999999999998</v>
      </c>
      <c r="I1926" s="26">
        <v>1.042</v>
      </c>
      <c r="J1926" s="28">
        <v>6</v>
      </c>
      <c r="K1926" s="27">
        <v>0.48438999999999999</v>
      </c>
      <c r="L1926" s="29">
        <f t="shared" si="120"/>
        <v>0.31480483123841502</v>
      </c>
      <c r="M1926" s="29">
        <f t="shared" si="121"/>
        <v>-0.27600000000000025</v>
      </c>
      <c r="N1926" s="30">
        <f t="shared" si="122"/>
        <v>0.47171850211079525</v>
      </c>
      <c r="O1926" s="31">
        <f t="shared" si="123"/>
        <v>0.82587766493571979</v>
      </c>
    </row>
    <row r="1927" spans="1:15" x14ac:dyDescent="0.25">
      <c r="A1927" t="s">
        <v>7664</v>
      </c>
      <c r="B1927" t="s">
        <v>3855</v>
      </c>
      <c r="C1927" s="3" t="s">
        <v>3856</v>
      </c>
      <c r="D1927" s="24">
        <v>0.33782499999999999</v>
      </c>
      <c r="E1927" s="25">
        <v>8.8249999999999993</v>
      </c>
      <c r="F1927" s="25">
        <v>8.6999999999999993</v>
      </c>
      <c r="G1927" s="26">
        <v>0.12559999999999999</v>
      </c>
      <c r="H1927" s="27">
        <v>0.1206</v>
      </c>
      <c r="I1927" s="26">
        <v>1.0409999999999999</v>
      </c>
      <c r="J1927" s="28">
        <v>6</v>
      </c>
      <c r="K1927" s="27">
        <v>0.48452299999999998</v>
      </c>
      <c r="L1927" s="29">
        <f t="shared" si="120"/>
        <v>0.31468560243984195</v>
      </c>
      <c r="M1927" s="29">
        <f t="shared" si="121"/>
        <v>0.12500000000000033</v>
      </c>
      <c r="N1927" s="30">
        <f t="shared" si="122"/>
        <v>0.47130821456281946</v>
      </c>
      <c r="O1927" s="31">
        <f t="shared" si="123"/>
        <v>1.0905077326652579</v>
      </c>
    </row>
    <row r="1928" spans="1:15" x14ac:dyDescent="0.25">
      <c r="A1928" t="s">
        <v>7665</v>
      </c>
      <c r="B1928" t="s">
        <v>3857</v>
      </c>
      <c r="C1928" s="3" t="s">
        <v>3858</v>
      </c>
      <c r="D1928" s="24">
        <v>0.33839999999999998</v>
      </c>
      <c r="E1928" s="25">
        <v>7.3550000000000004</v>
      </c>
      <c r="F1928" s="25">
        <v>7.7789999999999999</v>
      </c>
      <c r="G1928" s="26">
        <v>-0.42430000000000001</v>
      </c>
      <c r="H1928" s="27">
        <v>0.40789999999999998</v>
      </c>
      <c r="I1928" s="26">
        <v>1.04</v>
      </c>
      <c r="J1928" s="28">
        <v>6</v>
      </c>
      <c r="K1928" s="27">
        <v>0.485095</v>
      </c>
      <c r="L1928" s="29">
        <f t="shared" si="120"/>
        <v>0.31417320173674912</v>
      </c>
      <c r="M1928" s="29">
        <f t="shared" si="121"/>
        <v>-0.42399999999999988</v>
      </c>
      <c r="N1928" s="30">
        <f t="shared" si="122"/>
        <v>0.47056964563301407</v>
      </c>
      <c r="O1928" s="31">
        <f t="shared" si="123"/>
        <v>0.74535519339946033</v>
      </c>
    </row>
    <row r="1929" spans="1:15" x14ac:dyDescent="0.25">
      <c r="A1929" t="s">
        <v>7666</v>
      </c>
      <c r="B1929" t="s">
        <v>3859</v>
      </c>
      <c r="C1929" s="3" t="s">
        <v>3860</v>
      </c>
      <c r="D1929" s="24">
        <v>0.339005</v>
      </c>
      <c r="E1929" s="25">
        <v>8.2509999999999994</v>
      </c>
      <c r="F1929" s="25">
        <v>7.8220000000000001</v>
      </c>
      <c r="G1929" s="26">
        <v>0.42959999999999998</v>
      </c>
      <c r="H1929" s="27">
        <v>0.41360000000000002</v>
      </c>
      <c r="I1929" s="26">
        <v>1.0389999999999999</v>
      </c>
      <c r="J1929" s="28">
        <v>6</v>
      </c>
      <c r="K1929" s="27">
        <v>0.485711</v>
      </c>
      <c r="L1929" s="29">
        <f t="shared" si="120"/>
        <v>0.31362206085637506</v>
      </c>
      <c r="M1929" s="29">
        <f t="shared" si="121"/>
        <v>0.4289999999999996</v>
      </c>
      <c r="N1929" s="30">
        <f t="shared" si="122"/>
        <v>0.4697938963208238</v>
      </c>
      <c r="O1929" s="31">
        <f t="shared" si="123"/>
        <v>1.3463000692767819</v>
      </c>
    </row>
    <row r="1930" spans="1:15" x14ac:dyDescent="0.25">
      <c r="A1930" t="s">
        <v>7667</v>
      </c>
      <c r="B1930" t="s">
        <v>3861</v>
      </c>
      <c r="C1930" s="3" t="s">
        <v>3862</v>
      </c>
      <c r="D1930" s="24">
        <v>0.33947500000000003</v>
      </c>
      <c r="E1930" s="25">
        <v>8.6980000000000004</v>
      </c>
      <c r="F1930" s="25">
        <v>8.6359999999999992</v>
      </c>
      <c r="G1930" s="26">
        <v>6.2449999999999999E-2</v>
      </c>
      <c r="H1930" s="27">
        <v>6.019E-2</v>
      </c>
      <c r="I1930" s="26">
        <v>1.038</v>
      </c>
      <c r="J1930" s="28">
        <v>6</v>
      </c>
      <c r="K1930" s="27">
        <v>0.48577599999999999</v>
      </c>
      <c r="L1930" s="29">
        <f t="shared" si="120"/>
        <v>0.31356394553138184</v>
      </c>
      <c r="M1930" s="29">
        <f t="shared" si="121"/>
        <v>6.2000000000001949E-2</v>
      </c>
      <c r="N1930" s="30">
        <f t="shared" si="122"/>
        <v>0.46919220300887798</v>
      </c>
      <c r="O1930" s="31">
        <f t="shared" si="123"/>
        <v>1.0439119274217203</v>
      </c>
    </row>
    <row r="1931" spans="1:15" x14ac:dyDescent="0.25">
      <c r="A1931" t="s">
        <v>7668</v>
      </c>
      <c r="B1931" t="s">
        <v>3863</v>
      </c>
      <c r="C1931" s="3" t="s">
        <v>3864</v>
      </c>
      <c r="D1931" s="24">
        <v>0.33947500000000003</v>
      </c>
      <c r="E1931" s="25">
        <v>8.6980000000000004</v>
      </c>
      <c r="F1931" s="25">
        <v>8.6359999999999992</v>
      </c>
      <c r="G1931" s="26">
        <v>6.2449999999999999E-2</v>
      </c>
      <c r="H1931" s="27">
        <v>6.019E-2</v>
      </c>
      <c r="I1931" s="26">
        <v>1.038</v>
      </c>
      <c r="J1931" s="28">
        <v>6</v>
      </c>
      <c r="K1931" s="27">
        <v>0.48577599999999999</v>
      </c>
      <c r="L1931" s="29">
        <f t="shared" si="120"/>
        <v>0.31356394553138184</v>
      </c>
      <c r="M1931" s="29">
        <f t="shared" si="121"/>
        <v>6.2000000000001949E-2</v>
      </c>
      <c r="N1931" s="30">
        <f t="shared" si="122"/>
        <v>0.46919220300887798</v>
      </c>
      <c r="O1931" s="31">
        <f t="shared" si="123"/>
        <v>1.0439119274217203</v>
      </c>
    </row>
    <row r="1932" spans="1:15" x14ac:dyDescent="0.25">
      <c r="A1932" t="s">
        <v>7669</v>
      </c>
      <c r="B1932" t="s">
        <v>3865</v>
      </c>
      <c r="C1932" s="3" t="s">
        <v>3866</v>
      </c>
      <c r="D1932" s="24">
        <v>0.33957799999999999</v>
      </c>
      <c r="E1932" s="25">
        <v>10.93</v>
      </c>
      <c r="F1932" s="25">
        <v>11.04</v>
      </c>
      <c r="G1932" s="26">
        <v>-0.1079</v>
      </c>
      <c r="H1932" s="27">
        <v>0.104</v>
      </c>
      <c r="I1932" s="26">
        <v>1.0369999999999999</v>
      </c>
      <c r="J1932" s="28">
        <v>6</v>
      </c>
      <c r="K1932" s="27">
        <v>0.48577599999999999</v>
      </c>
      <c r="L1932" s="29">
        <f t="shared" si="120"/>
        <v>0.31356394553138184</v>
      </c>
      <c r="M1932" s="29">
        <f t="shared" si="121"/>
        <v>-0.10999999999999927</v>
      </c>
      <c r="N1932" s="30">
        <f t="shared" si="122"/>
        <v>0.46906045384650308</v>
      </c>
      <c r="O1932" s="31">
        <f t="shared" si="123"/>
        <v>0.92658806189037135</v>
      </c>
    </row>
    <row r="1933" spans="1:15" x14ac:dyDescent="0.25">
      <c r="A1933" t="s">
        <v>7670</v>
      </c>
      <c r="B1933" t="s">
        <v>3867</v>
      </c>
      <c r="C1933" s="3" t="s">
        <v>3868</v>
      </c>
      <c r="D1933" s="24">
        <v>0.34012399999999998</v>
      </c>
      <c r="E1933" s="25">
        <v>8.4350000000000005</v>
      </c>
      <c r="F1933" s="25">
        <v>8.202</v>
      </c>
      <c r="G1933" s="26">
        <v>0.23280000000000001</v>
      </c>
      <c r="H1933" s="27">
        <v>0.22470000000000001</v>
      </c>
      <c r="I1933" s="26">
        <v>1.036</v>
      </c>
      <c r="J1933" s="28">
        <v>6</v>
      </c>
      <c r="K1933" s="27">
        <v>0.48630499999999999</v>
      </c>
      <c r="L1933" s="29">
        <f t="shared" si="120"/>
        <v>0.3130912651609068</v>
      </c>
      <c r="M1933" s="29">
        <f t="shared" si="121"/>
        <v>0.23300000000000101</v>
      </c>
      <c r="N1933" s="30">
        <f t="shared" si="122"/>
        <v>0.46836272208133789</v>
      </c>
      <c r="O1933" s="31">
        <f t="shared" si="123"/>
        <v>1.1752763284197716</v>
      </c>
    </row>
    <row r="1934" spans="1:15" x14ac:dyDescent="0.25">
      <c r="A1934" t="s">
        <v>7671</v>
      </c>
      <c r="B1934" t="s">
        <v>3869</v>
      </c>
      <c r="C1934" s="3" t="s">
        <v>3870</v>
      </c>
      <c r="D1934" s="24">
        <v>0.34108300000000003</v>
      </c>
      <c r="E1934" s="25">
        <v>8.6489999999999991</v>
      </c>
      <c r="F1934" s="25">
        <v>8.4139999999999997</v>
      </c>
      <c r="G1934" s="26">
        <v>0.2351</v>
      </c>
      <c r="H1934" s="27">
        <v>0.22739999999999999</v>
      </c>
      <c r="I1934" s="26">
        <v>1.034</v>
      </c>
      <c r="J1934" s="28">
        <v>6</v>
      </c>
      <c r="K1934" s="27">
        <v>0.48742400000000002</v>
      </c>
      <c r="L1934" s="29">
        <f t="shared" si="120"/>
        <v>0.31209309063969481</v>
      </c>
      <c r="M1934" s="29">
        <f t="shared" si="121"/>
        <v>0.23499999999999951</v>
      </c>
      <c r="N1934" s="30">
        <f t="shared" si="122"/>
        <v>0.46713992582912689</v>
      </c>
      <c r="O1934" s="31">
        <f t="shared" si="123"/>
        <v>1.1769067372187669</v>
      </c>
    </row>
    <row r="1935" spans="1:15" x14ac:dyDescent="0.25">
      <c r="A1935" t="s">
        <v>7672</v>
      </c>
      <c r="B1935" t="s">
        <v>3873</v>
      </c>
      <c r="C1935" s="3" t="s">
        <v>3874</v>
      </c>
      <c r="D1935" s="24">
        <v>0.34183000000000002</v>
      </c>
      <c r="E1935" s="25">
        <v>10.54</v>
      </c>
      <c r="F1935" s="25">
        <v>10.68</v>
      </c>
      <c r="G1935" s="26">
        <v>-0.1484</v>
      </c>
      <c r="H1935" s="27">
        <v>0.14380000000000001</v>
      </c>
      <c r="I1935" s="26">
        <v>1.032</v>
      </c>
      <c r="J1935" s="28">
        <v>6</v>
      </c>
      <c r="K1935" s="27">
        <v>0.487757</v>
      </c>
      <c r="L1935" s="29">
        <f t="shared" si="120"/>
        <v>0.31179648915116104</v>
      </c>
      <c r="M1935" s="29">
        <f t="shared" si="121"/>
        <v>-0.14000000000000032</v>
      </c>
      <c r="N1935" s="30">
        <f t="shared" si="122"/>
        <v>0.46618982498943035</v>
      </c>
      <c r="O1935" s="31">
        <f t="shared" si="123"/>
        <v>0.90751915531716065</v>
      </c>
    </row>
    <row r="1936" spans="1:15" x14ac:dyDescent="0.25">
      <c r="A1936" t="s">
        <v>7673</v>
      </c>
      <c r="B1936" t="s">
        <v>3875</v>
      </c>
      <c r="C1936" s="3" t="s">
        <v>3876</v>
      </c>
      <c r="D1936" s="24">
        <v>0.34184599999999998</v>
      </c>
      <c r="E1936" s="25">
        <v>8.9130000000000003</v>
      </c>
      <c r="F1936" s="25">
        <v>9.1430000000000007</v>
      </c>
      <c r="G1936" s="26">
        <v>-0.2293</v>
      </c>
      <c r="H1936" s="27">
        <v>0.22220000000000001</v>
      </c>
      <c r="I1936" s="26">
        <v>1.032</v>
      </c>
      <c r="J1936" s="28">
        <v>6</v>
      </c>
      <c r="K1936" s="27">
        <v>0.487757</v>
      </c>
      <c r="L1936" s="29">
        <f t="shared" si="120"/>
        <v>0.31179648915116104</v>
      </c>
      <c r="M1936" s="29">
        <f t="shared" si="121"/>
        <v>-0.23000000000000004</v>
      </c>
      <c r="N1936" s="30">
        <f t="shared" si="122"/>
        <v>0.46616949749011277</v>
      </c>
      <c r="O1936" s="31">
        <f t="shared" si="123"/>
        <v>0.8526348917679567</v>
      </c>
    </row>
    <row r="1937" spans="1:15" x14ac:dyDescent="0.25">
      <c r="A1937" t="s">
        <v>7674</v>
      </c>
      <c r="B1937" t="s">
        <v>3871</v>
      </c>
      <c r="C1937" s="3" t="s">
        <v>3872</v>
      </c>
      <c r="D1937" s="24">
        <v>0.34172799999999998</v>
      </c>
      <c r="E1937" s="25">
        <v>6.9119999999999999</v>
      </c>
      <c r="F1937" s="25">
        <v>6.41</v>
      </c>
      <c r="G1937" s="26">
        <v>0.50190000000000001</v>
      </c>
      <c r="H1937" s="27">
        <v>0.48620000000000002</v>
      </c>
      <c r="I1937" s="26">
        <v>1.032</v>
      </c>
      <c r="J1937" s="28">
        <v>6</v>
      </c>
      <c r="K1937" s="27">
        <v>0.487757</v>
      </c>
      <c r="L1937" s="29">
        <f t="shared" si="120"/>
        <v>0.31179648915116104</v>
      </c>
      <c r="M1937" s="29">
        <f t="shared" si="121"/>
        <v>0.50199999999999989</v>
      </c>
      <c r="N1937" s="30">
        <f t="shared" si="122"/>
        <v>0.46631943516876528</v>
      </c>
      <c r="O1937" s="31">
        <f t="shared" si="123"/>
        <v>1.4161754382145437</v>
      </c>
    </row>
    <row r="1938" spans="1:15" x14ac:dyDescent="0.25">
      <c r="A1938" t="s">
        <v>7675</v>
      </c>
      <c r="B1938" t="s">
        <v>3877</v>
      </c>
      <c r="C1938" s="3" t="s">
        <v>3878</v>
      </c>
      <c r="D1938" s="24">
        <v>0.34220499999999998</v>
      </c>
      <c r="E1938" s="25">
        <v>8.3439999999999994</v>
      </c>
      <c r="F1938" s="25">
        <v>8.5150000000000006</v>
      </c>
      <c r="G1938" s="26">
        <v>-0.1711</v>
      </c>
      <c r="H1938" s="27">
        <v>0.16589999999999999</v>
      </c>
      <c r="I1938" s="26">
        <v>1.0309999999999999</v>
      </c>
      <c r="J1938" s="28">
        <v>6</v>
      </c>
      <c r="K1938" s="27">
        <v>0.48801699999999998</v>
      </c>
      <c r="L1938" s="29">
        <f t="shared" si="120"/>
        <v>0.31156504914975269</v>
      </c>
      <c r="M1938" s="29">
        <f t="shared" si="121"/>
        <v>-0.17100000000000068</v>
      </c>
      <c r="N1938" s="30">
        <f t="shared" si="122"/>
        <v>0.46571364921763736</v>
      </c>
      <c r="O1938" s="31">
        <f t="shared" si="123"/>
        <v>0.88822679584240449</v>
      </c>
    </row>
    <row r="1939" spans="1:15" x14ac:dyDescent="0.25">
      <c r="A1939" t="s">
        <v>7676</v>
      </c>
      <c r="B1939" t="s">
        <v>3881</v>
      </c>
      <c r="C1939" s="3" t="s">
        <v>3882</v>
      </c>
      <c r="D1939" s="24">
        <v>0.343171</v>
      </c>
      <c r="E1939" s="25">
        <v>8.3559999999999999</v>
      </c>
      <c r="F1939" s="25">
        <v>8.5609999999999999</v>
      </c>
      <c r="G1939" s="26">
        <v>-0.2051</v>
      </c>
      <c r="H1939" s="27">
        <v>0.19939999999999999</v>
      </c>
      <c r="I1939" s="26">
        <v>1.0289999999999999</v>
      </c>
      <c r="J1939" s="28">
        <v>6</v>
      </c>
      <c r="K1939" s="27">
        <v>0.48873</v>
      </c>
      <c r="L1939" s="29">
        <f t="shared" si="120"/>
        <v>0.31093100160090403</v>
      </c>
      <c r="M1939" s="29">
        <f t="shared" si="121"/>
        <v>-0.20500000000000096</v>
      </c>
      <c r="N1939" s="30">
        <f t="shared" si="122"/>
        <v>0.46448941975141234</v>
      </c>
      <c r="O1939" s="31">
        <f t="shared" si="123"/>
        <v>0.86753868715206739</v>
      </c>
    </row>
    <row r="1940" spans="1:15" x14ac:dyDescent="0.25">
      <c r="A1940" t="s">
        <v>7677</v>
      </c>
      <c r="B1940" t="s">
        <v>3879</v>
      </c>
      <c r="C1940" s="3" t="s">
        <v>3880</v>
      </c>
      <c r="D1940" s="24">
        <v>0.34305099999999999</v>
      </c>
      <c r="E1940" s="25">
        <v>9.7910000000000004</v>
      </c>
      <c r="F1940" s="25">
        <v>9.8989999999999991</v>
      </c>
      <c r="G1940" s="26">
        <v>-0.10829999999999999</v>
      </c>
      <c r="H1940" s="27">
        <v>0.1052</v>
      </c>
      <c r="I1940" s="26">
        <v>1.0289999999999999</v>
      </c>
      <c r="J1940" s="28">
        <v>6</v>
      </c>
      <c r="K1940" s="27">
        <v>0.48873</v>
      </c>
      <c r="L1940" s="29">
        <f t="shared" si="120"/>
        <v>0.31093100160090403</v>
      </c>
      <c r="M1940" s="29">
        <f t="shared" si="121"/>
        <v>-0.10799999999999842</v>
      </c>
      <c r="N1940" s="30">
        <f t="shared" si="122"/>
        <v>0.46464131035929035</v>
      </c>
      <c r="O1940" s="31">
        <f t="shared" si="123"/>
        <v>0.92787347647128371</v>
      </c>
    </row>
    <row r="1941" spans="1:15" x14ac:dyDescent="0.25">
      <c r="A1941" t="s">
        <v>7678</v>
      </c>
      <c r="B1941" t="s">
        <v>3883</v>
      </c>
      <c r="C1941" s="3" t="s">
        <v>3884</v>
      </c>
      <c r="D1941" s="24">
        <v>0.34323500000000001</v>
      </c>
      <c r="E1941" s="25">
        <v>10.130000000000001</v>
      </c>
      <c r="F1941" s="25">
        <v>10.27</v>
      </c>
      <c r="G1941" s="26">
        <v>-0.1391</v>
      </c>
      <c r="H1941" s="27">
        <v>0.13519999999999999</v>
      </c>
      <c r="I1941" s="26">
        <v>1.0289999999999999</v>
      </c>
      <c r="J1941" s="28">
        <v>6</v>
      </c>
      <c r="K1941" s="27">
        <v>0.48873</v>
      </c>
      <c r="L1941" s="29">
        <f t="shared" si="120"/>
        <v>0.31093100160090403</v>
      </c>
      <c r="M1941" s="29">
        <f t="shared" si="121"/>
        <v>-0.1399999999999991</v>
      </c>
      <c r="N1941" s="30">
        <f t="shared" si="122"/>
        <v>0.46440843314312996</v>
      </c>
      <c r="O1941" s="31">
        <f t="shared" si="123"/>
        <v>0.90751915531716143</v>
      </c>
    </row>
    <row r="1942" spans="1:15" x14ac:dyDescent="0.25">
      <c r="A1942" t="s">
        <v>7679</v>
      </c>
      <c r="B1942" t="s">
        <v>3885</v>
      </c>
      <c r="C1942" s="3" t="s">
        <v>3886</v>
      </c>
      <c r="D1942" s="24">
        <v>0.34372799999999998</v>
      </c>
      <c r="E1942" s="25">
        <v>10.29</v>
      </c>
      <c r="F1942" s="25">
        <v>10.36</v>
      </c>
      <c r="G1942" s="26">
        <v>-7.0980000000000001E-2</v>
      </c>
      <c r="H1942" s="27">
        <v>6.9070000000000006E-2</v>
      </c>
      <c r="I1942" s="26">
        <v>1.028</v>
      </c>
      <c r="J1942" s="28">
        <v>6</v>
      </c>
      <c r="K1942" s="27">
        <v>0.48917899999999997</v>
      </c>
      <c r="L1942" s="29">
        <f t="shared" si="120"/>
        <v>0.31053219509421021</v>
      </c>
      <c r="M1942" s="29">
        <f t="shared" si="121"/>
        <v>-7.0000000000000243E-2</v>
      </c>
      <c r="N1942" s="30">
        <f t="shared" si="122"/>
        <v>0.46378508889799575</v>
      </c>
      <c r="O1942" s="31">
        <f t="shared" si="123"/>
        <v>0.95263799804393723</v>
      </c>
    </row>
    <row r="1943" spans="1:15" x14ac:dyDescent="0.25">
      <c r="A1943" t="s">
        <v>7680</v>
      </c>
      <c r="B1943" t="s">
        <v>3889</v>
      </c>
      <c r="C1943" s="3" t="s">
        <v>3890</v>
      </c>
      <c r="D1943" s="24">
        <v>0.34427400000000002</v>
      </c>
      <c r="E1943" s="25">
        <v>7.3090000000000002</v>
      </c>
      <c r="F1943" s="25">
        <v>7.0579999999999998</v>
      </c>
      <c r="G1943" s="26">
        <v>0.25119999999999998</v>
      </c>
      <c r="H1943" s="27">
        <v>0.2447</v>
      </c>
      <c r="I1943" s="26">
        <v>1.026</v>
      </c>
      <c r="J1943" s="28">
        <v>6</v>
      </c>
      <c r="K1943" s="27">
        <v>0.489452</v>
      </c>
      <c r="L1943" s="29">
        <f t="shared" si="120"/>
        <v>0.31028989253760803</v>
      </c>
      <c r="M1943" s="29">
        <f t="shared" si="121"/>
        <v>0.25100000000000011</v>
      </c>
      <c r="N1943" s="30">
        <f t="shared" si="122"/>
        <v>0.46309577451547945</v>
      </c>
      <c r="O1943" s="31">
        <f t="shared" si="123"/>
        <v>1.1900316963066757</v>
      </c>
    </row>
    <row r="1944" spans="1:15" x14ac:dyDescent="0.25">
      <c r="A1944" t="s">
        <v>7681</v>
      </c>
      <c r="B1944" t="s">
        <v>3887</v>
      </c>
      <c r="C1944" s="3" t="s">
        <v>3888</v>
      </c>
      <c r="D1944" s="24">
        <v>0.34414</v>
      </c>
      <c r="E1944" s="25">
        <v>11.28</v>
      </c>
      <c r="F1944" s="25">
        <v>11.19</v>
      </c>
      <c r="G1944" s="26">
        <v>9.1389999999999999E-2</v>
      </c>
      <c r="H1944" s="27">
        <v>8.9010000000000006E-2</v>
      </c>
      <c r="I1944" s="26">
        <v>1.0269999999999999</v>
      </c>
      <c r="J1944" s="28">
        <v>6</v>
      </c>
      <c r="K1944" s="27">
        <v>0.489452</v>
      </c>
      <c r="L1944" s="29">
        <f t="shared" si="120"/>
        <v>0.31028989253760803</v>
      </c>
      <c r="M1944" s="29">
        <f t="shared" si="121"/>
        <v>8.9999999999999566E-2</v>
      </c>
      <c r="N1944" s="30">
        <f t="shared" si="122"/>
        <v>0.46326484563056436</v>
      </c>
      <c r="O1944" s="31">
        <f t="shared" si="123"/>
        <v>1.0643701824533596</v>
      </c>
    </row>
    <row r="1945" spans="1:15" x14ac:dyDescent="0.25">
      <c r="A1945" t="s">
        <v>7682</v>
      </c>
      <c r="B1945" t="s">
        <v>3891</v>
      </c>
      <c r="C1945" s="3" t="s">
        <v>3892</v>
      </c>
      <c r="D1945" s="24">
        <v>0.34540100000000001</v>
      </c>
      <c r="E1945" s="25">
        <v>7.6840000000000002</v>
      </c>
      <c r="F1945" s="25">
        <v>7.125</v>
      </c>
      <c r="G1945" s="26">
        <v>0.55959999999999999</v>
      </c>
      <c r="H1945" s="27">
        <v>0.54649999999999999</v>
      </c>
      <c r="I1945" s="26">
        <v>1.024</v>
      </c>
      <c r="J1945" s="28">
        <v>6</v>
      </c>
      <c r="K1945" s="27">
        <v>0.49080200000000002</v>
      </c>
      <c r="L1945" s="29">
        <f t="shared" si="120"/>
        <v>0.30909367620747408</v>
      </c>
      <c r="M1945" s="29">
        <f t="shared" si="121"/>
        <v>0.55899999999999928</v>
      </c>
      <c r="N1945" s="30">
        <f t="shared" si="122"/>
        <v>0.46167640940361149</v>
      </c>
      <c r="O1945" s="31">
        <f t="shared" si="123"/>
        <v>1.4732476858164794</v>
      </c>
    </row>
    <row r="1946" spans="1:15" x14ac:dyDescent="0.25">
      <c r="A1946" t="s">
        <v>7683</v>
      </c>
      <c r="B1946" t="s">
        <v>3893</v>
      </c>
      <c r="C1946" s="3" t="s">
        <v>3894</v>
      </c>
      <c r="D1946" s="24">
        <v>0.34570200000000001</v>
      </c>
      <c r="E1946" s="25">
        <v>10.050000000000001</v>
      </c>
      <c r="F1946" s="25">
        <v>9.8640000000000008</v>
      </c>
      <c r="G1946" s="26">
        <v>0.18590000000000001</v>
      </c>
      <c r="H1946" s="27">
        <v>0.1817</v>
      </c>
      <c r="I1946" s="26">
        <v>1.0229999999999999</v>
      </c>
      <c r="J1946" s="28">
        <v>6</v>
      </c>
      <c r="K1946" s="27">
        <v>0.49092799999999998</v>
      </c>
      <c r="L1946" s="29">
        <f t="shared" si="120"/>
        <v>0.3089821972773808</v>
      </c>
      <c r="M1946" s="29">
        <f t="shared" si="121"/>
        <v>0.18600000000000066</v>
      </c>
      <c r="N1946" s="30">
        <f t="shared" si="122"/>
        <v>0.46129810791362075</v>
      </c>
      <c r="O1946" s="31">
        <f t="shared" si="123"/>
        <v>1.1376052278725053</v>
      </c>
    </row>
    <row r="1947" spans="1:15" x14ac:dyDescent="0.25">
      <c r="A1947" t="s">
        <v>7684</v>
      </c>
      <c r="B1947" t="s">
        <v>3895</v>
      </c>
      <c r="C1947" s="3" t="s">
        <v>3896</v>
      </c>
      <c r="D1947" s="24">
        <v>0.34584500000000001</v>
      </c>
      <c r="E1947" s="25">
        <v>8.1419999999999995</v>
      </c>
      <c r="F1947" s="25">
        <v>8.0449999999999999</v>
      </c>
      <c r="G1947" s="26">
        <v>9.7309999999999994E-2</v>
      </c>
      <c r="H1947" s="27">
        <v>9.5140000000000002E-2</v>
      </c>
      <c r="I1947" s="26">
        <v>1.0229999999999999</v>
      </c>
      <c r="J1947" s="28">
        <v>6</v>
      </c>
      <c r="K1947" s="27">
        <v>0.49092799999999998</v>
      </c>
      <c r="L1947" s="29">
        <f t="shared" si="120"/>
        <v>0.3089821972773808</v>
      </c>
      <c r="M1947" s="29">
        <f t="shared" si="121"/>
        <v>9.7000000000000142E-2</v>
      </c>
      <c r="N1947" s="30">
        <f t="shared" si="122"/>
        <v>0.46111849868446536</v>
      </c>
      <c r="O1947" s="31">
        <f t="shared" si="123"/>
        <v>1.0695470878852449</v>
      </c>
    </row>
    <row r="1948" spans="1:15" x14ac:dyDescent="0.25">
      <c r="A1948" t="s">
        <v>7685</v>
      </c>
      <c r="B1948" t="s">
        <v>3897</v>
      </c>
      <c r="C1948" s="3" t="s">
        <v>3898</v>
      </c>
      <c r="D1948" s="24">
        <v>0.34667500000000001</v>
      </c>
      <c r="E1948" s="25">
        <v>8.2390000000000008</v>
      </c>
      <c r="F1948" s="25">
        <v>8.6310000000000002</v>
      </c>
      <c r="G1948" s="26">
        <v>-0.3926</v>
      </c>
      <c r="H1948" s="27">
        <v>0.38450000000000001</v>
      </c>
      <c r="I1948" s="26">
        <v>1.0209999999999999</v>
      </c>
      <c r="J1948" s="28">
        <v>6</v>
      </c>
      <c r="K1948" s="27">
        <v>0.49185299999999998</v>
      </c>
      <c r="L1948" s="29">
        <f t="shared" si="120"/>
        <v>0.30816467533834213</v>
      </c>
      <c r="M1948" s="29">
        <f t="shared" si="121"/>
        <v>-0.39199999999999935</v>
      </c>
      <c r="N1948" s="30">
        <f t="shared" si="122"/>
        <v>0.46007747577515845</v>
      </c>
      <c r="O1948" s="31">
        <f t="shared" si="123"/>
        <v>0.762072415169885</v>
      </c>
    </row>
    <row r="1949" spans="1:15" x14ac:dyDescent="0.25">
      <c r="A1949" t="s">
        <v>7686</v>
      </c>
      <c r="B1949" t="s">
        <v>3899</v>
      </c>
      <c r="C1949" s="3" t="s">
        <v>3900</v>
      </c>
      <c r="D1949" s="24">
        <v>0.34826000000000001</v>
      </c>
      <c r="E1949" s="25">
        <v>8.7629999999999999</v>
      </c>
      <c r="F1949" s="25">
        <v>8.8070000000000004</v>
      </c>
      <c r="G1949" s="26">
        <v>-4.3659999999999997E-2</v>
      </c>
      <c r="H1949" s="27">
        <v>4.2909999999999997E-2</v>
      </c>
      <c r="I1949" s="26">
        <v>1.0169999999999999</v>
      </c>
      <c r="J1949" s="28">
        <v>6</v>
      </c>
      <c r="K1949" s="27">
        <v>0.49384800000000001</v>
      </c>
      <c r="L1949" s="29">
        <f t="shared" si="120"/>
        <v>0.30640670071024462</v>
      </c>
      <c r="M1949" s="29">
        <f t="shared" si="121"/>
        <v>-4.4000000000000802E-2</v>
      </c>
      <c r="N1949" s="30">
        <f t="shared" si="122"/>
        <v>0.45809640431543774</v>
      </c>
      <c r="O1949" s="31">
        <f t="shared" si="123"/>
        <v>0.96996191034173429</v>
      </c>
    </row>
    <row r="1950" spans="1:15" x14ac:dyDescent="0.25">
      <c r="A1950" t="s">
        <v>7687</v>
      </c>
      <c r="B1950" t="s">
        <v>3905</v>
      </c>
      <c r="C1950" s="3" t="s">
        <v>3906</v>
      </c>
      <c r="D1950" s="24">
        <v>0.35144500000000001</v>
      </c>
      <c r="E1950" s="25">
        <v>10.15</v>
      </c>
      <c r="F1950" s="25">
        <v>10</v>
      </c>
      <c r="G1950" s="26">
        <v>0.153</v>
      </c>
      <c r="H1950" s="27">
        <v>0.1515</v>
      </c>
      <c r="I1950" s="26">
        <v>1.01</v>
      </c>
      <c r="J1950" s="28">
        <v>6</v>
      </c>
      <c r="K1950" s="27">
        <v>0.49759799999999998</v>
      </c>
      <c r="L1950" s="29">
        <f t="shared" si="120"/>
        <v>0.30312137387734495</v>
      </c>
      <c r="M1950" s="29">
        <f t="shared" si="121"/>
        <v>0.15000000000000063</v>
      </c>
      <c r="N1950" s="30">
        <f t="shared" si="122"/>
        <v>0.45414263100109387</v>
      </c>
      <c r="O1950" s="31">
        <f t="shared" si="123"/>
        <v>1.1095694720678455</v>
      </c>
    </row>
    <row r="1951" spans="1:15" x14ac:dyDescent="0.25">
      <c r="A1951" t="s">
        <v>7688</v>
      </c>
      <c r="B1951" t="s">
        <v>3903</v>
      </c>
      <c r="C1951" s="3" t="s">
        <v>3904</v>
      </c>
      <c r="D1951" s="24">
        <v>0.35139999999999999</v>
      </c>
      <c r="E1951" s="25">
        <v>8.6140000000000008</v>
      </c>
      <c r="F1951" s="25">
        <v>8.3840000000000003</v>
      </c>
      <c r="G1951" s="26">
        <v>0.23019999999999999</v>
      </c>
      <c r="H1951" s="27">
        <v>0.2278</v>
      </c>
      <c r="I1951" s="26">
        <v>1.01</v>
      </c>
      <c r="J1951" s="28">
        <v>6</v>
      </c>
      <c r="K1951" s="27">
        <v>0.49759799999999998</v>
      </c>
      <c r="L1951" s="29">
        <f t="shared" si="120"/>
        <v>0.30312137387734495</v>
      </c>
      <c r="M1951" s="29">
        <f t="shared" si="121"/>
        <v>0.2300000000000014</v>
      </c>
      <c r="N1951" s="30">
        <f t="shared" si="122"/>
        <v>0.45419824284072374</v>
      </c>
      <c r="O1951" s="31">
        <f t="shared" si="123"/>
        <v>1.1728349492318799</v>
      </c>
    </row>
    <row r="1952" spans="1:15" x14ac:dyDescent="0.25">
      <c r="A1952" t="s">
        <v>7689</v>
      </c>
      <c r="B1952" t="s">
        <v>3901</v>
      </c>
      <c r="C1952" s="3" t="s">
        <v>3902</v>
      </c>
      <c r="D1952" s="24">
        <v>0.35122300000000001</v>
      </c>
      <c r="E1952" s="25">
        <v>9.11</v>
      </c>
      <c r="F1952" s="25">
        <v>8.9890000000000008</v>
      </c>
      <c r="G1952" s="26">
        <v>0.1205</v>
      </c>
      <c r="H1952" s="27">
        <v>0.1193</v>
      </c>
      <c r="I1952" s="26">
        <v>1.0109999999999999</v>
      </c>
      <c r="J1952" s="28">
        <v>6</v>
      </c>
      <c r="K1952" s="27">
        <v>0.49759799999999998</v>
      </c>
      <c r="L1952" s="29">
        <f t="shared" si="120"/>
        <v>0.30312137387734495</v>
      </c>
      <c r="M1952" s="29">
        <f t="shared" si="121"/>
        <v>0.12099999999999847</v>
      </c>
      <c r="N1952" s="30">
        <f t="shared" si="122"/>
        <v>0.45441705186041981</v>
      </c>
      <c r="O1952" s="31">
        <f t="shared" si="123"/>
        <v>1.0874883908548818</v>
      </c>
    </row>
    <row r="1953" spans="1:15" x14ac:dyDescent="0.25">
      <c r="A1953" t="s">
        <v>7690</v>
      </c>
      <c r="B1953" t="s">
        <v>3909</v>
      </c>
      <c r="C1953" s="3" t="s">
        <v>3910</v>
      </c>
      <c r="D1953" s="24">
        <v>0.352661</v>
      </c>
      <c r="E1953" s="25">
        <v>12.13</v>
      </c>
      <c r="F1953" s="25">
        <v>11.97</v>
      </c>
      <c r="G1953" s="26">
        <v>0.16039999999999999</v>
      </c>
      <c r="H1953" s="27">
        <v>0.1593</v>
      </c>
      <c r="I1953" s="26">
        <v>1.0069999999999999</v>
      </c>
      <c r="J1953" s="28">
        <v>6</v>
      </c>
      <c r="K1953" s="27">
        <v>0.498809</v>
      </c>
      <c r="L1953" s="29">
        <f t="shared" si="120"/>
        <v>0.30206571915685687</v>
      </c>
      <c r="M1953" s="29">
        <f t="shared" si="121"/>
        <v>0.16000000000000092</v>
      </c>
      <c r="N1953" s="30">
        <f t="shared" si="122"/>
        <v>0.45264256534328201</v>
      </c>
      <c r="O1953" s="31">
        <f t="shared" si="123"/>
        <v>1.1172871380722207</v>
      </c>
    </row>
    <row r="1954" spans="1:15" x14ac:dyDescent="0.25">
      <c r="A1954" t="s">
        <v>7691</v>
      </c>
      <c r="B1954" t="s">
        <v>3907</v>
      </c>
      <c r="C1954" s="3" t="s">
        <v>3908</v>
      </c>
      <c r="D1954" s="24">
        <v>0.352661</v>
      </c>
      <c r="E1954" s="25">
        <v>12.13</v>
      </c>
      <c r="F1954" s="25">
        <v>11.97</v>
      </c>
      <c r="G1954" s="26">
        <v>0.16039999999999999</v>
      </c>
      <c r="H1954" s="27">
        <v>0.1593</v>
      </c>
      <c r="I1954" s="26">
        <v>1.0069999999999999</v>
      </c>
      <c r="J1954" s="28">
        <v>6</v>
      </c>
      <c r="K1954" s="27">
        <v>0.498809</v>
      </c>
      <c r="L1954" s="29">
        <f t="shared" si="120"/>
        <v>0.30206571915685687</v>
      </c>
      <c r="M1954" s="29">
        <f t="shared" si="121"/>
        <v>0.16000000000000092</v>
      </c>
      <c r="N1954" s="30">
        <f t="shared" si="122"/>
        <v>0.45264256534328201</v>
      </c>
      <c r="O1954" s="31">
        <f t="shared" si="123"/>
        <v>1.1172871380722207</v>
      </c>
    </row>
    <row r="1955" spans="1:15" x14ac:dyDescent="0.25">
      <c r="A1955" t="s">
        <v>7692</v>
      </c>
      <c r="B1955" t="s">
        <v>3911</v>
      </c>
      <c r="C1955" s="3" t="s">
        <v>3912</v>
      </c>
      <c r="D1955" s="24">
        <v>0.35308699999999998</v>
      </c>
      <c r="E1955" s="25">
        <v>9.3439999999999994</v>
      </c>
      <c r="F1955" s="25">
        <v>9.5359999999999996</v>
      </c>
      <c r="G1955" s="26">
        <v>-0.19209999999999999</v>
      </c>
      <c r="H1955" s="27">
        <v>0.19089999999999999</v>
      </c>
      <c r="I1955" s="26">
        <v>1.006</v>
      </c>
      <c r="J1955" s="28">
        <v>6</v>
      </c>
      <c r="K1955" s="27">
        <v>0.49915599999999999</v>
      </c>
      <c r="L1955" s="29">
        <f t="shared" si="120"/>
        <v>0.30176370417377896</v>
      </c>
      <c r="M1955" s="29">
        <f t="shared" si="121"/>
        <v>-0.1920000000000005</v>
      </c>
      <c r="N1955" s="30">
        <f t="shared" si="122"/>
        <v>0.45211827204947114</v>
      </c>
      <c r="O1955" s="31">
        <f t="shared" si="123"/>
        <v>0.8753913296942637</v>
      </c>
    </row>
    <row r="1956" spans="1:15" x14ac:dyDescent="0.25">
      <c r="A1956" t="s">
        <v>7693</v>
      </c>
      <c r="B1956" t="s">
        <v>3919</v>
      </c>
      <c r="C1956" s="3" t="s">
        <v>3920</v>
      </c>
      <c r="D1956" s="24">
        <v>0.35433599999999998</v>
      </c>
      <c r="E1956" s="25">
        <v>9.8510000000000009</v>
      </c>
      <c r="F1956" s="25">
        <v>9.7530000000000001</v>
      </c>
      <c r="G1956" s="26">
        <v>9.7670000000000007E-2</v>
      </c>
      <c r="H1956" s="27">
        <v>9.7320000000000004E-2</v>
      </c>
      <c r="I1956" s="26">
        <v>1.004</v>
      </c>
      <c r="J1956" s="28">
        <v>6</v>
      </c>
      <c r="K1956" s="27">
        <v>0.49989800000000001</v>
      </c>
      <c r="L1956" s="29">
        <f t="shared" si="120"/>
        <v>0.30111860077631819</v>
      </c>
      <c r="M1956" s="29">
        <f t="shared" si="121"/>
        <v>9.8000000000001752E-2</v>
      </c>
      <c r="N1956" s="30">
        <f t="shared" si="122"/>
        <v>0.45058472176477438</v>
      </c>
      <c r="O1956" s="31">
        <f t="shared" si="123"/>
        <v>1.0702886984266253</v>
      </c>
    </row>
    <row r="1957" spans="1:15" x14ac:dyDescent="0.25">
      <c r="A1957" t="s">
        <v>7694</v>
      </c>
      <c r="B1957" t="s">
        <v>3917</v>
      </c>
      <c r="C1957" s="3" t="s">
        <v>3918</v>
      </c>
      <c r="D1957" s="24">
        <v>0.35424699999999998</v>
      </c>
      <c r="E1957" s="25">
        <v>7.2539999999999996</v>
      </c>
      <c r="F1957" s="25">
        <v>7.39</v>
      </c>
      <c r="G1957" s="26">
        <v>-0.13600000000000001</v>
      </c>
      <c r="H1957" s="27">
        <v>0.13550000000000001</v>
      </c>
      <c r="I1957" s="26">
        <v>1.004</v>
      </c>
      <c r="J1957" s="28">
        <v>6</v>
      </c>
      <c r="K1957" s="27">
        <v>0.49989800000000001</v>
      </c>
      <c r="L1957" s="29">
        <f t="shared" si="120"/>
        <v>0.30111860077631819</v>
      </c>
      <c r="M1957" s="29">
        <f t="shared" si="121"/>
        <v>-0.1359999999999999</v>
      </c>
      <c r="N1957" s="30">
        <f t="shared" si="122"/>
        <v>0.45069381896042443</v>
      </c>
      <c r="O1957" s="31">
        <f t="shared" si="123"/>
        <v>0.9100388240808992</v>
      </c>
    </row>
    <row r="1958" spans="1:15" x14ac:dyDescent="0.25">
      <c r="A1958" t="s">
        <v>7695</v>
      </c>
      <c r="B1958" t="s">
        <v>3913</v>
      </c>
      <c r="C1958" s="3" t="s">
        <v>3914</v>
      </c>
      <c r="D1958" s="24">
        <v>0.35404099999999999</v>
      </c>
      <c r="E1958" s="25">
        <v>5.9359999999999999</v>
      </c>
      <c r="F1958" s="25">
        <v>5.1959999999999997</v>
      </c>
      <c r="G1958" s="26">
        <v>0.74029999999999996</v>
      </c>
      <c r="H1958" s="27">
        <v>0.73719999999999997</v>
      </c>
      <c r="I1958" s="26">
        <v>1.004</v>
      </c>
      <c r="J1958" s="28">
        <v>6</v>
      </c>
      <c r="K1958" s="27">
        <v>0.49989800000000001</v>
      </c>
      <c r="L1958" s="29">
        <f t="shared" si="120"/>
        <v>0.30111860077631819</v>
      </c>
      <c r="M1958" s="29">
        <f t="shared" si="121"/>
        <v>0.73999999999999955</v>
      </c>
      <c r="N1958" s="30">
        <f t="shared" si="122"/>
        <v>0.45094644124343547</v>
      </c>
      <c r="O1958" s="31">
        <f t="shared" si="123"/>
        <v>1.6701758388567383</v>
      </c>
    </row>
    <row r="1959" spans="1:15" x14ac:dyDescent="0.25">
      <c r="A1959" t="s">
        <v>7696</v>
      </c>
      <c r="B1959" t="s">
        <v>3915</v>
      </c>
      <c r="C1959" s="3" t="s">
        <v>3916</v>
      </c>
      <c r="D1959" s="24">
        <v>0.354186</v>
      </c>
      <c r="E1959" s="25">
        <v>8.8290000000000006</v>
      </c>
      <c r="F1959" s="25">
        <v>8.7629999999999999</v>
      </c>
      <c r="G1959" s="26">
        <v>6.6030000000000005E-2</v>
      </c>
      <c r="H1959" s="27">
        <v>6.5780000000000005E-2</v>
      </c>
      <c r="I1959" s="26">
        <v>1.004</v>
      </c>
      <c r="J1959" s="28">
        <v>6</v>
      </c>
      <c r="K1959" s="27">
        <v>0.49989800000000001</v>
      </c>
      <c r="L1959" s="29">
        <f t="shared" si="120"/>
        <v>0.30111860077631819</v>
      </c>
      <c r="M1959" s="29">
        <f t="shared" si="121"/>
        <v>6.6000000000001099E-2</v>
      </c>
      <c r="N1959" s="30">
        <f t="shared" si="122"/>
        <v>0.4507686092749964</v>
      </c>
      <c r="O1959" s="31">
        <f t="shared" si="123"/>
        <v>1.0468102819745766</v>
      </c>
    </row>
    <row r="1960" spans="1:15" x14ac:dyDescent="0.25">
      <c r="A1960" t="s">
        <v>7697</v>
      </c>
      <c r="B1960" t="s">
        <v>3923</v>
      </c>
      <c r="C1960" s="3" t="s">
        <v>3924</v>
      </c>
      <c r="D1960" s="24">
        <v>0.35541800000000001</v>
      </c>
      <c r="E1960" s="25">
        <v>9.7560000000000002</v>
      </c>
      <c r="F1960" s="25">
        <v>10</v>
      </c>
      <c r="G1960" s="26">
        <v>-0.24759999999999999</v>
      </c>
      <c r="H1960" s="27">
        <v>0.24729999999999999</v>
      </c>
      <c r="I1960" s="26">
        <v>1.0009999999999999</v>
      </c>
      <c r="J1960" s="28">
        <v>6</v>
      </c>
      <c r="K1960" s="27">
        <v>0.50091300000000005</v>
      </c>
      <c r="L1960" s="29">
        <f t="shared" si="120"/>
        <v>0.30023769708868059</v>
      </c>
      <c r="M1960" s="29">
        <f t="shared" si="121"/>
        <v>-0.24400000000000072</v>
      </c>
      <c r="N1960" s="30">
        <f t="shared" si="122"/>
        <v>0.44926058130640961</v>
      </c>
      <c r="O1960" s="31">
        <f t="shared" si="123"/>
        <v>0.8444008874237815</v>
      </c>
    </row>
    <row r="1961" spans="1:15" x14ac:dyDescent="0.25">
      <c r="A1961" t="s">
        <v>7698</v>
      </c>
      <c r="B1961" t="s">
        <v>3921</v>
      </c>
      <c r="C1961" s="3" t="s">
        <v>3922</v>
      </c>
      <c r="D1961" s="24">
        <v>0.35533599999999999</v>
      </c>
      <c r="E1961" s="25">
        <v>10.47</v>
      </c>
      <c r="F1961" s="25">
        <v>10.58</v>
      </c>
      <c r="G1961" s="26">
        <v>-0.1105</v>
      </c>
      <c r="H1961" s="27">
        <v>0.1103</v>
      </c>
      <c r="I1961" s="26">
        <v>1.0009999999999999</v>
      </c>
      <c r="J1961" s="28">
        <v>6</v>
      </c>
      <c r="K1961" s="27">
        <v>0.50091300000000005</v>
      </c>
      <c r="L1961" s="29">
        <f t="shared" si="120"/>
        <v>0.30023769708868059</v>
      </c>
      <c r="M1961" s="29">
        <f t="shared" si="121"/>
        <v>-0.1099999999999991</v>
      </c>
      <c r="N1961" s="30">
        <f t="shared" si="122"/>
        <v>0.44936079079569596</v>
      </c>
      <c r="O1961" s="31">
        <f t="shared" si="123"/>
        <v>0.92658806189037146</v>
      </c>
    </row>
    <row r="1962" spans="1:15" x14ac:dyDescent="0.25">
      <c r="A1962" t="s">
        <v>7699</v>
      </c>
      <c r="B1962" t="s">
        <v>3925</v>
      </c>
      <c r="C1962" s="3" t="s">
        <v>3926</v>
      </c>
      <c r="D1962" s="24">
        <v>0.35585899999999998</v>
      </c>
      <c r="E1962" s="25">
        <v>10.85</v>
      </c>
      <c r="F1962" s="25">
        <v>10.94</v>
      </c>
      <c r="G1962" s="26">
        <v>-8.9039999999999994E-2</v>
      </c>
      <c r="H1962" s="27">
        <v>8.9029999999999998E-2</v>
      </c>
      <c r="I1962" s="26">
        <v>1</v>
      </c>
      <c r="J1962" s="28">
        <v>6</v>
      </c>
      <c r="K1962" s="27">
        <v>0.501278</v>
      </c>
      <c r="L1962" s="29">
        <f t="shared" si="120"/>
        <v>0.2999213552079345</v>
      </c>
      <c r="M1962" s="29">
        <f t="shared" si="121"/>
        <v>-8.9999999999999636E-2</v>
      </c>
      <c r="N1962" s="30">
        <f t="shared" si="122"/>
        <v>0.44872204599299209</v>
      </c>
      <c r="O1962" s="31">
        <f t="shared" si="123"/>
        <v>0.93952274921401202</v>
      </c>
    </row>
    <row r="1963" spans="1:15" x14ac:dyDescent="0.25">
      <c r="A1963" t="s">
        <v>7700</v>
      </c>
      <c r="B1963" t="s">
        <v>3927</v>
      </c>
      <c r="C1963" s="3" t="s">
        <v>3928</v>
      </c>
      <c r="D1963" s="24">
        <v>0.35674400000000001</v>
      </c>
      <c r="E1963" s="25">
        <v>9.1940000000000008</v>
      </c>
      <c r="F1963" s="25">
        <v>8.8320000000000007</v>
      </c>
      <c r="G1963" s="26">
        <v>0.36130000000000001</v>
      </c>
      <c r="H1963" s="27">
        <v>0.36199999999999999</v>
      </c>
      <c r="I1963" s="26">
        <v>0.99809999999999999</v>
      </c>
      <c r="J1963" s="28">
        <v>6</v>
      </c>
      <c r="K1963" s="27">
        <v>0.50226899999999997</v>
      </c>
      <c r="L1963" s="29">
        <f t="shared" si="120"/>
        <v>0.29906362563181449</v>
      </c>
      <c r="M1963" s="29">
        <f t="shared" si="121"/>
        <v>0.36199999999999921</v>
      </c>
      <c r="N1963" s="30">
        <f t="shared" si="122"/>
        <v>0.44764332245663485</v>
      </c>
      <c r="O1963" s="31">
        <f t="shared" si="123"/>
        <v>1.2852063374693723</v>
      </c>
    </row>
    <row r="1964" spans="1:15" x14ac:dyDescent="0.25">
      <c r="A1964" t="s">
        <v>7701</v>
      </c>
      <c r="B1964" t="s">
        <v>3929</v>
      </c>
      <c r="C1964" s="3" t="s">
        <v>3930</v>
      </c>
      <c r="D1964" s="24">
        <v>0.35860300000000001</v>
      </c>
      <c r="E1964" s="25">
        <v>6.2169999999999996</v>
      </c>
      <c r="F1964" s="25">
        <v>6.4050000000000002</v>
      </c>
      <c r="G1964" s="26">
        <v>-0.18809999999999999</v>
      </c>
      <c r="H1964" s="27">
        <v>0.1862</v>
      </c>
      <c r="I1964" s="26">
        <v>1.0109999999999999</v>
      </c>
      <c r="J1964" s="28">
        <v>5</v>
      </c>
      <c r="K1964" s="27">
        <v>0.50437200000000004</v>
      </c>
      <c r="L1964" s="29">
        <f t="shared" si="120"/>
        <v>0.29724903110574119</v>
      </c>
      <c r="M1964" s="29">
        <f t="shared" si="121"/>
        <v>-0.18800000000000128</v>
      </c>
      <c r="N1964" s="30">
        <f t="shared" si="122"/>
        <v>0.44538608153904546</v>
      </c>
      <c r="O1964" s="31">
        <f t="shared" si="123"/>
        <v>0.87782179760951851</v>
      </c>
    </row>
    <row r="1965" spans="1:15" x14ac:dyDescent="0.25">
      <c r="A1965" t="s">
        <v>7702</v>
      </c>
      <c r="B1965" t="s">
        <v>3933</v>
      </c>
      <c r="C1965" s="3" t="s">
        <v>3934</v>
      </c>
      <c r="D1965" s="24">
        <v>0.35979499999999998</v>
      </c>
      <c r="E1965" s="25">
        <v>7.4349999999999996</v>
      </c>
      <c r="F1965" s="25">
        <v>7.181</v>
      </c>
      <c r="G1965" s="26">
        <v>0.2545</v>
      </c>
      <c r="H1965" s="27">
        <v>0.25669999999999998</v>
      </c>
      <c r="I1965" s="26">
        <v>0.99129999999999996</v>
      </c>
      <c r="J1965" s="28">
        <v>6</v>
      </c>
      <c r="K1965" s="27">
        <v>0.50541999999999998</v>
      </c>
      <c r="L1965" s="29">
        <f t="shared" si="120"/>
        <v>0.29634757658749122</v>
      </c>
      <c r="M1965" s="29">
        <f t="shared" si="121"/>
        <v>0.25399999999999973</v>
      </c>
      <c r="N1965" s="30">
        <f t="shared" si="122"/>
        <v>0.44394487625310697</v>
      </c>
      <c r="O1965" s="31">
        <f t="shared" si="123"/>
        <v>1.1925088723306314</v>
      </c>
    </row>
    <row r="1966" spans="1:15" x14ac:dyDescent="0.25">
      <c r="A1966" t="s">
        <v>7703</v>
      </c>
      <c r="B1966" t="s">
        <v>3937</v>
      </c>
      <c r="C1966" s="3" t="s">
        <v>3938</v>
      </c>
      <c r="D1966" s="24">
        <v>0.36020600000000003</v>
      </c>
      <c r="E1966" s="25">
        <v>8.2620000000000005</v>
      </c>
      <c r="F1966" s="25">
        <v>8.1189999999999998</v>
      </c>
      <c r="G1966" s="26">
        <v>0.1424</v>
      </c>
      <c r="H1966" s="27">
        <v>0.14380000000000001</v>
      </c>
      <c r="I1966" s="26">
        <v>0.99039999999999995</v>
      </c>
      <c r="J1966" s="28">
        <v>6</v>
      </c>
      <c r="K1966" s="27">
        <v>0.50541999999999998</v>
      </c>
      <c r="L1966" s="29">
        <f t="shared" si="120"/>
        <v>0.29634757658749122</v>
      </c>
      <c r="M1966" s="29">
        <f t="shared" si="121"/>
        <v>0.14300000000000027</v>
      </c>
      <c r="N1966" s="30">
        <f t="shared" si="122"/>
        <v>0.44344905735438384</v>
      </c>
      <c r="O1966" s="31">
        <f t="shared" si="123"/>
        <v>1.104198847163093</v>
      </c>
    </row>
    <row r="1967" spans="1:15" x14ac:dyDescent="0.25">
      <c r="A1967" t="s">
        <v>7704</v>
      </c>
      <c r="B1967" t="s">
        <v>3935</v>
      </c>
      <c r="C1967" s="3" t="s">
        <v>3936</v>
      </c>
      <c r="D1967" s="24">
        <v>0.36008200000000001</v>
      </c>
      <c r="E1967" s="25">
        <v>10.28</v>
      </c>
      <c r="F1967" s="25">
        <v>10.24</v>
      </c>
      <c r="G1967" s="26">
        <v>4.3490000000000001E-2</v>
      </c>
      <c r="H1967" s="27">
        <v>4.3889999999999998E-2</v>
      </c>
      <c r="I1967" s="26">
        <v>0.99070000000000003</v>
      </c>
      <c r="J1967" s="28">
        <v>6</v>
      </c>
      <c r="K1967" s="27">
        <v>0.50541999999999998</v>
      </c>
      <c r="L1967" s="29">
        <f t="shared" si="120"/>
        <v>0.29634757658749122</v>
      </c>
      <c r="M1967" s="29">
        <f t="shared" si="121"/>
        <v>3.9999999999999113E-2</v>
      </c>
      <c r="N1967" s="30">
        <f t="shared" si="122"/>
        <v>0.44359858786520179</v>
      </c>
      <c r="O1967" s="31">
        <f t="shared" si="123"/>
        <v>1.0281138266560659</v>
      </c>
    </row>
    <row r="1968" spans="1:15" x14ac:dyDescent="0.25">
      <c r="A1968" t="s">
        <v>7705</v>
      </c>
      <c r="B1968" t="s">
        <v>3941</v>
      </c>
      <c r="C1968" s="3" t="s">
        <v>3942</v>
      </c>
      <c r="D1968" s="24">
        <v>0.36044599999999999</v>
      </c>
      <c r="E1968" s="25">
        <v>10.36</v>
      </c>
      <c r="F1968" s="25">
        <v>10.27</v>
      </c>
      <c r="G1968" s="26">
        <v>9.7729999999999997E-2</v>
      </c>
      <c r="H1968" s="27">
        <v>9.8729999999999998E-2</v>
      </c>
      <c r="I1968" s="26">
        <v>0.9899</v>
      </c>
      <c r="J1968" s="28">
        <v>6</v>
      </c>
      <c r="K1968" s="27">
        <v>0.50541999999999998</v>
      </c>
      <c r="L1968" s="29">
        <f t="shared" si="120"/>
        <v>0.29634757658749122</v>
      </c>
      <c r="M1968" s="29">
        <f t="shared" si="121"/>
        <v>8.9999999999999566E-2</v>
      </c>
      <c r="N1968" s="30">
        <f t="shared" si="122"/>
        <v>0.44315978963706626</v>
      </c>
      <c r="O1968" s="31">
        <f t="shared" si="123"/>
        <v>1.0643701824533596</v>
      </c>
    </row>
    <row r="1969" spans="1:15" x14ac:dyDescent="0.25">
      <c r="A1969" t="s">
        <v>7706</v>
      </c>
      <c r="B1969" t="s">
        <v>3931</v>
      </c>
      <c r="C1969" s="3" t="s">
        <v>3932</v>
      </c>
      <c r="D1969" s="24">
        <v>0.35953200000000002</v>
      </c>
      <c r="E1969" s="25">
        <v>12.08</v>
      </c>
      <c r="F1969" s="25">
        <v>12.24</v>
      </c>
      <c r="G1969" s="26">
        <v>-0.1618</v>
      </c>
      <c r="H1969" s="27">
        <v>0.16320000000000001</v>
      </c>
      <c r="I1969" s="26">
        <v>0.9919</v>
      </c>
      <c r="J1969" s="28">
        <v>6</v>
      </c>
      <c r="K1969" s="27">
        <v>0.50541999999999998</v>
      </c>
      <c r="L1969" s="29">
        <f t="shared" si="120"/>
        <v>0.29634757658749122</v>
      </c>
      <c r="M1969" s="29">
        <f t="shared" si="121"/>
        <v>-0.16000000000000086</v>
      </c>
      <c r="N1969" s="30">
        <f t="shared" si="122"/>
        <v>0.44426244935638282</v>
      </c>
      <c r="O1969" s="31">
        <f t="shared" si="123"/>
        <v>0.8950250709279719</v>
      </c>
    </row>
    <row r="1970" spans="1:15" x14ac:dyDescent="0.25">
      <c r="A1970" t="s">
        <v>7707</v>
      </c>
      <c r="B1970" t="s">
        <v>3939</v>
      </c>
      <c r="C1970" s="3" t="s">
        <v>3940</v>
      </c>
      <c r="D1970" s="24">
        <v>0.36030899999999999</v>
      </c>
      <c r="E1970" s="25">
        <v>8.6110000000000007</v>
      </c>
      <c r="F1970" s="25">
        <v>8.6859999999999999</v>
      </c>
      <c r="G1970" s="26">
        <v>-7.4450000000000002E-2</v>
      </c>
      <c r="H1970" s="27">
        <v>7.5190000000000007E-2</v>
      </c>
      <c r="I1970" s="26">
        <v>0.99019999999999997</v>
      </c>
      <c r="J1970" s="28">
        <v>6</v>
      </c>
      <c r="K1970" s="27">
        <v>0.50541999999999998</v>
      </c>
      <c r="L1970" s="29">
        <f t="shared" si="120"/>
        <v>0.29634757658749122</v>
      </c>
      <c r="M1970" s="29">
        <f t="shared" si="121"/>
        <v>-7.499999999999854E-2</v>
      </c>
      <c r="N1970" s="30">
        <f t="shared" si="122"/>
        <v>0.44332488969114092</v>
      </c>
      <c r="O1970" s="31">
        <f t="shared" si="123"/>
        <v>0.94934212095052017</v>
      </c>
    </row>
    <row r="1971" spans="1:15" x14ac:dyDescent="0.25">
      <c r="A1971" t="s">
        <v>7708</v>
      </c>
      <c r="B1971" t="s">
        <v>3943</v>
      </c>
      <c r="C1971" s="3" t="s">
        <v>3944</v>
      </c>
      <c r="D1971" s="24">
        <v>0.36103400000000002</v>
      </c>
      <c r="E1971" s="25">
        <v>8.2569999999999997</v>
      </c>
      <c r="F1971" s="25">
        <v>8.0820000000000007</v>
      </c>
      <c r="G1971" s="26">
        <v>0.1749</v>
      </c>
      <c r="H1971" s="27">
        <v>0.1769</v>
      </c>
      <c r="I1971" s="26">
        <v>0.98860000000000003</v>
      </c>
      <c r="J1971" s="28">
        <v>6</v>
      </c>
      <c r="K1971" s="27">
        <v>0.50598799999999999</v>
      </c>
      <c r="L1971" s="29">
        <f t="shared" si="120"/>
        <v>0.29585978275621011</v>
      </c>
      <c r="M1971" s="29">
        <f t="shared" si="121"/>
        <v>0.17499999999999846</v>
      </c>
      <c r="N1971" s="30">
        <f t="shared" si="122"/>
        <v>0.44245189693900694</v>
      </c>
      <c r="O1971" s="31">
        <f t="shared" si="123"/>
        <v>1.12896440480613</v>
      </c>
    </row>
    <row r="1972" spans="1:15" x14ac:dyDescent="0.25">
      <c r="A1972" t="s">
        <v>7709</v>
      </c>
      <c r="B1972" t="s">
        <v>3945</v>
      </c>
      <c r="C1972" s="3" t="s">
        <v>3946</v>
      </c>
      <c r="D1972" s="24">
        <v>0.362313</v>
      </c>
      <c r="E1972" s="25">
        <v>9.6519999999999992</v>
      </c>
      <c r="F1972" s="25">
        <v>9.8019999999999996</v>
      </c>
      <c r="G1972" s="26">
        <v>-0.14949999999999999</v>
      </c>
      <c r="H1972" s="27">
        <v>0.15160000000000001</v>
      </c>
      <c r="I1972" s="26">
        <v>0.98580000000000001</v>
      </c>
      <c r="J1972" s="28">
        <v>6</v>
      </c>
      <c r="K1972" s="27">
        <v>0.50752399999999998</v>
      </c>
      <c r="L1972" s="29">
        <f t="shared" si="120"/>
        <v>0.29454341583619442</v>
      </c>
      <c r="M1972" s="29">
        <f t="shared" si="121"/>
        <v>-0.15000000000000063</v>
      </c>
      <c r="N1972" s="30">
        <f t="shared" si="122"/>
        <v>0.44091608294869317</v>
      </c>
      <c r="O1972" s="31">
        <f t="shared" si="123"/>
        <v>0.90125046261082986</v>
      </c>
    </row>
    <row r="1973" spans="1:15" x14ac:dyDescent="0.25">
      <c r="A1973" t="s">
        <v>7710</v>
      </c>
      <c r="B1973" t="s">
        <v>3947</v>
      </c>
      <c r="C1973" s="3" t="s">
        <v>3948</v>
      </c>
      <c r="D1973" s="24">
        <v>0.36305599999999999</v>
      </c>
      <c r="E1973" s="25">
        <v>9.6050000000000004</v>
      </c>
      <c r="F1973" s="25">
        <v>9.52</v>
      </c>
      <c r="G1973" s="26">
        <v>8.5459999999999994E-2</v>
      </c>
      <c r="H1973" s="27">
        <v>8.6840000000000001E-2</v>
      </c>
      <c r="I1973" s="26">
        <v>0.98409999999999997</v>
      </c>
      <c r="J1973" s="28">
        <v>6</v>
      </c>
      <c r="K1973" s="27">
        <v>0.50830600000000004</v>
      </c>
      <c r="L1973" s="29">
        <f t="shared" si="120"/>
        <v>0.29387476389259004</v>
      </c>
      <c r="M1973" s="29">
        <f t="shared" si="121"/>
        <v>8.4999999999999798E-2</v>
      </c>
      <c r="N1973" s="30">
        <f t="shared" si="122"/>
        <v>0.44002638153353268</v>
      </c>
      <c r="O1973" s="31">
        <f t="shared" si="123"/>
        <v>1.0606877413682168</v>
      </c>
    </row>
    <row r="1974" spans="1:15" x14ac:dyDescent="0.25">
      <c r="A1974" t="s">
        <v>7711</v>
      </c>
      <c r="B1974" t="s">
        <v>3949</v>
      </c>
      <c r="C1974" s="3" t="s">
        <v>3950</v>
      </c>
      <c r="D1974" s="24">
        <v>0.36579400000000001</v>
      </c>
      <c r="E1974" s="25">
        <v>8.4060000000000006</v>
      </c>
      <c r="F1974" s="25">
        <v>8.2349999999999994</v>
      </c>
      <c r="G1974" s="26">
        <v>0.1714</v>
      </c>
      <c r="H1974" s="27">
        <v>0.17530000000000001</v>
      </c>
      <c r="I1974" s="26">
        <v>0.97809999999999997</v>
      </c>
      <c r="J1974" s="28">
        <v>6</v>
      </c>
      <c r="K1974" s="27">
        <v>0.51188</v>
      </c>
      <c r="L1974" s="29">
        <f t="shared" si="120"/>
        <v>0.29083183872348362</v>
      </c>
      <c r="M1974" s="29">
        <f t="shared" si="121"/>
        <v>0.17100000000000057</v>
      </c>
      <c r="N1974" s="30">
        <f t="shared" si="122"/>
        <v>0.43676342239230298</v>
      </c>
      <c r="O1974" s="31">
        <f t="shared" si="123"/>
        <v>1.125838586136763</v>
      </c>
    </row>
    <row r="1975" spans="1:15" x14ac:dyDescent="0.25">
      <c r="A1975" t="s">
        <v>7712</v>
      </c>
      <c r="B1975" t="s">
        <v>3951</v>
      </c>
      <c r="C1975" s="3" t="s">
        <v>3952</v>
      </c>
      <c r="D1975" s="24">
        <v>0.36629600000000001</v>
      </c>
      <c r="E1975" s="25">
        <v>12.94</v>
      </c>
      <c r="F1975" s="25">
        <v>13.2</v>
      </c>
      <c r="G1975" s="26">
        <v>-0.25869999999999999</v>
      </c>
      <c r="H1975" s="27">
        <v>0.26479999999999998</v>
      </c>
      <c r="I1975" s="26">
        <v>0.97699999999999998</v>
      </c>
      <c r="J1975" s="28">
        <v>6</v>
      </c>
      <c r="K1975" s="27">
        <v>0.51232299999999997</v>
      </c>
      <c r="L1975" s="29">
        <f t="shared" si="120"/>
        <v>0.29045614666345065</v>
      </c>
      <c r="M1975" s="29">
        <f t="shared" si="121"/>
        <v>-0.25999999999999984</v>
      </c>
      <c r="N1975" s="30">
        <f t="shared" si="122"/>
        <v>0.43616782386183423</v>
      </c>
      <c r="O1975" s="31">
        <f t="shared" si="123"/>
        <v>0.83508791942836946</v>
      </c>
    </row>
    <row r="1976" spans="1:15" x14ac:dyDescent="0.25">
      <c r="A1976" t="s">
        <v>7713</v>
      </c>
      <c r="B1976" t="s">
        <v>3953</v>
      </c>
      <c r="C1976" s="3" t="s">
        <v>3954</v>
      </c>
      <c r="D1976" s="24">
        <v>0.36690899999999999</v>
      </c>
      <c r="E1976" s="25">
        <v>9.8160000000000007</v>
      </c>
      <c r="F1976" s="25">
        <v>9.7469999999999999</v>
      </c>
      <c r="G1976" s="26">
        <v>6.9589999999999999E-2</v>
      </c>
      <c r="H1976" s="27">
        <v>7.1319999999999995E-2</v>
      </c>
      <c r="I1976" s="26">
        <v>0.97570000000000001</v>
      </c>
      <c r="J1976" s="28">
        <v>6</v>
      </c>
      <c r="K1976" s="27">
        <v>0.51292099999999996</v>
      </c>
      <c r="L1976" s="29">
        <f t="shared" si="120"/>
        <v>0.28994951969537291</v>
      </c>
      <c r="M1976" s="29">
        <f t="shared" si="121"/>
        <v>6.9000000000001047E-2</v>
      </c>
      <c r="N1976" s="30">
        <f t="shared" si="122"/>
        <v>0.43544163519853935</v>
      </c>
      <c r="O1976" s="31">
        <f t="shared" si="123"/>
        <v>1.0489893275749467</v>
      </c>
    </row>
    <row r="1977" spans="1:15" x14ac:dyDescent="0.25">
      <c r="A1977" t="s">
        <v>7714</v>
      </c>
      <c r="B1977" t="s">
        <v>3955</v>
      </c>
      <c r="C1977" s="3" t="s">
        <v>3956</v>
      </c>
      <c r="D1977" s="24">
        <v>0.36854399999999998</v>
      </c>
      <c r="E1977" s="25">
        <v>10.89</v>
      </c>
      <c r="F1977" s="25">
        <v>10.78</v>
      </c>
      <c r="G1977" s="26">
        <v>0.1075</v>
      </c>
      <c r="H1977" s="27">
        <v>0.1106</v>
      </c>
      <c r="I1977" s="26">
        <v>0.97209999999999996</v>
      </c>
      <c r="J1977" s="28">
        <v>6</v>
      </c>
      <c r="K1977" s="27">
        <v>0.51494600000000001</v>
      </c>
      <c r="L1977" s="29">
        <f t="shared" si="120"/>
        <v>0.28823831102021852</v>
      </c>
      <c r="M1977" s="29">
        <f t="shared" si="121"/>
        <v>0.11000000000000035</v>
      </c>
      <c r="N1977" s="30">
        <f t="shared" si="122"/>
        <v>0.43351065484302664</v>
      </c>
      <c r="O1977" s="31">
        <f t="shared" si="123"/>
        <v>1.0792282365044275</v>
      </c>
    </row>
    <row r="1978" spans="1:15" x14ac:dyDescent="0.25">
      <c r="A1978" t="s">
        <v>7715</v>
      </c>
      <c r="B1978" t="s">
        <v>3957</v>
      </c>
      <c r="C1978" s="3" t="s">
        <v>3958</v>
      </c>
      <c r="D1978" s="24">
        <v>0.37001499999999998</v>
      </c>
      <c r="E1978" s="25">
        <v>8.7080000000000002</v>
      </c>
      <c r="F1978" s="25">
        <v>8.5549999999999997</v>
      </c>
      <c r="G1978" s="26">
        <v>0.15310000000000001</v>
      </c>
      <c r="H1978" s="27">
        <v>0.158</v>
      </c>
      <c r="I1978" s="26">
        <v>0.96889999999999998</v>
      </c>
      <c r="J1978" s="28">
        <v>6</v>
      </c>
      <c r="K1978" s="27">
        <v>0.51673999999999998</v>
      </c>
      <c r="L1978" s="29">
        <f t="shared" si="120"/>
        <v>0.28672791912610479</v>
      </c>
      <c r="M1978" s="29">
        <f t="shared" si="121"/>
        <v>0.1529999999999995</v>
      </c>
      <c r="N1978" s="30">
        <f t="shared" si="122"/>
        <v>0.43178066975683443</v>
      </c>
      <c r="O1978" s="31">
        <f t="shared" si="123"/>
        <v>1.1118791575171065</v>
      </c>
    </row>
    <row r="1979" spans="1:15" x14ac:dyDescent="0.25">
      <c r="A1979" t="s">
        <v>7716</v>
      </c>
      <c r="B1979" t="s">
        <v>3963</v>
      </c>
      <c r="C1979" s="3" t="s">
        <v>3964</v>
      </c>
      <c r="D1979" s="24">
        <v>0.37162699999999999</v>
      </c>
      <c r="E1979" s="25">
        <v>10.029999999999999</v>
      </c>
      <c r="F1979" s="25">
        <v>9.8469999999999995</v>
      </c>
      <c r="G1979" s="26">
        <v>0.18390000000000001</v>
      </c>
      <c r="H1979" s="27">
        <v>0.1905</v>
      </c>
      <c r="I1979" s="26">
        <v>0.96540000000000004</v>
      </c>
      <c r="J1979" s="28">
        <v>6</v>
      </c>
      <c r="K1979" s="27">
        <v>0.518204</v>
      </c>
      <c r="L1979" s="29">
        <f t="shared" si="120"/>
        <v>0.28549923903212565</v>
      </c>
      <c r="M1979" s="29">
        <f t="shared" si="121"/>
        <v>0.18299999999999927</v>
      </c>
      <c r="N1979" s="30">
        <f t="shared" si="122"/>
        <v>0.42989274052060406</v>
      </c>
      <c r="O1979" s="31">
        <f t="shared" si="123"/>
        <v>1.1352421021460639</v>
      </c>
    </row>
    <row r="1980" spans="1:15" x14ac:dyDescent="0.25">
      <c r="A1980" t="s">
        <v>7717</v>
      </c>
      <c r="B1980" t="s">
        <v>3961</v>
      </c>
      <c r="C1980" s="3" t="s">
        <v>3962</v>
      </c>
      <c r="D1980" s="24">
        <v>0.371527</v>
      </c>
      <c r="E1980" s="25">
        <v>8.1859999999999999</v>
      </c>
      <c r="F1980" s="25">
        <v>8.0540000000000003</v>
      </c>
      <c r="G1980" s="26">
        <v>0.1321</v>
      </c>
      <c r="H1980" s="27">
        <v>0.1368</v>
      </c>
      <c r="I1980" s="26">
        <v>0.96560000000000001</v>
      </c>
      <c r="J1980" s="28">
        <v>6</v>
      </c>
      <c r="K1980" s="27">
        <v>0.518204</v>
      </c>
      <c r="L1980" s="29">
        <f t="shared" si="120"/>
        <v>0.28549923903212565</v>
      </c>
      <c r="M1980" s="29">
        <f t="shared" si="121"/>
        <v>0.13200000000000067</v>
      </c>
      <c r="N1980" s="30">
        <f t="shared" si="122"/>
        <v>0.43000961925220599</v>
      </c>
      <c r="O1980" s="31">
        <f t="shared" si="123"/>
        <v>1.0958117664476914</v>
      </c>
    </row>
    <row r="1981" spans="1:15" x14ac:dyDescent="0.25">
      <c r="A1981" t="s">
        <v>7718</v>
      </c>
      <c r="B1981" t="s">
        <v>3959</v>
      </c>
      <c r="C1981" s="3" t="s">
        <v>3960</v>
      </c>
      <c r="D1981" s="24">
        <v>0.37126900000000002</v>
      </c>
      <c r="E1981" s="25">
        <v>9.4190000000000005</v>
      </c>
      <c r="F1981" s="25">
        <v>9.7710000000000008</v>
      </c>
      <c r="G1981" s="26">
        <v>-0.35220000000000001</v>
      </c>
      <c r="H1981" s="27">
        <v>0.36449999999999999</v>
      </c>
      <c r="I1981" s="26">
        <v>0.96619999999999995</v>
      </c>
      <c r="J1981" s="28">
        <v>6</v>
      </c>
      <c r="K1981" s="27">
        <v>0.518204</v>
      </c>
      <c r="L1981" s="29">
        <f t="shared" si="120"/>
        <v>0.28549923903212565</v>
      </c>
      <c r="M1981" s="29">
        <f t="shared" si="121"/>
        <v>-0.35200000000000031</v>
      </c>
      <c r="N1981" s="30">
        <f t="shared" si="122"/>
        <v>0.43031131172453202</v>
      </c>
      <c r="O1981" s="31">
        <f t="shared" si="123"/>
        <v>0.78349718694934056</v>
      </c>
    </row>
    <row r="1982" spans="1:15" x14ac:dyDescent="0.25">
      <c r="A1982" t="s">
        <v>7719</v>
      </c>
      <c r="B1982" t="s">
        <v>3965</v>
      </c>
      <c r="C1982" s="3" t="s">
        <v>3966</v>
      </c>
      <c r="D1982" s="24">
        <v>0.371836</v>
      </c>
      <c r="E1982" s="25">
        <v>8.5570000000000004</v>
      </c>
      <c r="F1982" s="25">
        <v>8.3629999999999995</v>
      </c>
      <c r="G1982" s="26">
        <v>0.1938</v>
      </c>
      <c r="H1982" s="27">
        <v>0.20080000000000001</v>
      </c>
      <c r="I1982" s="26">
        <v>0.96489999999999998</v>
      </c>
      <c r="J1982" s="28">
        <v>6</v>
      </c>
      <c r="K1982" s="27">
        <v>0.518235</v>
      </c>
      <c r="L1982" s="29">
        <f t="shared" si="120"/>
        <v>0.28547325944443547</v>
      </c>
      <c r="M1982" s="29">
        <f t="shared" si="121"/>
        <v>0.19400000000000017</v>
      </c>
      <c r="N1982" s="30">
        <f t="shared" si="122"/>
        <v>0.42964856549344382</v>
      </c>
      <c r="O1982" s="31">
        <f t="shared" si="123"/>
        <v>1.1439309732038077</v>
      </c>
    </row>
    <row r="1983" spans="1:15" x14ac:dyDescent="0.25">
      <c r="A1983" t="s">
        <v>7720</v>
      </c>
      <c r="B1983" t="s">
        <v>3971</v>
      </c>
      <c r="C1983" s="3" t="s">
        <v>3972</v>
      </c>
      <c r="D1983" s="24">
        <v>0.37261499999999997</v>
      </c>
      <c r="E1983" s="25">
        <v>8.2550000000000008</v>
      </c>
      <c r="F1983" s="25">
        <v>8.1370000000000005</v>
      </c>
      <c r="G1983" s="26">
        <v>0.11849999999999999</v>
      </c>
      <c r="H1983" s="27">
        <v>0.123</v>
      </c>
      <c r="I1983" s="26">
        <v>0.96330000000000005</v>
      </c>
      <c r="J1983" s="28">
        <v>6</v>
      </c>
      <c r="K1983" s="27">
        <v>0.51853499999999997</v>
      </c>
      <c r="L1983" s="29">
        <f t="shared" si="120"/>
        <v>0.28522192433981769</v>
      </c>
      <c r="M1983" s="29">
        <f t="shared" si="121"/>
        <v>0.11799999999999976</v>
      </c>
      <c r="N1983" s="30">
        <f t="shared" si="122"/>
        <v>0.42873966611689773</v>
      </c>
      <c r="O1983" s="31">
        <f t="shared" si="123"/>
        <v>1.0852293718818069</v>
      </c>
    </row>
    <row r="1984" spans="1:15" x14ac:dyDescent="0.25">
      <c r="A1984" t="s">
        <v>7721</v>
      </c>
      <c r="B1984" t="s">
        <v>3967</v>
      </c>
      <c r="C1984" s="3" t="s">
        <v>3968</v>
      </c>
      <c r="D1984" s="24">
        <v>0.37257899999999999</v>
      </c>
      <c r="E1984" s="25">
        <v>8.0879999999999992</v>
      </c>
      <c r="F1984" s="25">
        <v>7.9589999999999996</v>
      </c>
      <c r="G1984" s="26">
        <v>0.1288</v>
      </c>
      <c r="H1984" s="27">
        <v>0.13370000000000001</v>
      </c>
      <c r="I1984" s="26">
        <v>0.96330000000000005</v>
      </c>
      <c r="J1984" s="28">
        <v>6</v>
      </c>
      <c r="K1984" s="27">
        <v>0.51853499999999997</v>
      </c>
      <c r="L1984" s="29">
        <f t="shared" si="120"/>
        <v>0.28522192433981769</v>
      </c>
      <c r="M1984" s="29">
        <f t="shared" si="121"/>
        <v>0.12899999999999942</v>
      </c>
      <c r="N1984" s="30">
        <f t="shared" si="122"/>
        <v>0.42878162727428937</v>
      </c>
      <c r="O1984" s="31">
        <f t="shared" si="123"/>
        <v>1.0935354574846319</v>
      </c>
    </row>
    <row r="1985" spans="1:15" x14ac:dyDescent="0.25">
      <c r="A1985" t="s">
        <v>7722</v>
      </c>
      <c r="B1985" t="s">
        <v>3969</v>
      </c>
      <c r="C1985" s="3" t="s">
        <v>3970</v>
      </c>
      <c r="D1985" s="24">
        <v>0.37257899999999999</v>
      </c>
      <c r="E1985" s="25">
        <v>8.0879999999999992</v>
      </c>
      <c r="F1985" s="25">
        <v>7.9589999999999996</v>
      </c>
      <c r="G1985" s="26">
        <v>0.1288</v>
      </c>
      <c r="H1985" s="27">
        <v>0.13370000000000001</v>
      </c>
      <c r="I1985" s="26">
        <v>0.96330000000000005</v>
      </c>
      <c r="J1985" s="28">
        <v>6</v>
      </c>
      <c r="K1985" s="27">
        <v>0.51853499999999997</v>
      </c>
      <c r="L1985" s="29">
        <f t="shared" si="120"/>
        <v>0.28522192433981769</v>
      </c>
      <c r="M1985" s="29">
        <f t="shared" si="121"/>
        <v>0.12899999999999942</v>
      </c>
      <c r="N1985" s="30">
        <f t="shared" si="122"/>
        <v>0.42878162727428937</v>
      </c>
      <c r="O1985" s="31">
        <f t="shared" si="123"/>
        <v>1.0935354574846319</v>
      </c>
    </row>
    <row r="1986" spans="1:15" x14ac:dyDescent="0.25">
      <c r="A1986" t="s">
        <v>7723</v>
      </c>
      <c r="B1986" t="s">
        <v>3977</v>
      </c>
      <c r="C1986" s="3" t="s">
        <v>3978</v>
      </c>
      <c r="D1986" s="24">
        <v>0.37386200000000003</v>
      </c>
      <c r="E1986" s="25">
        <v>10.58</v>
      </c>
      <c r="F1986" s="25">
        <v>10.69</v>
      </c>
      <c r="G1986" s="26">
        <v>-0.1153</v>
      </c>
      <c r="H1986" s="27">
        <v>0.12</v>
      </c>
      <c r="I1986" s="26">
        <v>0.96060000000000001</v>
      </c>
      <c r="J1986" s="28">
        <v>6</v>
      </c>
      <c r="K1986" s="27">
        <v>0.519486</v>
      </c>
      <c r="L1986" s="29">
        <f t="shared" ref="L1986:L2049" si="124">-LOG(K1986,10)</f>
        <v>0.28442615206190425</v>
      </c>
      <c r="M1986" s="29">
        <f t="shared" ref="M1986:M2049" si="125">LOG(O1986,2)</f>
        <v>-0.11000000000000049</v>
      </c>
      <c r="N1986" s="30">
        <f t="shared" ref="N1986:N2049" si="126">-LOG(D1986,10)</f>
        <v>0.42728867506774004</v>
      </c>
      <c r="O1986" s="31">
        <f t="shared" ref="O1986:O2049" si="127">((2^E1986)/(2^F1986))</f>
        <v>0.92658806189037057</v>
      </c>
    </row>
    <row r="1987" spans="1:15" x14ac:dyDescent="0.25">
      <c r="A1987" t="s">
        <v>7724</v>
      </c>
      <c r="B1987" t="s">
        <v>3975</v>
      </c>
      <c r="C1987" s="3" t="s">
        <v>3976</v>
      </c>
      <c r="D1987" s="24">
        <v>0.37378099999999997</v>
      </c>
      <c r="E1987" s="25">
        <v>7.49</v>
      </c>
      <c r="F1987" s="25">
        <v>7.2439999999999998</v>
      </c>
      <c r="G1987" s="26">
        <v>0.24610000000000001</v>
      </c>
      <c r="H1987" s="27">
        <v>0.25619999999999998</v>
      </c>
      <c r="I1987" s="26">
        <v>0.9607</v>
      </c>
      <c r="J1987" s="28">
        <v>6</v>
      </c>
      <c r="K1987" s="27">
        <v>0.519486</v>
      </c>
      <c r="L1987" s="29">
        <f t="shared" si="124"/>
        <v>0.28442615206190425</v>
      </c>
      <c r="M1987" s="29">
        <f t="shared" si="125"/>
        <v>0.24600000000000152</v>
      </c>
      <c r="N1987" s="30">
        <f t="shared" si="126"/>
        <v>0.42738277841164035</v>
      </c>
      <c r="O1987" s="31">
        <f t="shared" si="127"/>
        <v>1.1859144994109492</v>
      </c>
    </row>
    <row r="1988" spans="1:15" x14ac:dyDescent="0.25">
      <c r="A1988" t="s">
        <v>7725</v>
      </c>
      <c r="B1988" t="s">
        <v>3973</v>
      </c>
      <c r="C1988" s="3" t="s">
        <v>3974</v>
      </c>
      <c r="D1988" s="24">
        <v>0.37364900000000001</v>
      </c>
      <c r="E1988" s="25">
        <v>9.1530000000000005</v>
      </c>
      <c r="F1988" s="25">
        <v>8.9890000000000008</v>
      </c>
      <c r="G1988" s="26">
        <v>0.1646</v>
      </c>
      <c r="H1988" s="27">
        <v>0.17130000000000001</v>
      </c>
      <c r="I1988" s="26">
        <v>0.96099999999999997</v>
      </c>
      <c r="J1988" s="28">
        <v>6</v>
      </c>
      <c r="K1988" s="27">
        <v>0.519486</v>
      </c>
      <c r="L1988" s="29">
        <f t="shared" si="124"/>
        <v>0.28442615206190425</v>
      </c>
      <c r="M1988" s="29">
        <f t="shared" si="125"/>
        <v>0.16400000000000001</v>
      </c>
      <c r="N1988" s="30">
        <f t="shared" si="126"/>
        <v>0.42753617571227642</v>
      </c>
      <c r="O1988" s="31">
        <f t="shared" si="127"/>
        <v>1.120389214194176</v>
      </c>
    </row>
    <row r="1989" spans="1:15" x14ac:dyDescent="0.25">
      <c r="A1989" t="s">
        <v>7726</v>
      </c>
      <c r="B1989" t="s">
        <v>3979</v>
      </c>
      <c r="C1989" s="3" t="s">
        <v>3980</v>
      </c>
      <c r="D1989" s="24">
        <v>0.37559700000000001</v>
      </c>
      <c r="E1989" s="25">
        <v>9.3659999999999997</v>
      </c>
      <c r="F1989" s="25">
        <v>8.8469999999999995</v>
      </c>
      <c r="G1989" s="26">
        <v>0.51970000000000005</v>
      </c>
      <c r="H1989" s="27">
        <v>0.54320000000000002</v>
      </c>
      <c r="I1989" s="26">
        <v>0.95679999999999998</v>
      </c>
      <c r="J1989" s="28">
        <v>6</v>
      </c>
      <c r="K1989" s="27">
        <v>0.52163400000000004</v>
      </c>
      <c r="L1989" s="29">
        <f t="shared" si="124"/>
        <v>0.28263410912592263</v>
      </c>
      <c r="M1989" s="29">
        <f t="shared" si="125"/>
        <v>0.51900000000000046</v>
      </c>
      <c r="N1989" s="30">
        <f t="shared" si="126"/>
        <v>0.42527788522554577</v>
      </c>
      <c r="O1989" s="31">
        <f t="shared" si="127"/>
        <v>1.4329616503731002</v>
      </c>
    </row>
    <row r="1990" spans="1:15" x14ac:dyDescent="0.25">
      <c r="A1990" t="s">
        <v>7727</v>
      </c>
      <c r="B1990" t="s">
        <v>3981</v>
      </c>
      <c r="C1990" s="3" t="s">
        <v>3982</v>
      </c>
      <c r="D1990" s="24">
        <v>0.37583800000000001</v>
      </c>
      <c r="E1990" s="25">
        <v>7.01</v>
      </c>
      <c r="F1990" s="25">
        <v>7.1340000000000003</v>
      </c>
      <c r="G1990" s="26">
        <v>-0.1236</v>
      </c>
      <c r="H1990" s="27">
        <v>0.12920000000000001</v>
      </c>
      <c r="I1990" s="26">
        <v>0.95630000000000004</v>
      </c>
      <c r="J1990" s="28">
        <v>6</v>
      </c>
      <c r="K1990" s="27">
        <v>0.52170700000000003</v>
      </c>
      <c r="L1990" s="29">
        <f t="shared" si="124"/>
        <v>0.2825733360953781</v>
      </c>
      <c r="M1990" s="29">
        <f t="shared" si="125"/>
        <v>-0.1239999999999999</v>
      </c>
      <c r="N1990" s="30">
        <f t="shared" si="126"/>
        <v>0.4249993116330798</v>
      </c>
      <c r="O1990" s="31">
        <f t="shared" si="127"/>
        <v>0.91763988231136517</v>
      </c>
    </row>
    <row r="1991" spans="1:15" x14ac:dyDescent="0.25">
      <c r="A1991" t="s">
        <v>7728</v>
      </c>
      <c r="B1991" t="s">
        <v>3983</v>
      </c>
      <c r="C1991" s="3" t="s">
        <v>3984</v>
      </c>
      <c r="D1991" s="24">
        <v>0.376446</v>
      </c>
      <c r="E1991" s="25">
        <v>8.9209999999999994</v>
      </c>
      <c r="F1991" s="25">
        <v>8.8190000000000008</v>
      </c>
      <c r="G1991" s="26">
        <v>0.10199999999999999</v>
      </c>
      <c r="H1991" s="27">
        <v>0.10680000000000001</v>
      </c>
      <c r="I1991" s="26">
        <v>0.95499999999999996</v>
      </c>
      <c r="J1991" s="28">
        <v>6</v>
      </c>
      <c r="K1991" s="27">
        <v>0.52228799999999997</v>
      </c>
      <c r="L1991" s="29">
        <f t="shared" si="124"/>
        <v>0.282089952324316</v>
      </c>
      <c r="M1991" s="29">
        <f t="shared" si="125"/>
        <v>0.10199999999999831</v>
      </c>
      <c r="N1991" s="30">
        <f t="shared" si="126"/>
        <v>0.42429731317906627</v>
      </c>
      <c r="O1991" s="31">
        <f t="shared" si="127"/>
        <v>1.0732602863934522</v>
      </c>
    </row>
    <row r="1992" spans="1:15" x14ac:dyDescent="0.25">
      <c r="A1992" t="s">
        <v>7729</v>
      </c>
      <c r="B1992" t="s">
        <v>3985</v>
      </c>
      <c r="C1992" s="3" t="s">
        <v>3986</v>
      </c>
      <c r="D1992" s="24">
        <v>0.37680000000000002</v>
      </c>
      <c r="E1992" s="25">
        <v>7.5350000000000001</v>
      </c>
      <c r="F1992" s="25">
        <v>7.97</v>
      </c>
      <c r="G1992" s="26">
        <v>-0.43519999999999998</v>
      </c>
      <c r="H1992" s="27">
        <v>0.45600000000000002</v>
      </c>
      <c r="I1992" s="26">
        <v>0.95430000000000004</v>
      </c>
      <c r="J1992" s="28">
        <v>6</v>
      </c>
      <c r="K1992" s="27">
        <v>0.52251700000000001</v>
      </c>
      <c r="L1992" s="29">
        <f t="shared" si="124"/>
        <v>0.28189957529137982</v>
      </c>
      <c r="M1992" s="29">
        <f t="shared" si="125"/>
        <v>-0.4349999999999995</v>
      </c>
      <c r="N1992" s="30">
        <f t="shared" si="126"/>
        <v>0.42388910587916018</v>
      </c>
      <c r="O1992" s="31">
        <f t="shared" si="127"/>
        <v>0.739693754624419</v>
      </c>
    </row>
    <row r="1993" spans="1:15" x14ac:dyDescent="0.25">
      <c r="A1993" t="s">
        <v>7730</v>
      </c>
      <c r="B1993" t="s">
        <v>3987</v>
      </c>
      <c r="C1993" s="3" t="s">
        <v>3988</v>
      </c>
      <c r="D1993" s="24">
        <v>0.37801099999999999</v>
      </c>
      <c r="E1993" s="25">
        <v>9.2070000000000007</v>
      </c>
      <c r="F1993" s="25">
        <v>9.1229999999999993</v>
      </c>
      <c r="G1993" s="26">
        <v>8.4769999999999998E-2</v>
      </c>
      <c r="H1993" s="27">
        <v>8.9080000000000006E-2</v>
      </c>
      <c r="I1993" s="26">
        <v>0.95169999999999999</v>
      </c>
      <c r="J1993" s="28">
        <v>6</v>
      </c>
      <c r="K1993" s="27">
        <v>0.52393299999999998</v>
      </c>
      <c r="L1993" s="29">
        <f t="shared" si="124"/>
        <v>0.28072424658631484</v>
      </c>
      <c r="M1993" s="29">
        <f t="shared" si="125"/>
        <v>8.400000000000081E-2</v>
      </c>
      <c r="N1993" s="30">
        <f t="shared" si="126"/>
        <v>0.42249556214745138</v>
      </c>
      <c r="O1993" s="31">
        <f t="shared" si="127"/>
        <v>1.0599527833972824</v>
      </c>
    </row>
    <row r="1994" spans="1:15" x14ac:dyDescent="0.25">
      <c r="A1994" t="s">
        <v>7731</v>
      </c>
      <c r="B1994" t="s">
        <v>3989</v>
      </c>
      <c r="C1994" s="3" t="s">
        <v>3990</v>
      </c>
      <c r="D1994" s="24">
        <v>0.37849300000000002</v>
      </c>
      <c r="E1994" s="25">
        <v>8.8949999999999996</v>
      </c>
      <c r="F1994" s="25">
        <v>8.9819999999999993</v>
      </c>
      <c r="G1994" s="26">
        <v>-8.7830000000000005E-2</v>
      </c>
      <c r="H1994" s="27">
        <v>9.239E-2</v>
      </c>
      <c r="I1994" s="26">
        <v>0.9506</v>
      </c>
      <c r="J1994" s="28">
        <v>6</v>
      </c>
      <c r="K1994" s="27">
        <v>0.52433799999999997</v>
      </c>
      <c r="L1994" s="29">
        <f t="shared" si="124"/>
        <v>0.28038866680985958</v>
      </c>
      <c r="M1994" s="29">
        <f t="shared" si="125"/>
        <v>-8.6999999999999703E-2</v>
      </c>
      <c r="N1994" s="30">
        <f t="shared" si="126"/>
        <v>0.4219421481044241</v>
      </c>
      <c r="O1994" s="31">
        <f t="shared" si="127"/>
        <v>0.94147846454120643</v>
      </c>
    </row>
    <row r="1995" spans="1:15" x14ac:dyDescent="0.25">
      <c r="A1995" t="s">
        <v>7732</v>
      </c>
      <c r="B1995" t="s">
        <v>3991</v>
      </c>
      <c r="C1995" s="3" t="s">
        <v>3992</v>
      </c>
      <c r="D1995" s="24">
        <v>0.37915500000000002</v>
      </c>
      <c r="E1995" s="25">
        <v>8.7799999999999994</v>
      </c>
      <c r="F1995" s="25">
        <v>8.6039999999999992</v>
      </c>
      <c r="G1995" s="26">
        <v>0.1762</v>
      </c>
      <c r="H1995" s="27">
        <v>0.18559999999999999</v>
      </c>
      <c r="I1995" s="26">
        <v>0.94920000000000004</v>
      </c>
      <c r="J1995" s="28">
        <v>6</v>
      </c>
      <c r="K1995" s="27">
        <v>0.52499099999999999</v>
      </c>
      <c r="L1995" s="29">
        <f t="shared" si="124"/>
        <v>0.27984814170611971</v>
      </c>
      <c r="M1995" s="29">
        <f t="shared" si="125"/>
        <v>0.17600000000000016</v>
      </c>
      <c r="N1995" s="30">
        <f t="shared" si="126"/>
        <v>0.42118321250323526</v>
      </c>
      <c r="O1995" s="31">
        <f t="shared" si="127"/>
        <v>1.1297472145701237</v>
      </c>
    </row>
    <row r="1996" spans="1:15" x14ac:dyDescent="0.25">
      <c r="A1996" t="s">
        <v>7733</v>
      </c>
      <c r="B1996" t="s">
        <v>3993</v>
      </c>
      <c r="C1996" s="3" t="s">
        <v>3994</v>
      </c>
      <c r="D1996" s="24">
        <v>0.379886</v>
      </c>
      <c r="E1996" s="25">
        <v>9.5530000000000008</v>
      </c>
      <c r="F1996" s="25">
        <v>9.3800000000000008</v>
      </c>
      <c r="G1996" s="26">
        <v>0.17249999999999999</v>
      </c>
      <c r="H1996" s="27">
        <v>0.182</v>
      </c>
      <c r="I1996" s="26">
        <v>0.94769999999999999</v>
      </c>
      <c r="J1996" s="28">
        <v>6</v>
      </c>
      <c r="K1996" s="27">
        <v>0.52574100000000001</v>
      </c>
      <c r="L1996" s="29">
        <f t="shared" si="124"/>
        <v>0.27922815313292498</v>
      </c>
      <c r="M1996" s="29">
        <f t="shared" si="125"/>
        <v>0.17300000000000021</v>
      </c>
      <c r="N1996" s="30">
        <f t="shared" si="126"/>
        <v>0.42034671127492201</v>
      </c>
      <c r="O1996" s="31">
        <f t="shared" si="127"/>
        <v>1.1274004121454217</v>
      </c>
    </row>
    <row r="1997" spans="1:15" x14ac:dyDescent="0.25">
      <c r="A1997" t="s">
        <v>7734</v>
      </c>
      <c r="B1997" t="s">
        <v>3995</v>
      </c>
      <c r="C1997" s="3" t="s">
        <v>3996</v>
      </c>
      <c r="D1997" s="24">
        <v>0.38082100000000002</v>
      </c>
      <c r="E1997" s="25">
        <v>9.657</v>
      </c>
      <c r="F1997" s="25">
        <v>9.7940000000000005</v>
      </c>
      <c r="G1997" s="26">
        <v>-0.13689999999999999</v>
      </c>
      <c r="H1997" s="27">
        <v>0.14480000000000001</v>
      </c>
      <c r="I1997" s="26">
        <v>0.94569999999999999</v>
      </c>
      <c r="J1997" s="28">
        <v>6</v>
      </c>
      <c r="K1997" s="27">
        <v>0.52676999999999996</v>
      </c>
      <c r="L1997" s="29">
        <f t="shared" si="124"/>
        <v>0.27837896644649462</v>
      </c>
      <c r="M1997" s="29">
        <f t="shared" si="125"/>
        <v>-0.13700000000000032</v>
      </c>
      <c r="N1997" s="30">
        <f t="shared" si="126"/>
        <v>0.41927911088458641</v>
      </c>
      <c r="O1997" s="31">
        <f t="shared" si="127"/>
        <v>0.90940825180073293</v>
      </c>
    </row>
    <row r="1998" spans="1:15" x14ac:dyDescent="0.25">
      <c r="A1998" t="s">
        <v>7735</v>
      </c>
      <c r="B1998" t="s">
        <v>3997</v>
      </c>
      <c r="C1998" s="3" t="s">
        <v>3998</v>
      </c>
      <c r="D1998" s="24">
        <v>0.38166299999999997</v>
      </c>
      <c r="E1998" s="25">
        <v>8.2080000000000002</v>
      </c>
      <c r="F1998" s="25">
        <v>8.0860000000000003</v>
      </c>
      <c r="G1998" s="26">
        <v>0.1225</v>
      </c>
      <c r="H1998" s="27">
        <v>0.1298</v>
      </c>
      <c r="I1998" s="26">
        <v>0.94389999999999996</v>
      </c>
      <c r="J1998" s="28">
        <v>6</v>
      </c>
      <c r="K1998" s="27">
        <v>0.52766999999999997</v>
      </c>
      <c r="L1998" s="29">
        <f t="shared" si="124"/>
        <v>0.27763759637587782</v>
      </c>
      <c r="M1998" s="29">
        <f t="shared" si="125"/>
        <v>0.12199999999999901</v>
      </c>
      <c r="N1998" s="30">
        <f t="shared" si="126"/>
        <v>0.41831994032519543</v>
      </c>
      <c r="O1998" s="31">
        <f t="shared" si="127"/>
        <v>1.088242441670803</v>
      </c>
    </row>
    <row r="1999" spans="1:15" x14ac:dyDescent="0.25">
      <c r="A1999" t="s">
        <v>7736</v>
      </c>
      <c r="B1999" t="s">
        <v>3999</v>
      </c>
      <c r="C1999" s="3" t="s">
        <v>4000</v>
      </c>
      <c r="D1999" s="24">
        <v>0.38223299999999999</v>
      </c>
      <c r="E1999" s="25">
        <v>8.8030000000000008</v>
      </c>
      <c r="F1999" s="25">
        <v>8.9309999999999992</v>
      </c>
      <c r="G1999" s="26">
        <v>-0.12809999999999999</v>
      </c>
      <c r="H1999" s="27">
        <v>0.13589999999999999</v>
      </c>
      <c r="I1999" s="26">
        <v>0.94269999999999998</v>
      </c>
      <c r="J1999" s="28">
        <v>6</v>
      </c>
      <c r="K1999" s="27">
        <v>0.52819499999999997</v>
      </c>
      <c r="L1999" s="29">
        <f t="shared" si="124"/>
        <v>0.27720571422846485</v>
      </c>
      <c r="M1999" s="29">
        <f t="shared" si="125"/>
        <v>-0.12799999999999778</v>
      </c>
      <c r="N1999" s="30">
        <f t="shared" si="126"/>
        <v>0.41767182094604471</v>
      </c>
      <c r="O1999" s="31">
        <f t="shared" si="127"/>
        <v>0.9150991681279298</v>
      </c>
    </row>
    <row r="2000" spans="1:15" x14ac:dyDescent="0.25">
      <c r="A2000" t="s">
        <v>7737</v>
      </c>
      <c r="B2000" t="s">
        <v>4001</v>
      </c>
      <c r="C2000" s="3" t="s">
        <v>4002</v>
      </c>
      <c r="D2000" s="24">
        <v>0.38259700000000002</v>
      </c>
      <c r="E2000" s="25">
        <v>11.09</v>
      </c>
      <c r="F2000" s="25">
        <v>11.15</v>
      </c>
      <c r="G2000" s="26">
        <v>-6.6030000000000005E-2</v>
      </c>
      <c r="H2000" s="27">
        <v>7.0099999999999996E-2</v>
      </c>
      <c r="I2000" s="26">
        <v>0.94189999999999996</v>
      </c>
      <c r="J2000" s="28">
        <v>6</v>
      </c>
      <c r="K2000" s="27">
        <v>0.52843300000000004</v>
      </c>
      <c r="L2000" s="29">
        <f t="shared" si="124"/>
        <v>0.2770100690469231</v>
      </c>
      <c r="M2000" s="29">
        <f t="shared" si="125"/>
        <v>-5.9999999999999575E-2</v>
      </c>
      <c r="N2000" s="30">
        <f t="shared" si="126"/>
        <v>0.41725843966301918</v>
      </c>
      <c r="O2000" s="31">
        <f t="shared" si="127"/>
        <v>0.95926411932526467</v>
      </c>
    </row>
    <row r="2001" spans="1:15" x14ac:dyDescent="0.25">
      <c r="A2001" t="s">
        <v>7738</v>
      </c>
      <c r="B2001" t="s">
        <v>4003</v>
      </c>
      <c r="C2001" s="3" t="s">
        <v>4004</v>
      </c>
      <c r="D2001" s="24">
        <v>0.38287599999999999</v>
      </c>
      <c r="E2001" s="25">
        <v>7.7430000000000003</v>
      </c>
      <c r="F2001" s="25">
        <v>7.5640000000000001</v>
      </c>
      <c r="G2001" s="26">
        <v>0.1794</v>
      </c>
      <c r="H2001" s="27">
        <v>0.19059999999999999</v>
      </c>
      <c r="I2001" s="26">
        <v>0.94130000000000003</v>
      </c>
      <c r="J2001" s="28">
        <v>6</v>
      </c>
      <c r="K2001" s="27">
        <v>0.528555</v>
      </c>
      <c r="L2001" s="29">
        <f t="shared" si="124"/>
        <v>0.27690981449904278</v>
      </c>
      <c r="M2001" s="29">
        <f t="shared" si="125"/>
        <v>0.17900000000000027</v>
      </c>
      <c r="N2001" s="30">
        <f t="shared" si="126"/>
        <v>0.41694185588849914</v>
      </c>
      <c r="O2001" s="31">
        <f t="shared" si="127"/>
        <v>1.132098902110674</v>
      </c>
    </row>
    <row r="2002" spans="1:15" x14ac:dyDescent="0.25">
      <c r="A2002" t="s">
        <v>7739</v>
      </c>
      <c r="B2002" t="s">
        <v>4005</v>
      </c>
      <c r="C2002" s="3" t="s">
        <v>4006</v>
      </c>
      <c r="D2002" s="24">
        <v>0.38389800000000002</v>
      </c>
      <c r="E2002" s="25">
        <v>8.7650000000000006</v>
      </c>
      <c r="F2002" s="25">
        <v>8.6669999999999998</v>
      </c>
      <c r="G2002" s="26">
        <v>9.7989999999999994E-2</v>
      </c>
      <c r="H2002" s="27">
        <v>0.1043</v>
      </c>
      <c r="I2002" s="26">
        <v>0.93920000000000003</v>
      </c>
      <c r="J2002" s="28">
        <v>6</v>
      </c>
      <c r="K2002" s="27">
        <v>0.52970099999999998</v>
      </c>
      <c r="L2002" s="29">
        <f t="shared" si="124"/>
        <v>0.27596920717753815</v>
      </c>
      <c r="M2002" s="29">
        <f t="shared" si="125"/>
        <v>9.8000000000000545E-2</v>
      </c>
      <c r="N2002" s="30">
        <f t="shared" si="126"/>
        <v>0.41578415042811817</v>
      </c>
      <c r="O2002" s="31">
        <f t="shared" si="127"/>
        <v>1.0702886984266244</v>
      </c>
    </row>
    <row r="2003" spans="1:15" x14ac:dyDescent="0.25">
      <c r="A2003" t="s">
        <v>7740</v>
      </c>
      <c r="B2003" t="s">
        <v>4007</v>
      </c>
      <c r="C2003" s="3" t="s">
        <v>4008</v>
      </c>
      <c r="D2003" s="24">
        <v>0.38453399999999999</v>
      </c>
      <c r="E2003" s="25">
        <v>8.3070000000000004</v>
      </c>
      <c r="F2003" s="25">
        <v>8.1319999999999997</v>
      </c>
      <c r="G2003" s="26">
        <v>0.17510000000000001</v>
      </c>
      <c r="H2003" s="27">
        <v>0.1867</v>
      </c>
      <c r="I2003" s="26">
        <v>0.93779999999999997</v>
      </c>
      <c r="J2003" s="28">
        <v>6</v>
      </c>
      <c r="K2003" s="27">
        <v>0.53031300000000003</v>
      </c>
      <c r="L2003" s="29">
        <f t="shared" si="124"/>
        <v>0.27546772653208074</v>
      </c>
      <c r="M2003" s="29">
        <f t="shared" si="125"/>
        <v>0.17500000000000074</v>
      </c>
      <c r="N2003" s="30">
        <f t="shared" si="126"/>
        <v>0.41506525440723263</v>
      </c>
      <c r="O2003" s="31">
        <f t="shared" si="127"/>
        <v>1.1289644048061318</v>
      </c>
    </row>
    <row r="2004" spans="1:15" x14ac:dyDescent="0.25">
      <c r="A2004" t="s">
        <v>7741</v>
      </c>
      <c r="B2004" t="s">
        <v>4009</v>
      </c>
      <c r="C2004" s="3" t="s">
        <v>4010</v>
      </c>
      <c r="D2004" s="24">
        <v>0.38536399999999998</v>
      </c>
      <c r="E2004" s="25">
        <v>8.234</v>
      </c>
      <c r="F2004" s="25">
        <v>8.09</v>
      </c>
      <c r="G2004" s="26">
        <v>0.14330000000000001</v>
      </c>
      <c r="H2004" s="27">
        <v>0.15310000000000001</v>
      </c>
      <c r="I2004" s="26">
        <v>0.93610000000000004</v>
      </c>
      <c r="J2004" s="28">
        <v>6</v>
      </c>
      <c r="K2004" s="27">
        <v>0.53119300000000003</v>
      </c>
      <c r="L2004" s="29">
        <f t="shared" si="124"/>
        <v>0.27474765668485063</v>
      </c>
      <c r="M2004" s="29">
        <f t="shared" si="125"/>
        <v>0.14400000000000074</v>
      </c>
      <c r="N2004" s="30">
        <f t="shared" si="126"/>
        <v>0.41412885878176903</v>
      </c>
      <c r="O2004" s="31">
        <f t="shared" si="127"/>
        <v>1.1049644847999123</v>
      </c>
    </row>
    <row r="2005" spans="1:15" x14ac:dyDescent="0.25">
      <c r="A2005" t="s">
        <v>7742</v>
      </c>
      <c r="B2005" t="s">
        <v>4011</v>
      </c>
      <c r="C2005" s="3" t="s">
        <v>4012</v>
      </c>
      <c r="D2005" s="24">
        <v>0.38556099999999999</v>
      </c>
      <c r="E2005" s="25">
        <v>7.06</v>
      </c>
      <c r="F2005" s="25">
        <v>6.88</v>
      </c>
      <c r="G2005" s="26">
        <v>0.18079999999999999</v>
      </c>
      <c r="H2005" s="27">
        <v>0.1933</v>
      </c>
      <c r="I2005" s="26">
        <v>0.93569999999999998</v>
      </c>
      <c r="J2005" s="28">
        <v>6</v>
      </c>
      <c r="K2005" s="27">
        <v>0.53119899999999998</v>
      </c>
      <c r="L2005" s="29">
        <f t="shared" si="124"/>
        <v>0.27474275121325181</v>
      </c>
      <c r="M2005" s="29">
        <f t="shared" si="125"/>
        <v>0.17999999999999933</v>
      </c>
      <c r="N2005" s="30">
        <f t="shared" si="126"/>
        <v>0.41390690200310132</v>
      </c>
      <c r="O2005" s="31">
        <f t="shared" si="127"/>
        <v>1.1328838852957981</v>
      </c>
    </row>
    <row r="2006" spans="1:15" x14ac:dyDescent="0.25">
      <c r="A2006" t="s">
        <v>7743</v>
      </c>
      <c r="B2006" t="s">
        <v>4013</v>
      </c>
      <c r="C2006" s="3" t="s">
        <v>4014</v>
      </c>
      <c r="D2006" s="24">
        <v>0.38674599999999998</v>
      </c>
      <c r="E2006" s="25">
        <v>9.9920000000000009</v>
      </c>
      <c r="F2006" s="25">
        <v>9.8829999999999991</v>
      </c>
      <c r="G2006" s="26">
        <v>0.1089</v>
      </c>
      <c r="H2006" s="27">
        <v>0.1167</v>
      </c>
      <c r="I2006" s="26">
        <v>0.93320000000000003</v>
      </c>
      <c r="J2006" s="28">
        <v>6</v>
      </c>
      <c r="K2006" s="27">
        <v>0.53256599999999998</v>
      </c>
      <c r="L2006" s="29">
        <f t="shared" si="124"/>
        <v>0.27362656317631051</v>
      </c>
      <c r="M2006" s="29">
        <f t="shared" si="125"/>
        <v>0.10900000000000139</v>
      </c>
      <c r="N2006" s="30">
        <f t="shared" si="126"/>
        <v>0.41257416938531399</v>
      </c>
      <c r="O2006" s="31">
        <f t="shared" si="127"/>
        <v>1.0784804316944527</v>
      </c>
    </row>
    <row r="2007" spans="1:15" x14ac:dyDescent="0.25">
      <c r="A2007" t="s">
        <v>7744</v>
      </c>
      <c r="B2007" t="s">
        <v>4015</v>
      </c>
      <c r="C2007" s="3" t="s">
        <v>4016</v>
      </c>
      <c r="D2007" s="24">
        <v>0.38746900000000001</v>
      </c>
      <c r="E2007" s="25">
        <v>9.2249999999999996</v>
      </c>
      <c r="F2007" s="25">
        <v>9.4420000000000002</v>
      </c>
      <c r="G2007" s="26">
        <v>-0.21690000000000001</v>
      </c>
      <c r="H2007" s="27">
        <v>0.23280000000000001</v>
      </c>
      <c r="I2007" s="26">
        <v>0.93169999999999997</v>
      </c>
      <c r="J2007" s="28">
        <v>6</v>
      </c>
      <c r="K2007" s="27">
        <v>0.53329700000000002</v>
      </c>
      <c r="L2007" s="29">
        <f t="shared" si="124"/>
        <v>0.27303085938314681</v>
      </c>
      <c r="M2007" s="29">
        <f t="shared" si="125"/>
        <v>-0.21700000000000078</v>
      </c>
      <c r="N2007" s="30">
        <f t="shared" si="126"/>
        <v>0.41176303810603959</v>
      </c>
      <c r="O2007" s="31">
        <f t="shared" si="127"/>
        <v>0.8603526306114393</v>
      </c>
    </row>
    <row r="2008" spans="1:15" x14ac:dyDescent="0.25">
      <c r="A2008" t="s">
        <v>7745</v>
      </c>
      <c r="B2008" t="s">
        <v>4017</v>
      </c>
      <c r="C2008" s="3" t="s">
        <v>4018</v>
      </c>
      <c r="D2008" s="24">
        <v>0.38791900000000001</v>
      </c>
      <c r="E2008" s="25">
        <v>11.85</v>
      </c>
      <c r="F2008" s="25">
        <v>11.96</v>
      </c>
      <c r="G2008" s="26">
        <v>-0.11799999999999999</v>
      </c>
      <c r="H2008" s="27">
        <v>0.1268</v>
      </c>
      <c r="I2008" s="26">
        <v>0.93069999999999997</v>
      </c>
      <c r="J2008" s="28">
        <v>6</v>
      </c>
      <c r="K2008" s="27">
        <v>0.53364900000000004</v>
      </c>
      <c r="L2008" s="29">
        <f t="shared" si="124"/>
        <v>0.27274430005741468</v>
      </c>
      <c r="M2008" s="29">
        <f t="shared" si="125"/>
        <v>-0.11000000000000049</v>
      </c>
      <c r="N2008" s="30">
        <f t="shared" si="126"/>
        <v>0.41125894844048433</v>
      </c>
      <c r="O2008" s="31">
        <f t="shared" si="127"/>
        <v>0.92658806189037057</v>
      </c>
    </row>
    <row r="2009" spans="1:15" x14ac:dyDescent="0.25">
      <c r="A2009" t="s">
        <v>7746</v>
      </c>
      <c r="B2009" t="s">
        <v>4019</v>
      </c>
      <c r="C2009" s="3" t="s">
        <v>4020</v>
      </c>
      <c r="D2009" s="24">
        <v>0.38931900000000003</v>
      </c>
      <c r="E2009" s="25">
        <v>8.3610000000000007</v>
      </c>
      <c r="F2009" s="25">
        <v>8.141</v>
      </c>
      <c r="G2009" s="26">
        <v>0.21970000000000001</v>
      </c>
      <c r="H2009" s="27">
        <v>0.23680000000000001</v>
      </c>
      <c r="I2009" s="26">
        <v>0.92779999999999996</v>
      </c>
      <c r="J2009" s="28">
        <v>6</v>
      </c>
      <c r="K2009" s="27">
        <v>0.53530900000000003</v>
      </c>
      <c r="L2009" s="29">
        <f t="shared" si="124"/>
        <v>0.27139545488393352</v>
      </c>
      <c r="M2009" s="29">
        <f t="shared" si="125"/>
        <v>0.22000000000000081</v>
      </c>
      <c r="N2009" s="30">
        <f t="shared" si="126"/>
        <v>0.40969440081869674</v>
      </c>
      <c r="O2009" s="31">
        <f t="shared" si="127"/>
        <v>1.1647335864684565</v>
      </c>
    </row>
    <row r="2010" spans="1:15" x14ac:dyDescent="0.25">
      <c r="A2010" t="s">
        <v>7747</v>
      </c>
      <c r="B2010" t="s">
        <v>4021</v>
      </c>
      <c r="C2010" s="3" t="s">
        <v>4022</v>
      </c>
      <c r="D2010" s="24">
        <v>0.38978299999999999</v>
      </c>
      <c r="E2010" s="25">
        <v>10.56</v>
      </c>
      <c r="F2010" s="25">
        <v>10.42</v>
      </c>
      <c r="G2010" s="26">
        <v>0.1394</v>
      </c>
      <c r="H2010" s="27">
        <v>0.15040000000000001</v>
      </c>
      <c r="I2010" s="26">
        <v>0.92679999999999996</v>
      </c>
      <c r="J2010" s="28">
        <v>6</v>
      </c>
      <c r="K2010" s="27">
        <v>0.53567900000000002</v>
      </c>
      <c r="L2010" s="29">
        <f t="shared" si="124"/>
        <v>0.27109537875852946</v>
      </c>
      <c r="M2010" s="29">
        <f t="shared" si="125"/>
        <v>0.14000000000000024</v>
      </c>
      <c r="N2010" s="30">
        <f t="shared" si="126"/>
        <v>0.4091771061296115</v>
      </c>
      <c r="O2010" s="31">
        <f t="shared" si="127"/>
        <v>1.1019051158766109</v>
      </c>
    </row>
    <row r="2011" spans="1:15" x14ac:dyDescent="0.25">
      <c r="A2011" t="s">
        <v>7748</v>
      </c>
      <c r="B2011" t="s">
        <v>4023</v>
      </c>
      <c r="C2011" s="3" t="s">
        <v>4024</v>
      </c>
      <c r="D2011" s="24">
        <v>0.39042399999999999</v>
      </c>
      <c r="E2011" s="25">
        <v>13.22</v>
      </c>
      <c r="F2011" s="25">
        <v>13.12</v>
      </c>
      <c r="G2011" s="26">
        <v>9.2950000000000005E-2</v>
      </c>
      <c r="H2011" s="27">
        <v>0.1004</v>
      </c>
      <c r="I2011" s="26">
        <v>0.92549999999999999</v>
      </c>
      <c r="J2011" s="28">
        <v>6</v>
      </c>
      <c r="K2011" s="27">
        <v>0.53629400000000005</v>
      </c>
      <c r="L2011" s="29">
        <f t="shared" si="124"/>
        <v>0.27059706185003624</v>
      </c>
      <c r="M2011" s="29">
        <f t="shared" si="125"/>
        <v>0.10000000000000116</v>
      </c>
      <c r="N2011" s="30">
        <f t="shared" si="126"/>
        <v>0.40846349339469606</v>
      </c>
      <c r="O2011" s="31">
        <f t="shared" si="127"/>
        <v>1.071773462536294</v>
      </c>
    </row>
    <row r="2012" spans="1:15" x14ac:dyDescent="0.25">
      <c r="A2012" t="s">
        <v>7749</v>
      </c>
      <c r="B2012" t="s">
        <v>4025</v>
      </c>
      <c r="C2012" s="3" t="s">
        <v>4026</v>
      </c>
      <c r="D2012" s="24">
        <v>0.390957</v>
      </c>
      <c r="E2012" s="25">
        <v>10.62</v>
      </c>
      <c r="F2012" s="25">
        <v>10.46</v>
      </c>
      <c r="G2012" s="26">
        <v>0.15890000000000001</v>
      </c>
      <c r="H2012" s="27">
        <v>0.1719</v>
      </c>
      <c r="I2012" s="26">
        <v>0.9244</v>
      </c>
      <c r="J2012" s="28">
        <v>6</v>
      </c>
      <c r="K2012" s="27">
        <v>0.53675899999999999</v>
      </c>
      <c r="L2012" s="29">
        <f t="shared" si="124"/>
        <v>0.27022066488413443</v>
      </c>
      <c r="M2012" s="29">
        <f t="shared" si="125"/>
        <v>0.1599999999999972</v>
      </c>
      <c r="N2012" s="30">
        <f t="shared" si="126"/>
        <v>0.40787100651631925</v>
      </c>
      <c r="O2012" s="31">
        <f t="shared" si="127"/>
        <v>1.1172871380722178</v>
      </c>
    </row>
    <row r="2013" spans="1:15" x14ac:dyDescent="0.25">
      <c r="A2013" t="s">
        <v>7750</v>
      </c>
      <c r="B2013" t="s">
        <v>4027</v>
      </c>
      <c r="C2013" s="3" t="s">
        <v>4028</v>
      </c>
      <c r="D2013" s="24">
        <v>0.39116400000000001</v>
      </c>
      <c r="E2013" s="25">
        <v>9.1440000000000001</v>
      </c>
      <c r="F2013" s="25">
        <v>8.9949999999999992</v>
      </c>
      <c r="G2013" s="26">
        <v>0.14940000000000001</v>
      </c>
      <c r="H2013" s="27">
        <v>0.16170000000000001</v>
      </c>
      <c r="I2013" s="26">
        <v>0.92390000000000005</v>
      </c>
      <c r="J2013" s="28">
        <v>6</v>
      </c>
      <c r="K2013" s="27">
        <v>0.53677699999999995</v>
      </c>
      <c r="L2013" s="29">
        <f t="shared" si="124"/>
        <v>0.27020610123526756</v>
      </c>
      <c r="M2013" s="29">
        <f t="shared" si="125"/>
        <v>0.14900000000000027</v>
      </c>
      <c r="N2013" s="30">
        <f t="shared" si="126"/>
        <v>0.4076411214733322</v>
      </c>
      <c r="O2013" s="31">
        <f t="shared" si="127"/>
        <v>1.1088006436030695</v>
      </c>
    </row>
    <row r="2014" spans="1:15" x14ac:dyDescent="0.25">
      <c r="A2014" t="s">
        <v>7751</v>
      </c>
      <c r="B2014" t="s">
        <v>4029</v>
      </c>
      <c r="C2014" s="3" t="s">
        <v>4030</v>
      </c>
      <c r="D2014" s="24">
        <v>0.39571800000000001</v>
      </c>
      <c r="E2014" s="25">
        <v>9.6289999999999996</v>
      </c>
      <c r="F2014" s="25">
        <v>9.8219999999999992</v>
      </c>
      <c r="G2014" s="26">
        <v>-0.19339999999999999</v>
      </c>
      <c r="H2014" s="27">
        <v>0.2114</v>
      </c>
      <c r="I2014" s="26">
        <v>0.91449999999999998</v>
      </c>
      <c r="J2014" s="28">
        <v>6</v>
      </c>
      <c r="K2014" s="27">
        <v>0.54275600000000002</v>
      </c>
      <c r="L2014" s="29">
        <f t="shared" si="124"/>
        <v>0.26539536685559961</v>
      </c>
      <c r="M2014" s="29">
        <f t="shared" si="125"/>
        <v>-0.19299999999999976</v>
      </c>
      <c r="N2014" s="30">
        <f t="shared" si="126"/>
        <v>0.40261419455863978</v>
      </c>
      <c r="O2014" s="31">
        <f t="shared" si="127"/>
        <v>0.87478476490582191</v>
      </c>
    </row>
    <row r="2015" spans="1:15" x14ac:dyDescent="0.25">
      <c r="A2015" t="s">
        <v>7752</v>
      </c>
      <c r="B2015" t="s">
        <v>4031</v>
      </c>
      <c r="C2015" s="3" t="s">
        <v>4032</v>
      </c>
      <c r="D2015" s="24">
        <v>0.39591999999999999</v>
      </c>
      <c r="E2015" s="25">
        <v>10.59</v>
      </c>
      <c r="F2015" s="25">
        <v>10.49</v>
      </c>
      <c r="G2015" s="26">
        <v>9.7439999999999999E-2</v>
      </c>
      <c r="H2015" s="27">
        <v>0.1066</v>
      </c>
      <c r="I2015" s="26">
        <v>0.91410000000000002</v>
      </c>
      <c r="J2015" s="28">
        <v>6</v>
      </c>
      <c r="K2015" s="27">
        <v>0.54276400000000002</v>
      </c>
      <c r="L2015" s="29">
        <f t="shared" si="124"/>
        <v>0.26538896558090125</v>
      </c>
      <c r="M2015" s="29">
        <f t="shared" si="125"/>
        <v>9.999999999999995E-2</v>
      </c>
      <c r="N2015" s="30">
        <f t="shared" si="126"/>
        <v>0.40239255919690015</v>
      </c>
      <c r="O2015" s="31">
        <f t="shared" si="127"/>
        <v>1.0717734625362931</v>
      </c>
    </row>
    <row r="2016" spans="1:15" x14ac:dyDescent="0.25">
      <c r="A2016" t="s">
        <v>7753</v>
      </c>
      <c r="B2016" t="s">
        <v>4033</v>
      </c>
      <c r="C2016" s="3" t="s">
        <v>4034</v>
      </c>
      <c r="D2016" s="24">
        <v>0.39718300000000001</v>
      </c>
      <c r="E2016" s="25">
        <v>11.68</v>
      </c>
      <c r="F2016" s="25">
        <v>11.6</v>
      </c>
      <c r="G2016" s="26">
        <v>8.5309999999999997E-2</v>
      </c>
      <c r="H2016" s="27">
        <v>9.3590000000000007E-2</v>
      </c>
      <c r="I2016" s="26">
        <v>0.91149999999999998</v>
      </c>
      <c r="J2016" s="28">
        <v>6</v>
      </c>
      <c r="K2016" s="27">
        <v>0.54422599999999999</v>
      </c>
      <c r="L2016" s="29">
        <f t="shared" si="124"/>
        <v>0.2642207139586869</v>
      </c>
      <c r="M2016" s="29">
        <f t="shared" si="125"/>
        <v>8.0000000000000765E-2</v>
      </c>
      <c r="N2016" s="30">
        <f t="shared" si="126"/>
        <v>0.40100934820332229</v>
      </c>
      <c r="O2016" s="31">
        <f t="shared" si="127"/>
        <v>1.0570180405613809</v>
      </c>
    </row>
    <row r="2017" spans="1:15" x14ac:dyDescent="0.25">
      <c r="A2017" t="s">
        <v>7754</v>
      </c>
      <c r="B2017" t="s">
        <v>4037</v>
      </c>
      <c r="C2017" s="3" t="s">
        <v>4038</v>
      </c>
      <c r="D2017" s="24">
        <v>0.39802399999999999</v>
      </c>
      <c r="E2017" s="25">
        <v>9.1189999999999998</v>
      </c>
      <c r="F2017" s="25">
        <v>9.2710000000000008</v>
      </c>
      <c r="G2017" s="26">
        <v>-0.1515</v>
      </c>
      <c r="H2017" s="27">
        <v>0.16650000000000001</v>
      </c>
      <c r="I2017" s="26">
        <v>0.90980000000000005</v>
      </c>
      <c r="J2017" s="28">
        <v>6</v>
      </c>
      <c r="K2017" s="27">
        <v>0.54483800000000004</v>
      </c>
      <c r="L2017" s="29">
        <f t="shared" si="124"/>
        <v>0.26373260995212272</v>
      </c>
      <c r="M2017" s="29">
        <f t="shared" si="125"/>
        <v>-0.15200000000000158</v>
      </c>
      <c r="N2017" s="30">
        <f t="shared" si="126"/>
        <v>0.40009074010391271</v>
      </c>
      <c r="O2017" s="31">
        <f t="shared" si="127"/>
        <v>0.90000192979351112</v>
      </c>
    </row>
    <row r="2018" spans="1:15" x14ac:dyDescent="0.25">
      <c r="A2018" t="s">
        <v>7755</v>
      </c>
      <c r="B2018" t="s">
        <v>4035</v>
      </c>
      <c r="C2018" s="3" t="s">
        <v>4036</v>
      </c>
      <c r="D2018" s="24">
        <v>0.39801999999999998</v>
      </c>
      <c r="E2018" s="25">
        <v>9.7690000000000001</v>
      </c>
      <c r="F2018" s="25">
        <v>9.66</v>
      </c>
      <c r="G2018" s="26">
        <v>0.1094</v>
      </c>
      <c r="H2018" s="27">
        <v>0.1202</v>
      </c>
      <c r="I2018" s="26">
        <v>0.90980000000000005</v>
      </c>
      <c r="J2018" s="28">
        <v>6</v>
      </c>
      <c r="K2018" s="27">
        <v>0.54483800000000004</v>
      </c>
      <c r="L2018" s="29">
        <f t="shared" si="124"/>
        <v>0.26373260995212272</v>
      </c>
      <c r="M2018" s="29">
        <f t="shared" si="125"/>
        <v>0.10899999999999987</v>
      </c>
      <c r="N2018" s="30">
        <f t="shared" si="126"/>
        <v>0.40009510463131981</v>
      </c>
      <c r="O2018" s="31">
        <f t="shared" si="127"/>
        <v>1.0784804316944516</v>
      </c>
    </row>
    <row r="2019" spans="1:15" x14ac:dyDescent="0.25">
      <c r="A2019" t="s">
        <v>7756</v>
      </c>
      <c r="B2019" t="s">
        <v>4043</v>
      </c>
      <c r="C2019" s="3" t="s">
        <v>4044</v>
      </c>
      <c r="D2019" s="24">
        <v>0.39902300000000002</v>
      </c>
      <c r="E2019" s="25">
        <v>7.29</v>
      </c>
      <c r="F2019" s="25">
        <v>7.0369999999999999</v>
      </c>
      <c r="G2019" s="26">
        <v>0.253</v>
      </c>
      <c r="H2019" s="27">
        <v>0.2787</v>
      </c>
      <c r="I2019" s="26">
        <v>0.90769999999999995</v>
      </c>
      <c r="J2019" s="28">
        <v>6</v>
      </c>
      <c r="K2019" s="27">
        <v>0.54539300000000002</v>
      </c>
      <c r="L2019" s="29">
        <f t="shared" si="124"/>
        <v>0.26329044043341071</v>
      </c>
      <c r="M2019" s="29">
        <f t="shared" si="125"/>
        <v>0.25299999999999956</v>
      </c>
      <c r="N2019" s="30">
        <f t="shared" si="126"/>
        <v>0.39900207051576331</v>
      </c>
      <c r="O2019" s="31">
        <f t="shared" si="127"/>
        <v>1.1916825745740458</v>
      </c>
    </row>
    <row r="2020" spans="1:15" x14ac:dyDescent="0.25">
      <c r="A2020" t="s">
        <v>7757</v>
      </c>
      <c r="B2020" t="s">
        <v>4041</v>
      </c>
      <c r="C2020" s="3" t="s">
        <v>4042</v>
      </c>
      <c r="D2020" s="24">
        <v>0.39892</v>
      </c>
      <c r="E2020" s="25">
        <v>8.8390000000000004</v>
      </c>
      <c r="F2020" s="25">
        <v>8.9060000000000006</v>
      </c>
      <c r="G2020" s="26">
        <v>-6.651E-2</v>
      </c>
      <c r="H2020" s="27">
        <v>7.3260000000000006E-2</v>
      </c>
      <c r="I2020" s="26">
        <v>0.90790000000000004</v>
      </c>
      <c r="J2020" s="28">
        <v>6</v>
      </c>
      <c r="K2020" s="27">
        <v>0.54539300000000002</v>
      </c>
      <c r="L2020" s="29">
        <f t="shared" si="124"/>
        <v>0.26329044043341071</v>
      </c>
      <c r="M2020" s="29">
        <f t="shared" si="125"/>
        <v>-6.7000000000000295E-2</v>
      </c>
      <c r="N2020" s="30">
        <f t="shared" si="126"/>
        <v>0.39911418963175149</v>
      </c>
      <c r="O2020" s="31">
        <f t="shared" si="127"/>
        <v>0.95462101413971667</v>
      </c>
    </row>
    <row r="2021" spans="1:15" x14ac:dyDescent="0.25">
      <c r="A2021" t="s">
        <v>7758</v>
      </c>
      <c r="B2021" t="s">
        <v>4039</v>
      </c>
      <c r="C2021" s="3" t="s">
        <v>4040</v>
      </c>
      <c r="D2021" s="24">
        <v>0.39880399999999999</v>
      </c>
      <c r="E2021" s="25">
        <v>9.4529999999999994</v>
      </c>
      <c r="F2021" s="25">
        <v>9.577</v>
      </c>
      <c r="G2021" s="26">
        <v>-0.1246</v>
      </c>
      <c r="H2021" s="27">
        <v>0.13719999999999999</v>
      </c>
      <c r="I2021" s="26">
        <v>0.90820000000000001</v>
      </c>
      <c r="J2021" s="28">
        <v>6</v>
      </c>
      <c r="K2021" s="27">
        <v>0.54539300000000002</v>
      </c>
      <c r="L2021" s="29">
        <f t="shared" si="124"/>
        <v>0.26329044043341071</v>
      </c>
      <c r="M2021" s="29">
        <f t="shared" si="125"/>
        <v>-0.1239999999999999</v>
      </c>
      <c r="N2021" s="30">
        <f t="shared" si="126"/>
        <v>0.3992404943693697</v>
      </c>
      <c r="O2021" s="31">
        <f t="shared" si="127"/>
        <v>0.91763988231136517</v>
      </c>
    </row>
    <row r="2022" spans="1:15" x14ac:dyDescent="0.25">
      <c r="A2022" t="s">
        <v>7759</v>
      </c>
      <c r="B2022" t="s">
        <v>4047</v>
      </c>
      <c r="C2022" s="3" t="s">
        <v>4048</v>
      </c>
      <c r="D2022" s="24">
        <v>0.402034</v>
      </c>
      <c r="E2022" s="25">
        <v>9.2940000000000005</v>
      </c>
      <c r="F2022" s="25">
        <v>9.4209999999999994</v>
      </c>
      <c r="G2022" s="26">
        <v>-0.12759999999999999</v>
      </c>
      <c r="H2022" s="27">
        <v>0.14149999999999999</v>
      </c>
      <c r="I2022" s="26">
        <v>0.90159999999999996</v>
      </c>
      <c r="J2022" s="28">
        <v>6</v>
      </c>
      <c r="K2022" s="27">
        <v>0.54879500000000003</v>
      </c>
      <c r="L2022" s="29">
        <f t="shared" si="124"/>
        <v>0.26058985408392404</v>
      </c>
      <c r="M2022" s="29">
        <f t="shared" si="125"/>
        <v>-0.12699999999999881</v>
      </c>
      <c r="N2022" s="30">
        <f t="shared" si="126"/>
        <v>0.3957372170946678</v>
      </c>
      <c r="O2022" s="31">
        <f t="shared" si="127"/>
        <v>0.91573368641812702</v>
      </c>
    </row>
    <row r="2023" spans="1:15" x14ac:dyDescent="0.25">
      <c r="A2023" t="s">
        <v>7760</v>
      </c>
      <c r="B2023" t="s">
        <v>4049</v>
      </c>
      <c r="C2023" s="3" t="s">
        <v>4050</v>
      </c>
      <c r="D2023" s="24">
        <v>0.40210699999999999</v>
      </c>
      <c r="E2023" s="25">
        <v>8.6940000000000008</v>
      </c>
      <c r="F2023" s="25">
        <v>9.1389999999999993</v>
      </c>
      <c r="G2023" s="26">
        <v>-0.44419999999999998</v>
      </c>
      <c r="H2023" s="27">
        <v>0.49280000000000002</v>
      </c>
      <c r="I2023" s="26">
        <v>0.90139999999999998</v>
      </c>
      <c r="J2023" s="28">
        <v>6</v>
      </c>
      <c r="K2023" s="27">
        <v>0.54879500000000003</v>
      </c>
      <c r="L2023" s="29">
        <f t="shared" si="124"/>
        <v>0.26058985408392404</v>
      </c>
      <c r="M2023" s="29">
        <f t="shared" si="125"/>
        <v>-0.44499999999999723</v>
      </c>
      <c r="N2023" s="30">
        <f t="shared" si="126"/>
        <v>0.39565836650188363</v>
      </c>
      <c r="O2023" s="31">
        <f t="shared" si="127"/>
        <v>0.73458431663915591</v>
      </c>
    </row>
    <row r="2024" spans="1:15" x14ac:dyDescent="0.25">
      <c r="A2024" t="s">
        <v>7761</v>
      </c>
      <c r="B2024" t="s">
        <v>4045</v>
      </c>
      <c r="C2024" s="3" t="s">
        <v>4046</v>
      </c>
      <c r="D2024" s="24">
        <v>0.40178599999999998</v>
      </c>
      <c r="E2024" s="25">
        <v>8.16</v>
      </c>
      <c r="F2024" s="25">
        <v>8.4190000000000005</v>
      </c>
      <c r="G2024" s="26">
        <v>-0.25929999999999997</v>
      </c>
      <c r="H2024" s="27">
        <v>0.28749999999999998</v>
      </c>
      <c r="I2024" s="26">
        <v>0.90210000000000001</v>
      </c>
      <c r="J2024" s="28">
        <v>6</v>
      </c>
      <c r="K2024" s="27">
        <v>0.54879500000000003</v>
      </c>
      <c r="L2024" s="29">
        <f t="shared" si="124"/>
        <v>0.26058985408392404</v>
      </c>
      <c r="M2024" s="29">
        <f t="shared" si="125"/>
        <v>-0.25900000000000062</v>
      </c>
      <c r="N2024" s="30">
        <f t="shared" si="126"/>
        <v>0.39600520006331613</v>
      </c>
      <c r="O2024" s="31">
        <f t="shared" si="127"/>
        <v>0.83566695892185316</v>
      </c>
    </row>
    <row r="2025" spans="1:15" x14ac:dyDescent="0.25">
      <c r="A2025" t="s">
        <v>7762</v>
      </c>
      <c r="B2025" t="s">
        <v>4051</v>
      </c>
      <c r="C2025" s="3" t="s">
        <v>4052</v>
      </c>
      <c r="D2025" s="24">
        <v>0.40320499999999998</v>
      </c>
      <c r="E2025" s="25">
        <v>9.6010000000000009</v>
      </c>
      <c r="F2025" s="25">
        <v>9.7880000000000003</v>
      </c>
      <c r="G2025" s="26">
        <v>-0.18709999999999999</v>
      </c>
      <c r="H2025" s="27">
        <v>0.20810000000000001</v>
      </c>
      <c r="I2025" s="26">
        <v>0.8992</v>
      </c>
      <c r="J2025" s="28">
        <v>6</v>
      </c>
      <c r="K2025" s="27">
        <v>0.55002099999999998</v>
      </c>
      <c r="L2025" s="29">
        <f t="shared" si="124"/>
        <v>0.25962072866937108</v>
      </c>
      <c r="M2025" s="29">
        <f t="shared" si="125"/>
        <v>-0.18699999999999969</v>
      </c>
      <c r="N2025" s="30">
        <f t="shared" si="126"/>
        <v>0.3944740909996699</v>
      </c>
      <c r="O2025" s="31">
        <f t="shared" si="127"/>
        <v>0.87843046823836191</v>
      </c>
    </row>
    <row r="2026" spans="1:15" x14ac:dyDescent="0.25">
      <c r="A2026" t="s">
        <v>7763</v>
      </c>
      <c r="B2026" t="s">
        <v>4053</v>
      </c>
      <c r="C2026" s="3" t="s">
        <v>4054</v>
      </c>
      <c r="D2026" s="24">
        <v>0.40345900000000001</v>
      </c>
      <c r="E2026" s="25">
        <v>8.9719999999999995</v>
      </c>
      <c r="F2026" s="25">
        <v>9.0809999999999995</v>
      </c>
      <c r="G2026" s="26">
        <v>-0.1091</v>
      </c>
      <c r="H2026" s="27">
        <v>0.12139999999999999</v>
      </c>
      <c r="I2026" s="26">
        <v>0.89859999999999995</v>
      </c>
      <c r="J2026" s="28">
        <v>6</v>
      </c>
      <c r="K2026" s="27">
        <v>0.55009699999999995</v>
      </c>
      <c r="L2026" s="29">
        <f t="shared" si="124"/>
        <v>0.25956072350505754</v>
      </c>
      <c r="M2026" s="29">
        <f t="shared" si="125"/>
        <v>-0.10899999999999983</v>
      </c>
      <c r="N2026" s="30">
        <f t="shared" si="126"/>
        <v>0.3942005922392216</v>
      </c>
      <c r="O2026" s="31">
        <f t="shared" si="127"/>
        <v>0.92723054643546265</v>
      </c>
    </row>
    <row r="2027" spans="1:15" x14ac:dyDescent="0.25">
      <c r="A2027" t="s">
        <v>7764</v>
      </c>
      <c r="B2027" t="s">
        <v>4055</v>
      </c>
      <c r="C2027" s="3" t="s">
        <v>4056</v>
      </c>
      <c r="D2027" s="24">
        <v>0.40391199999999999</v>
      </c>
      <c r="E2027" s="25">
        <v>9.61</v>
      </c>
      <c r="F2027" s="25">
        <v>9.7309999999999999</v>
      </c>
      <c r="G2027" s="26">
        <v>-0.1206</v>
      </c>
      <c r="H2027" s="27">
        <v>0.13439999999999999</v>
      </c>
      <c r="I2027" s="26">
        <v>0.89770000000000005</v>
      </c>
      <c r="J2027" s="28">
        <v>6</v>
      </c>
      <c r="K2027" s="27">
        <v>0.55040800000000001</v>
      </c>
      <c r="L2027" s="29">
        <f t="shared" si="124"/>
        <v>0.25931526239862468</v>
      </c>
      <c r="M2027" s="29">
        <f t="shared" si="125"/>
        <v>-0.12099999999999991</v>
      </c>
      <c r="N2027" s="30">
        <f t="shared" si="126"/>
        <v>0.3937132439917691</v>
      </c>
      <c r="O2027" s="31">
        <f t="shared" si="127"/>
        <v>0.91955004615165814</v>
      </c>
    </row>
    <row r="2028" spans="1:15" x14ac:dyDescent="0.25">
      <c r="A2028" t="s">
        <v>7765</v>
      </c>
      <c r="B2028" t="s">
        <v>4057</v>
      </c>
      <c r="C2028" s="3" t="s">
        <v>4058</v>
      </c>
      <c r="D2028" s="24">
        <v>0.404086</v>
      </c>
      <c r="E2028" s="25">
        <v>7.5110000000000001</v>
      </c>
      <c r="F2028" s="25">
        <v>7.7889999999999997</v>
      </c>
      <c r="G2028" s="26">
        <v>-0.27739999999999998</v>
      </c>
      <c r="H2028" s="27">
        <v>0.30909999999999999</v>
      </c>
      <c r="I2028" s="26">
        <v>0.89739999999999998</v>
      </c>
      <c r="J2028" s="28">
        <v>6</v>
      </c>
      <c r="K2028" s="27">
        <v>0.55040800000000001</v>
      </c>
      <c r="L2028" s="29">
        <f t="shared" si="124"/>
        <v>0.25931526239862468</v>
      </c>
      <c r="M2028" s="29">
        <f t="shared" si="125"/>
        <v>-0.27799999999999825</v>
      </c>
      <c r="N2028" s="30">
        <f t="shared" si="126"/>
        <v>0.39352619590249338</v>
      </c>
      <c r="O2028" s="31">
        <f t="shared" si="127"/>
        <v>0.82473354861008241</v>
      </c>
    </row>
    <row r="2029" spans="1:15" x14ac:dyDescent="0.25">
      <c r="A2029" t="s">
        <v>7766</v>
      </c>
      <c r="B2029" t="s">
        <v>4059</v>
      </c>
      <c r="C2029" s="3" t="s">
        <v>4060</v>
      </c>
      <c r="D2029" s="24">
        <v>0.40470200000000001</v>
      </c>
      <c r="E2029" s="25">
        <v>9.7919999999999998</v>
      </c>
      <c r="F2029" s="25">
        <v>9.6210000000000004</v>
      </c>
      <c r="G2029" s="26">
        <v>0.1711</v>
      </c>
      <c r="H2029" s="27">
        <v>0.191</v>
      </c>
      <c r="I2029" s="26">
        <v>0.89610000000000001</v>
      </c>
      <c r="J2029" s="28">
        <v>6</v>
      </c>
      <c r="K2029" s="27">
        <v>0.55097499999999999</v>
      </c>
      <c r="L2029" s="29">
        <f t="shared" si="124"/>
        <v>0.25886810642655511</v>
      </c>
      <c r="M2029" s="29">
        <f t="shared" si="125"/>
        <v>0.17099999999999915</v>
      </c>
      <c r="N2029" s="30">
        <f t="shared" si="126"/>
        <v>0.39286464935981069</v>
      </c>
      <c r="O2029" s="31">
        <f t="shared" si="127"/>
        <v>1.1258385861367619</v>
      </c>
    </row>
    <row r="2030" spans="1:15" x14ac:dyDescent="0.25">
      <c r="A2030" t="s">
        <v>7767</v>
      </c>
      <c r="B2030" t="s">
        <v>4061</v>
      </c>
      <c r="C2030" s="3" t="s">
        <v>4062</v>
      </c>
      <c r="D2030" s="24">
        <v>0.40494799999999997</v>
      </c>
      <c r="E2030" s="25">
        <v>11.89</v>
      </c>
      <c r="F2030" s="25">
        <v>11.78</v>
      </c>
      <c r="G2030" s="26">
        <v>0.1079</v>
      </c>
      <c r="H2030" s="27">
        <v>0.1205</v>
      </c>
      <c r="I2030" s="26">
        <v>0.89559999999999995</v>
      </c>
      <c r="J2030" s="28">
        <v>6</v>
      </c>
      <c r="K2030" s="27">
        <v>0.55103899999999995</v>
      </c>
      <c r="L2030" s="29">
        <f t="shared" si="124"/>
        <v>0.25881766269921036</v>
      </c>
      <c r="M2030" s="29">
        <f t="shared" si="125"/>
        <v>0.11000000000000303</v>
      </c>
      <c r="N2030" s="30">
        <f t="shared" si="126"/>
        <v>0.39260074163218578</v>
      </c>
      <c r="O2030" s="31">
        <f t="shared" si="127"/>
        <v>1.0792282365044295</v>
      </c>
    </row>
    <row r="2031" spans="1:15" x14ac:dyDescent="0.25">
      <c r="A2031" t="s">
        <v>7768</v>
      </c>
      <c r="B2031" t="s">
        <v>4063</v>
      </c>
      <c r="C2031" s="3" t="s">
        <v>4064</v>
      </c>
      <c r="D2031" s="24">
        <v>0.40540500000000002</v>
      </c>
      <c r="E2031" s="25">
        <v>8.0380000000000003</v>
      </c>
      <c r="F2031" s="25">
        <v>8.3710000000000004</v>
      </c>
      <c r="G2031" s="26">
        <v>-0.33350000000000002</v>
      </c>
      <c r="H2031" s="27">
        <v>0.37280000000000002</v>
      </c>
      <c r="I2031" s="26">
        <v>0.89470000000000005</v>
      </c>
      <c r="J2031" s="28">
        <v>6</v>
      </c>
      <c r="K2031" s="27">
        <v>0.55138900000000002</v>
      </c>
      <c r="L2031" s="29">
        <f t="shared" si="124"/>
        <v>0.25854190215290135</v>
      </c>
      <c r="M2031" s="29">
        <f t="shared" si="125"/>
        <v>-0.33299999999999969</v>
      </c>
      <c r="N2031" s="30">
        <f t="shared" si="126"/>
        <v>0.39211089930601278</v>
      </c>
      <c r="O2031" s="31">
        <f t="shared" si="127"/>
        <v>0.79388393093165266</v>
      </c>
    </row>
    <row r="2032" spans="1:15" x14ac:dyDescent="0.25">
      <c r="A2032" t="s">
        <v>7769</v>
      </c>
      <c r="B2032" t="s">
        <v>4069</v>
      </c>
      <c r="C2032" s="3" t="s">
        <v>4070</v>
      </c>
      <c r="D2032" s="24">
        <v>0.40681200000000001</v>
      </c>
      <c r="E2032" s="25">
        <v>7.3979999999999997</v>
      </c>
      <c r="F2032" s="25">
        <v>7.5209999999999999</v>
      </c>
      <c r="G2032" s="26">
        <v>-0.1227</v>
      </c>
      <c r="H2032" s="27">
        <v>0.1376</v>
      </c>
      <c r="I2032" s="26">
        <v>0.89190000000000003</v>
      </c>
      <c r="J2032" s="28">
        <v>6</v>
      </c>
      <c r="K2032" s="27">
        <v>0.55248600000000003</v>
      </c>
      <c r="L2032" s="29">
        <f t="shared" si="124"/>
        <v>0.25767872252933344</v>
      </c>
      <c r="M2032" s="29">
        <f t="shared" si="125"/>
        <v>-0.12300000000000101</v>
      </c>
      <c r="N2032" s="30">
        <f t="shared" si="126"/>
        <v>0.39060624489157891</v>
      </c>
      <c r="O2032" s="31">
        <f t="shared" si="127"/>
        <v>0.91827616230092313</v>
      </c>
    </row>
    <row r="2033" spans="1:15" x14ac:dyDescent="0.25">
      <c r="A2033" t="s">
        <v>7770</v>
      </c>
      <c r="B2033" t="s">
        <v>4065</v>
      </c>
      <c r="C2033" s="3" t="s">
        <v>4066</v>
      </c>
      <c r="D2033" s="24">
        <v>0.40649999999999997</v>
      </c>
      <c r="E2033" s="25">
        <v>7.5449999999999999</v>
      </c>
      <c r="F2033" s="25">
        <v>7.74</v>
      </c>
      <c r="G2033" s="26">
        <v>-0.1948</v>
      </c>
      <c r="H2033" s="27">
        <v>0.21829999999999999</v>
      </c>
      <c r="I2033" s="26">
        <v>0.89249999999999996</v>
      </c>
      <c r="J2033" s="28">
        <v>6</v>
      </c>
      <c r="K2033" s="27">
        <v>0.55248600000000003</v>
      </c>
      <c r="L2033" s="29">
        <f t="shared" si="124"/>
        <v>0.25767872252933344</v>
      </c>
      <c r="M2033" s="29">
        <f t="shared" si="125"/>
        <v>-0.19500000000000051</v>
      </c>
      <c r="N2033" s="30">
        <f t="shared" si="126"/>
        <v>0.39093945006991304</v>
      </c>
      <c r="O2033" s="31">
        <f t="shared" si="127"/>
        <v>0.87357289591669396</v>
      </c>
    </row>
    <row r="2034" spans="1:15" x14ac:dyDescent="0.25">
      <c r="A2034" t="s">
        <v>7771</v>
      </c>
      <c r="B2034" t="s">
        <v>4067</v>
      </c>
      <c r="C2034" s="3" t="s">
        <v>4068</v>
      </c>
      <c r="D2034" s="24">
        <v>0.406723</v>
      </c>
      <c r="E2034" s="25">
        <v>11.38</v>
      </c>
      <c r="F2034" s="25">
        <v>11.12</v>
      </c>
      <c r="G2034" s="26">
        <v>0.25819999999999999</v>
      </c>
      <c r="H2034" s="27">
        <v>0.28939999999999999</v>
      </c>
      <c r="I2034" s="26">
        <v>0.89200000000000002</v>
      </c>
      <c r="J2034" s="28">
        <v>6</v>
      </c>
      <c r="K2034" s="27">
        <v>0.55248600000000003</v>
      </c>
      <c r="L2034" s="29">
        <f t="shared" si="124"/>
        <v>0.25767872252933344</v>
      </c>
      <c r="M2034" s="29">
        <f t="shared" si="125"/>
        <v>0.26000000000000228</v>
      </c>
      <c r="N2034" s="30">
        <f t="shared" si="126"/>
        <v>0.39070126774626518</v>
      </c>
      <c r="O2034" s="31">
        <f t="shared" si="127"/>
        <v>1.1974787046189306</v>
      </c>
    </row>
    <row r="2035" spans="1:15" x14ac:dyDescent="0.25">
      <c r="A2035" t="s">
        <v>7772</v>
      </c>
      <c r="B2035" t="s">
        <v>4071</v>
      </c>
      <c r="C2035" s="3" t="s">
        <v>4072</v>
      </c>
      <c r="D2035" s="24">
        <v>0.40741100000000002</v>
      </c>
      <c r="E2035" s="25">
        <v>8.3000000000000007</v>
      </c>
      <c r="F2035" s="25">
        <v>8.0410000000000004</v>
      </c>
      <c r="G2035" s="26">
        <v>0.25850000000000001</v>
      </c>
      <c r="H2035" s="27">
        <v>0.2903</v>
      </c>
      <c r="I2035" s="26">
        <v>0.89059999999999995</v>
      </c>
      <c r="J2035" s="28">
        <v>6</v>
      </c>
      <c r="K2035" s="27">
        <v>0.55302799999999996</v>
      </c>
      <c r="L2035" s="29">
        <f t="shared" si="124"/>
        <v>0.25725287965796112</v>
      </c>
      <c r="M2035" s="29">
        <f t="shared" si="125"/>
        <v>0.25900000000000062</v>
      </c>
      <c r="N2035" s="30">
        <f t="shared" si="126"/>
        <v>0.38996724932994353</v>
      </c>
      <c r="O2035" s="31">
        <f t="shared" si="127"/>
        <v>1.1966489632307149</v>
      </c>
    </row>
    <row r="2036" spans="1:15" x14ac:dyDescent="0.25">
      <c r="A2036" t="s">
        <v>7773</v>
      </c>
      <c r="B2036" t="s">
        <v>4073</v>
      </c>
      <c r="C2036" s="3" t="s">
        <v>4074</v>
      </c>
      <c r="D2036" s="24">
        <v>0.40787600000000002</v>
      </c>
      <c r="E2036" s="25">
        <v>10.83</v>
      </c>
      <c r="F2036" s="25">
        <v>10.76</v>
      </c>
      <c r="G2036" s="26">
        <v>6.9220000000000004E-2</v>
      </c>
      <c r="H2036" s="27">
        <v>7.7799999999999994E-2</v>
      </c>
      <c r="I2036" s="26">
        <v>0.88970000000000005</v>
      </c>
      <c r="J2036" s="28">
        <v>6</v>
      </c>
      <c r="K2036" s="27">
        <v>0.55338699999999996</v>
      </c>
      <c r="L2036" s="29">
        <f t="shared" si="124"/>
        <v>0.25697104738982518</v>
      </c>
      <c r="M2036" s="29">
        <f t="shared" si="125"/>
        <v>7.0000000000000132E-2</v>
      </c>
      <c r="N2036" s="30">
        <f t="shared" si="126"/>
        <v>0.38947184843189692</v>
      </c>
      <c r="O2036" s="31">
        <f t="shared" si="127"/>
        <v>1.0497166836230674</v>
      </c>
    </row>
    <row r="2037" spans="1:15" x14ac:dyDescent="0.25">
      <c r="A2037" t="s">
        <v>7774</v>
      </c>
      <c r="B2037" t="s">
        <v>4077</v>
      </c>
      <c r="C2037" s="3" t="s">
        <v>4078</v>
      </c>
      <c r="D2037" s="24">
        <v>0.409049</v>
      </c>
      <c r="E2037" s="25">
        <v>8.5519999999999996</v>
      </c>
      <c r="F2037" s="25">
        <v>8.2050000000000001</v>
      </c>
      <c r="G2037" s="26">
        <v>0.34670000000000001</v>
      </c>
      <c r="H2037" s="27">
        <v>0.39069999999999999</v>
      </c>
      <c r="I2037" s="26">
        <v>0.88729999999999998</v>
      </c>
      <c r="J2037" s="28">
        <v>6</v>
      </c>
      <c r="K2037" s="27">
        <v>0.55443500000000001</v>
      </c>
      <c r="L2037" s="29">
        <f t="shared" si="124"/>
        <v>0.25614936168073893</v>
      </c>
      <c r="M2037" s="29">
        <f t="shared" si="125"/>
        <v>0.34699999999999959</v>
      </c>
      <c r="N2037" s="30">
        <f t="shared" si="126"/>
        <v>0.38822466471889167</v>
      </c>
      <c r="O2037" s="31">
        <f t="shared" si="127"/>
        <v>1.2719130067435733</v>
      </c>
    </row>
    <row r="2038" spans="1:15" x14ac:dyDescent="0.25">
      <c r="A2038" t="s">
        <v>7775</v>
      </c>
      <c r="B2038" t="s">
        <v>4075</v>
      </c>
      <c r="C2038" s="3" t="s">
        <v>4076</v>
      </c>
      <c r="D2038" s="24">
        <v>0.40894799999999998</v>
      </c>
      <c r="E2038" s="25">
        <v>10.119999999999999</v>
      </c>
      <c r="F2038" s="25">
        <v>10.19</v>
      </c>
      <c r="G2038" s="26">
        <v>-7.2510000000000005E-2</v>
      </c>
      <c r="H2038" s="27">
        <v>8.1689999999999999E-2</v>
      </c>
      <c r="I2038" s="26">
        <v>0.88759999999999994</v>
      </c>
      <c r="J2038" s="28">
        <v>6</v>
      </c>
      <c r="K2038" s="27">
        <v>0.55443500000000001</v>
      </c>
      <c r="L2038" s="29">
        <f t="shared" si="124"/>
        <v>0.25614936168073893</v>
      </c>
      <c r="M2038" s="29">
        <f t="shared" si="125"/>
        <v>-7.0000000000000076E-2</v>
      </c>
      <c r="N2038" s="30">
        <f t="shared" si="126"/>
        <v>0.38833191142736406</v>
      </c>
      <c r="O2038" s="31">
        <f t="shared" si="127"/>
        <v>0.95263799804393734</v>
      </c>
    </row>
    <row r="2039" spans="1:15" x14ac:dyDescent="0.25">
      <c r="A2039" t="s">
        <v>7776</v>
      </c>
      <c r="B2039" t="s">
        <v>4085</v>
      </c>
      <c r="C2039" s="3" t="s">
        <v>4086</v>
      </c>
      <c r="D2039" s="24">
        <v>0.41039599999999998</v>
      </c>
      <c r="E2039" s="25">
        <v>5.9429999999999996</v>
      </c>
      <c r="F2039" s="25">
        <v>5.3719999999999999</v>
      </c>
      <c r="G2039" s="26">
        <v>0.57050000000000001</v>
      </c>
      <c r="H2039" s="27">
        <v>0.64490000000000003</v>
      </c>
      <c r="I2039" s="26">
        <v>0.88460000000000005</v>
      </c>
      <c r="J2039" s="28">
        <v>6</v>
      </c>
      <c r="K2039" s="27">
        <v>0.55500099999999997</v>
      </c>
      <c r="L2039" s="29">
        <f t="shared" si="124"/>
        <v>0.2557062343654487</v>
      </c>
      <c r="M2039" s="29">
        <f t="shared" si="125"/>
        <v>0.57100000000000017</v>
      </c>
      <c r="N2039" s="30">
        <f t="shared" si="126"/>
        <v>0.38679688080655555</v>
      </c>
      <c r="O2039" s="31">
        <f t="shared" si="127"/>
        <v>1.4855529206608289</v>
      </c>
    </row>
    <row r="2040" spans="1:15" x14ac:dyDescent="0.25">
      <c r="A2040" t="s">
        <v>7777</v>
      </c>
      <c r="B2040" t="s">
        <v>4083</v>
      </c>
      <c r="C2040" s="3" t="s">
        <v>4084</v>
      </c>
      <c r="D2040" s="24">
        <v>0.41021000000000002</v>
      </c>
      <c r="E2040" s="25">
        <v>7.4960000000000004</v>
      </c>
      <c r="F2040" s="25">
        <v>7.9130000000000003</v>
      </c>
      <c r="G2040" s="26">
        <v>-0.41720000000000002</v>
      </c>
      <c r="H2040" s="27">
        <v>0.47139999999999999</v>
      </c>
      <c r="I2040" s="26">
        <v>0.88500000000000001</v>
      </c>
      <c r="J2040" s="28">
        <v>6</v>
      </c>
      <c r="K2040" s="27">
        <v>0.55500099999999997</v>
      </c>
      <c r="L2040" s="29">
        <f t="shared" si="124"/>
        <v>0.2557062343654487</v>
      </c>
      <c r="M2040" s="29">
        <f t="shared" si="125"/>
        <v>-0.41699999999999959</v>
      </c>
      <c r="N2040" s="30">
        <f t="shared" si="126"/>
        <v>0.38699375671294017</v>
      </c>
      <c r="O2040" s="31">
        <f t="shared" si="127"/>
        <v>0.74898046721209133</v>
      </c>
    </row>
    <row r="2041" spans="1:15" x14ac:dyDescent="0.25">
      <c r="A2041" t="s">
        <v>7778</v>
      </c>
      <c r="B2041" t="s">
        <v>4079</v>
      </c>
      <c r="C2041" s="3" t="s">
        <v>4080</v>
      </c>
      <c r="D2041" s="24">
        <v>0.40994399999999998</v>
      </c>
      <c r="E2041" s="25">
        <v>7.9210000000000003</v>
      </c>
      <c r="F2041" s="25">
        <v>8.202</v>
      </c>
      <c r="G2041" s="26">
        <v>-0.28089999999999998</v>
      </c>
      <c r="H2041" s="27">
        <v>0.31719999999999998</v>
      </c>
      <c r="I2041" s="26">
        <v>0.88549999999999995</v>
      </c>
      <c r="J2041" s="28">
        <v>6</v>
      </c>
      <c r="K2041" s="27">
        <v>0.55500099999999997</v>
      </c>
      <c r="L2041" s="29">
        <f t="shared" si="124"/>
        <v>0.2557062343654487</v>
      </c>
      <c r="M2041" s="29">
        <f t="shared" si="125"/>
        <v>-0.28099999999999992</v>
      </c>
      <c r="N2041" s="30">
        <f t="shared" si="126"/>
        <v>0.38727546560233622</v>
      </c>
      <c r="O2041" s="31">
        <f t="shared" si="127"/>
        <v>0.82302034527870815</v>
      </c>
    </row>
    <row r="2042" spans="1:15" x14ac:dyDescent="0.25">
      <c r="A2042" t="s">
        <v>7779</v>
      </c>
      <c r="B2042" t="s">
        <v>4081</v>
      </c>
      <c r="C2042" s="3" t="s">
        <v>4082</v>
      </c>
      <c r="D2042" s="24">
        <v>0.41015400000000002</v>
      </c>
      <c r="E2042" s="25">
        <v>8.173</v>
      </c>
      <c r="F2042" s="25">
        <v>7.9850000000000003</v>
      </c>
      <c r="G2042" s="26">
        <v>0.1883</v>
      </c>
      <c r="H2042" s="27">
        <v>0.21279999999999999</v>
      </c>
      <c r="I2042" s="26">
        <v>0.8851</v>
      </c>
      <c r="J2042" s="28">
        <v>6</v>
      </c>
      <c r="K2042" s="27">
        <v>0.55500099999999997</v>
      </c>
      <c r="L2042" s="29">
        <f t="shared" si="124"/>
        <v>0.2557062343654487</v>
      </c>
      <c r="M2042" s="29">
        <f t="shared" si="125"/>
        <v>0.18800000000000003</v>
      </c>
      <c r="N2042" s="30">
        <f t="shared" si="126"/>
        <v>0.38705304866388968</v>
      </c>
      <c r="O2042" s="31">
        <f t="shared" si="127"/>
        <v>1.1391833772221149</v>
      </c>
    </row>
    <row r="2043" spans="1:15" x14ac:dyDescent="0.25">
      <c r="A2043" t="s">
        <v>7780</v>
      </c>
      <c r="B2043" t="s">
        <v>4087</v>
      </c>
      <c r="C2043" s="3" t="s">
        <v>4088</v>
      </c>
      <c r="D2043" s="24">
        <v>0.410472</v>
      </c>
      <c r="E2043" s="25">
        <v>9.8989999999999991</v>
      </c>
      <c r="F2043" s="25">
        <v>9.9830000000000005</v>
      </c>
      <c r="G2043" s="26">
        <v>-8.3690000000000001E-2</v>
      </c>
      <c r="H2043" s="27">
        <v>9.4619999999999996E-2</v>
      </c>
      <c r="I2043" s="26">
        <v>0.88449999999999995</v>
      </c>
      <c r="J2043" s="28">
        <v>6</v>
      </c>
      <c r="K2043" s="27">
        <v>0.55500099999999997</v>
      </c>
      <c r="L2043" s="29">
        <f t="shared" si="124"/>
        <v>0.2557062343654487</v>
      </c>
      <c r="M2043" s="29">
        <f t="shared" si="125"/>
        <v>-8.4000000000002281E-2</v>
      </c>
      <c r="N2043" s="30">
        <f t="shared" si="126"/>
        <v>0.38671646256459952</v>
      </c>
      <c r="O2043" s="31">
        <f t="shared" si="127"/>
        <v>0.9434382508953586</v>
      </c>
    </row>
    <row r="2044" spans="1:15" x14ac:dyDescent="0.25">
      <c r="A2044" t="s">
        <v>7781</v>
      </c>
      <c r="B2044" t="s">
        <v>4089</v>
      </c>
      <c r="C2044" s="3" t="s">
        <v>4090</v>
      </c>
      <c r="D2044" s="24">
        <v>0.41083399999999998</v>
      </c>
      <c r="E2044" s="25">
        <v>8.6829999999999998</v>
      </c>
      <c r="F2044" s="25">
        <v>8.51</v>
      </c>
      <c r="G2044" s="26">
        <v>0.17269999999999999</v>
      </c>
      <c r="H2044" s="27">
        <v>0.19539999999999999</v>
      </c>
      <c r="I2044" s="26">
        <v>0.88380000000000003</v>
      </c>
      <c r="J2044" s="28">
        <v>6</v>
      </c>
      <c r="K2044" s="27">
        <v>0.55521900000000002</v>
      </c>
      <c r="L2044" s="29">
        <f t="shared" si="124"/>
        <v>0.25553568042429886</v>
      </c>
      <c r="M2044" s="29">
        <f t="shared" si="125"/>
        <v>0.17300000000000021</v>
      </c>
      <c r="N2044" s="30">
        <f t="shared" si="126"/>
        <v>0.3863336220334706</v>
      </c>
      <c r="O2044" s="31">
        <f t="shared" si="127"/>
        <v>1.1274004121454217</v>
      </c>
    </row>
    <row r="2045" spans="1:15" x14ac:dyDescent="0.25">
      <c r="A2045" t="s">
        <v>7782</v>
      </c>
      <c r="B2045" t="s">
        <v>4093</v>
      </c>
      <c r="C2045" s="3" t="s">
        <v>4094</v>
      </c>
      <c r="D2045" s="24">
        <v>0.41191800000000001</v>
      </c>
      <c r="E2045" s="25">
        <v>12.18</v>
      </c>
      <c r="F2045" s="25">
        <v>11.97</v>
      </c>
      <c r="G2045" s="26">
        <v>0.20899999999999999</v>
      </c>
      <c r="H2045" s="27">
        <v>0.23710000000000001</v>
      </c>
      <c r="I2045" s="26">
        <v>0.88160000000000005</v>
      </c>
      <c r="J2045" s="28">
        <v>6</v>
      </c>
      <c r="K2045" s="27">
        <v>0.55613999999999997</v>
      </c>
      <c r="L2045" s="29">
        <f t="shared" si="124"/>
        <v>0.254815867457654</v>
      </c>
      <c r="M2045" s="29">
        <f t="shared" si="125"/>
        <v>0.2099999999999991</v>
      </c>
      <c r="N2045" s="30">
        <f t="shared" si="126"/>
        <v>0.38518922982102471</v>
      </c>
      <c r="O2045" s="31">
        <f t="shared" si="127"/>
        <v>1.1566881839052867</v>
      </c>
    </row>
    <row r="2046" spans="1:15" x14ac:dyDescent="0.25">
      <c r="A2046" t="s">
        <v>7783</v>
      </c>
      <c r="B2046" t="s">
        <v>4091</v>
      </c>
      <c r="C2046" s="3" t="s">
        <v>4092</v>
      </c>
      <c r="D2046" s="24">
        <v>0.41186200000000001</v>
      </c>
      <c r="E2046" s="25">
        <v>9.8170000000000002</v>
      </c>
      <c r="F2046" s="25">
        <v>9.9139999999999997</v>
      </c>
      <c r="G2046" s="26">
        <v>-9.7189999999999999E-2</v>
      </c>
      <c r="H2046" s="27">
        <v>0.11020000000000001</v>
      </c>
      <c r="I2046" s="26">
        <v>0.88170000000000004</v>
      </c>
      <c r="J2046" s="28">
        <v>6</v>
      </c>
      <c r="K2046" s="27">
        <v>0.55613999999999997</v>
      </c>
      <c r="L2046" s="29">
        <f t="shared" si="124"/>
        <v>0.254815867457654</v>
      </c>
      <c r="M2046" s="29">
        <f t="shared" si="125"/>
        <v>-9.6999999999999975E-2</v>
      </c>
      <c r="N2046" s="30">
        <f t="shared" si="126"/>
        <v>0.38524827590377508</v>
      </c>
      <c r="O2046" s="31">
        <f t="shared" si="127"/>
        <v>0.93497519775145543</v>
      </c>
    </row>
    <row r="2047" spans="1:15" x14ac:dyDescent="0.25">
      <c r="A2047" t="s">
        <v>7784</v>
      </c>
      <c r="B2047" t="s">
        <v>4095</v>
      </c>
      <c r="C2047" s="3" t="s">
        <v>4096</v>
      </c>
      <c r="D2047" s="24">
        <v>0.41437800000000002</v>
      </c>
      <c r="E2047" s="25">
        <v>9.9589999999999996</v>
      </c>
      <c r="F2047" s="25">
        <v>9.7159999999999993</v>
      </c>
      <c r="G2047" s="26">
        <v>0.24360000000000001</v>
      </c>
      <c r="H2047" s="27">
        <v>0.27789999999999998</v>
      </c>
      <c r="I2047" s="26">
        <v>0.87670000000000003</v>
      </c>
      <c r="J2047" s="28">
        <v>6</v>
      </c>
      <c r="K2047" s="27">
        <v>0.55918699999999999</v>
      </c>
      <c r="L2047" s="29">
        <f t="shared" si="124"/>
        <v>0.25244293363914794</v>
      </c>
      <c r="M2047" s="29">
        <f t="shared" si="125"/>
        <v>0.24300000000000022</v>
      </c>
      <c r="N2047" s="30">
        <f t="shared" si="126"/>
        <v>0.38260331004908965</v>
      </c>
      <c r="O2047" s="31">
        <f t="shared" si="127"/>
        <v>1.1834510217525713</v>
      </c>
    </row>
    <row r="2048" spans="1:15" x14ac:dyDescent="0.25">
      <c r="A2048" t="s">
        <v>7785</v>
      </c>
      <c r="B2048" t="s">
        <v>4097</v>
      </c>
      <c r="C2048" s="3" t="s">
        <v>4098</v>
      </c>
      <c r="D2048" s="24">
        <v>0.415103</v>
      </c>
      <c r="E2048" s="25">
        <v>9.5950000000000006</v>
      </c>
      <c r="F2048" s="25">
        <v>9.6829999999999998</v>
      </c>
      <c r="G2048" s="26">
        <v>-8.7720000000000006E-2</v>
      </c>
      <c r="H2048" s="27">
        <v>0.1002</v>
      </c>
      <c r="I2048" s="26">
        <v>0.87519999999999998</v>
      </c>
      <c r="J2048" s="28">
        <v>6</v>
      </c>
      <c r="K2048" s="27">
        <v>0.55989199999999995</v>
      </c>
      <c r="L2048" s="29">
        <f t="shared" si="124"/>
        <v>0.25189573786432456</v>
      </c>
      <c r="M2048" s="29">
        <f t="shared" si="125"/>
        <v>-8.7999999999998871E-2</v>
      </c>
      <c r="N2048" s="30">
        <f t="shared" si="126"/>
        <v>0.38184412791095862</v>
      </c>
      <c r="O2048" s="31">
        <f t="shared" si="127"/>
        <v>0.94082610751378837</v>
      </c>
    </row>
    <row r="2049" spans="1:15" x14ac:dyDescent="0.25">
      <c r="A2049" t="s">
        <v>7786</v>
      </c>
      <c r="B2049" t="s">
        <v>4099</v>
      </c>
      <c r="C2049" s="3" t="s">
        <v>4100</v>
      </c>
      <c r="D2049" s="24">
        <v>0.41663899999999998</v>
      </c>
      <c r="E2049" s="25">
        <v>8.7309999999999999</v>
      </c>
      <c r="F2049" s="25">
        <v>8.99</v>
      </c>
      <c r="G2049" s="26">
        <v>-0.25819999999999999</v>
      </c>
      <c r="H2049" s="27">
        <v>0.29599999999999999</v>
      </c>
      <c r="I2049" s="26">
        <v>0.87219999999999998</v>
      </c>
      <c r="J2049" s="28">
        <v>6</v>
      </c>
      <c r="K2049" s="27">
        <v>0.56169000000000002</v>
      </c>
      <c r="L2049" s="29">
        <f t="shared" si="124"/>
        <v>0.25050330797979226</v>
      </c>
      <c r="M2049" s="29">
        <f t="shared" si="125"/>
        <v>-0.25899999999999951</v>
      </c>
      <c r="N2049" s="30">
        <f t="shared" si="126"/>
        <v>0.3802400798226403</v>
      </c>
      <c r="O2049" s="31">
        <f t="shared" si="127"/>
        <v>0.83566695892185383</v>
      </c>
    </row>
    <row r="2050" spans="1:15" x14ac:dyDescent="0.25">
      <c r="A2050" t="s">
        <v>7787</v>
      </c>
      <c r="B2050" t="s">
        <v>4101</v>
      </c>
      <c r="C2050" s="3" t="s">
        <v>4102</v>
      </c>
      <c r="D2050" s="24">
        <v>0.417935</v>
      </c>
      <c r="E2050" s="25">
        <v>7.25</v>
      </c>
      <c r="F2050" s="25">
        <v>7.407</v>
      </c>
      <c r="G2050" s="26">
        <v>-0.157</v>
      </c>
      <c r="H2050" s="27">
        <v>0.18060000000000001</v>
      </c>
      <c r="I2050" s="26">
        <v>0.86960000000000004</v>
      </c>
      <c r="J2050" s="28">
        <v>6</v>
      </c>
      <c r="K2050" s="27">
        <v>0.56316200000000005</v>
      </c>
      <c r="L2050" s="29">
        <f t="shared" ref="L2050:L2113" si="128">-LOG(K2050,10)</f>
        <v>0.24936665739415018</v>
      </c>
      <c r="M2050" s="29">
        <f t="shared" ref="M2050:M2113" si="129">LOG(O2050,2)</f>
        <v>-0.15699999999999992</v>
      </c>
      <c r="N2050" s="30">
        <f t="shared" ref="N2050:N2113" si="130">-LOG(D2050,10)</f>
        <v>0.37889125730726331</v>
      </c>
      <c r="O2050" s="31">
        <f t="shared" ref="O2050:O2113" si="131">((2^E2050)/(2^F2050))</f>
        <v>0.89688815966201485</v>
      </c>
    </row>
    <row r="2051" spans="1:15" x14ac:dyDescent="0.25">
      <c r="A2051" t="s">
        <v>7788</v>
      </c>
      <c r="B2051" t="s">
        <v>4105</v>
      </c>
      <c r="C2051" s="3" t="s">
        <v>4106</v>
      </c>
      <c r="D2051" s="24">
        <v>0.41884300000000002</v>
      </c>
      <c r="E2051" s="25">
        <v>8.6839999999999993</v>
      </c>
      <c r="F2051" s="25">
        <v>8.5350000000000001</v>
      </c>
      <c r="G2051" s="26">
        <v>0.14929999999999999</v>
      </c>
      <c r="H2051" s="27">
        <v>0.1721</v>
      </c>
      <c r="I2051" s="26">
        <v>0.86780000000000002</v>
      </c>
      <c r="J2051" s="28">
        <v>6</v>
      </c>
      <c r="K2051" s="27">
        <v>0.56358699999999995</v>
      </c>
      <c r="L2051" s="29">
        <f t="shared" si="128"/>
        <v>0.24903903311658307</v>
      </c>
      <c r="M2051" s="29">
        <f t="shared" si="129"/>
        <v>0.14900000000000027</v>
      </c>
      <c r="N2051" s="30">
        <f t="shared" si="130"/>
        <v>0.37794873839700749</v>
      </c>
      <c r="O2051" s="31">
        <f t="shared" si="131"/>
        <v>1.1088006436030695</v>
      </c>
    </row>
    <row r="2052" spans="1:15" x14ac:dyDescent="0.25">
      <c r="A2052" t="s">
        <v>7789</v>
      </c>
      <c r="B2052" t="s">
        <v>4107</v>
      </c>
      <c r="C2052" s="3" t="s">
        <v>4108</v>
      </c>
      <c r="D2052" s="24">
        <v>0.41886200000000001</v>
      </c>
      <c r="E2052" s="25">
        <v>7.1459999999999999</v>
      </c>
      <c r="F2052" s="25">
        <v>6.7889999999999997</v>
      </c>
      <c r="G2052" s="26">
        <v>0.35780000000000001</v>
      </c>
      <c r="H2052" s="27">
        <v>0.4123</v>
      </c>
      <c r="I2052" s="26">
        <v>0.86780000000000002</v>
      </c>
      <c r="J2052" s="28">
        <v>6</v>
      </c>
      <c r="K2052" s="27">
        <v>0.56358699999999995</v>
      </c>
      <c r="L2052" s="29">
        <f t="shared" si="128"/>
        <v>0.24903903311658307</v>
      </c>
      <c r="M2052" s="29">
        <f t="shared" si="129"/>
        <v>0.35699999999999976</v>
      </c>
      <c r="N2052" s="30">
        <f t="shared" si="130"/>
        <v>0.37792903791734561</v>
      </c>
      <c r="O2052" s="31">
        <f t="shared" si="131"/>
        <v>1.2807598613297702</v>
      </c>
    </row>
    <row r="2053" spans="1:15" x14ac:dyDescent="0.25">
      <c r="A2053" t="s">
        <v>7790</v>
      </c>
      <c r="B2053" t="s">
        <v>4103</v>
      </c>
      <c r="C2053" s="3" t="s">
        <v>4104</v>
      </c>
      <c r="D2053" s="24">
        <v>0.41860000000000003</v>
      </c>
      <c r="E2053" s="25">
        <v>11.03</v>
      </c>
      <c r="F2053" s="25">
        <v>10.92</v>
      </c>
      <c r="G2053" s="26">
        <v>0.10199999999999999</v>
      </c>
      <c r="H2053" s="27">
        <v>0.11749999999999999</v>
      </c>
      <c r="I2053" s="26">
        <v>0.86829999999999996</v>
      </c>
      <c r="J2053" s="28">
        <v>6</v>
      </c>
      <c r="K2053" s="27">
        <v>0.56358699999999995</v>
      </c>
      <c r="L2053" s="29">
        <f t="shared" si="128"/>
        <v>0.24903903311658307</v>
      </c>
      <c r="M2053" s="29">
        <f t="shared" si="129"/>
        <v>0.10999999999999886</v>
      </c>
      <c r="N2053" s="30">
        <f t="shared" si="130"/>
        <v>0.37820077599733226</v>
      </c>
      <c r="O2053" s="31">
        <f t="shared" si="131"/>
        <v>1.0792282365044263</v>
      </c>
    </row>
    <row r="2054" spans="1:15" x14ac:dyDescent="0.25">
      <c r="A2054" t="s">
        <v>7791</v>
      </c>
      <c r="B2054" t="s">
        <v>4109</v>
      </c>
      <c r="C2054" s="3" t="s">
        <v>4110</v>
      </c>
      <c r="D2054" s="24">
        <v>0.419792</v>
      </c>
      <c r="E2054" s="25">
        <v>8.6709999999999994</v>
      </c>
      <c r="F2054" s="25">
        <v>8.3350000000000009</v>
      </c>
      <c r="G2054" s="26">
        <v>0.33660000000000001</v>
      </c>
      <c r="H2054" s="27">
        <v>0.38869999999999999</v>
      </c>
      <c r="I2054" s="26">
        <v>0.8659</v>
      </c>
      <c r="J2054" s="28">
        <v>6</v>
      </c>
      <c r="K2054" s="27">
        <v>0.56456300000000004</v>
      </c>
      <c r="L2054" s="29">
        <f t="shared" si="128"/>
        <v>0.24828758779444099</v>
      </c>
      <c r="M2054" s="29">
        <f t="shared" si="129"/>
        <v>0.33599999999999869</v>
      </c>
      <c r="N2054" s="30">
        <f t="shared" si="130"/>
        <v>0.37696584204937944</v>
      </c>
      <c r="O2054" s="31">
        <f t="shared" si="131"/>
        <v>1.2622520321121145</v>
      </c>
    </row>
    <row r="2055" spans="1:15" x14ac:dyDescent="0.25">
      <c r="A2055" t="s">
        <v>7792</v>
      </c>
      <c r="B2055" t="s">
        <v>4113</v>
      </c>
      <c r="C2055" s="3" t="s">
        <v>4114</v>
      </c>
      <c r="D2055" s="24">
        <v>0.42042000000000002</v>
      </c>
      <c r="E2055" s="25">
        <v>11.31</v>
      </c>
      <c r="F2055" s="25">
        <v>11.61</v>
      </c>
      <c r="G2055" s="26">
        <v>-0.3019</v>
      </c>
      <c r="H2055" s="27">
        <v>0.34920000000000001</v>
      </c>
      <c r="I2055" s="26">
        <v>0.86470000000000002</v>
      </c>
      <c r="J2055" s="28">
        <v>6</v>
      </c>
      <c r="K2055" s="27">
        <v>0.56471300000000002</v>
      </c>
      <c r="L2055" s="29">
        <f t="shared" si="128"/>
        <v>0.24817221445316998</v>
      </c>
      <c r="M2055" s="29">
        <f t="shared" si="129"/>
        <v>-0.29999999999999755</v>
      </c>
      <c r="N2055" s="30">
        <f t="shared" si="130"/>
        <v>0.37631663212278083</v>
      </c>
      <c r="O2055" s="31">
        <f t="shared" si="131"/>
        <v>0.81225239635623692</v>
      </c>
    </row>
    <row r="2056" spans="1:15" x14ac:dyDescent="0.25">
      <c r="A2056" t="s">
        <v>7793</v>
      </c>
      <c r="B2056" t="s">
        <v>4111</v>
      </c>
      <c r="C2056" s="3" t="s">
        <v>4112</v>
      </c>
      <c r="D2056" s="24">
        <v>0.42039199999999999</v>
      </c>
      <c r="E2056" s="25">
        <v>9.3960000000000008</v>
      </c>
      <c r="F2056" s="25">
        <v>9.532</v>
      </c>
      <c r="G2056" s="26">
        <v>-0.13550000000000001</v>
      </c>
      <c r="H2056" s="27">
        <v>0.15659999999999999</v>
      </c>
      <c r="I2056" s="26">
        <v>0.86480000000000001</v>
      </c>
      <c r="J2056" s="28">
        <v>6</v>
      </c>
      <c r="K2056" s="27">
        <v>0.56471300000000002</v>
      </c>
      <c r="L2056" s="29">
        <f t="shared" si="128"/>
        <v>0.24817221445316998</v>
      </c>
      <c r="M2056" s="29">
        <f t="shared" si="129"/>
        <v>-0.13599999999999846</v>
      </c>
      <c r="N2056" s="30">
        <f t="shared" si="130"/>
        <v>0.37634555712741397</v>
      </c>
      <c r="O2056" s="31">
        <f t="shared" si="131"/>
        <v>0.91003882408090009</v>
      </c>
    </row>
    <row r="2057" spans="1:15" x14ac:dyDescent="0.25">
      <c r="A2057" t="s">
        <v>7794</v>
      </c>
      <c r="B2057" t="s">
        <v>4115</v>
      </c>
      <c r="C2057" s="3" t="s">
        <v>4116</v>
      </c>
      <c r="D2057" s="24">
        <v>0.42061799999999999</v>
      </c>
      <c r="E2057" s="25">
        <v>8.2579999999999991</v>
      </c>
      <c r="F2057" s="25">
        <v>8.0259999999999998</v>
      </c>
      <c r="G2057" s="26">
        <v>0.2316</v>
      </c>
      <c r="H2057" s="27">
        <v>0.26800000000000002</v>
      </c>
      <c r="I2057" s="26">
        <v>0.86429999999999996</v>
      </c>
      <c r="J2057" s="28">
        <v>6</v>
      </c>
      <c r="K2057" s="27">
        <v>0.56471300000000002</v>
      </c>
      <c r="L2057" s="29">
        <f t="shared" si="128"/>
        <v>0.24817221445316998</v>
      </c>
      <c r="M2057" s="29">
        <f t="shared" si="129"/>
        <v>0.23199999999999948</v>
      </c>
      <c r="N2057" s="30">
        <f t="shared" si="130"/>
        <v>0.37611214597826542</v>
      </c>
      <c r="O2057" s="31">
        <f t="shared" si="131"/>
        <v>1.174461971213653</v>
      </c>
    </row>
    <row r="2058" spans="1:15" x14ac:dyDescent="0.25">
      <c r="A2058" t="s">
        <v>7795</v>
      </c>
      <c r="B2058" t="s">
        <v>4119</v>
      </c>
      <c r="C2058" s="3" t="s">
        <v>4120</v>
      </c>
      <c r="D2058" s="24">
        <v>0.42092600000000002</v>
      </c>
      <c r="E2058" s="25">
        <v>9.7539999999999996</v>
      </c>
      <c r="F2058" s="25">
        <v>9.8450000000000006</v>
      </c>
      <c r="G2058" s="26">
        <v>-9.1289999999999996E-2</v>
      </c>
      <c r="H2058" s="27">
        <v>0.1057</v>
      </c>
      <c r="I2058" s="26">
        <v>0.86370000000000002</v>
      </c>
      <c r="J2058" s="28">
        <v>6</v>
      </c>
      <c r="K2058" s="27">
        <v>0.56471300000000002</v>
      </c>
      <c r="L2058" s="29">
        <f t="shared" si="128"/>
        <v>0.24817221445316998</v>
      </c>
      <c r="M2058" s="29">
        <f t="shared" si="129"/>
        <v>-9.099999999999997E-2</v>
      </c>
      <c r="N2058" s="30">
        <f t="shared" si="130"/>
        <v>0.37579424767134673</v>
      </c>
      <c r="O2058" s="31">
        <f t="shared" si="131"/>
        <v>0.93887174731545209</v>
      </c>
    </row>
    <row r="2059" spans="1:15" x14ac:dyDescent="0.25">
      <c r="A2059" t="s">
        <v>7796</v>
      </c>
      <c r="B2059" t="s">
        <v>4117</v>
      </c>
      <c r="C2059" s="3" t="s">
        <v>4118</v>
      </c>
      <c r="D2059" s="24">
        <v>0.42073899999999997</v>
      </c>
      <c r="E2059" s="25">
        <v>11.37</v>
      </c>
      <c r="F2059" s="25">
        <v>11.61</v>
      </c>
      <c r="G2059" s="26">
        <v>-0.23799999999999999</v>
      </c>
      <c r="H2059" s="27">
        <v>0.27550000000000002</v>
      </c>
      <c r="I2059" s="26">
        <v>0.86409999999999998</v>
      </c>
      <c r="J2059" s="28">
        <v>6</v>
      </c>
      <c r="K2059" s="27">
        <v>0.56471300000000002</v>
      </c>
      <c r="L2059" s="29">
        <f t="shared" si="128"/>
        <v>0.24817221445316998</v>
      </c>
      <c r="M2059" s="29">
        <f t="shared" si="129"/>
        <v>-0.2399999999999991</v>
      </c>
      <c r="N2059" s="30">
        <f t="shared" si="130"/>
        <v>0.37598722960466285</v>
      </c>
      <c r="O2059" s="31">
        <f t="shared" si="131"/>
        <v>0.8467453123625277</v>
      </c>
    </row>
    <row r="2060" spans="1:15" x14ac:dyDescent="0.25">
      <c r="A2060" t="s">
        <v>7797</v>
      </c>
      <c r="B2060" t="s">
        <v>4121</v>
      </c>
      <c r="C2060" s="3" t="s">
        <v>4122</v>
      </c>
      <c r="D2060" s="24">
        <v>0.42115900000000001</v>
      </c>
      <c r="E2060" s="25">
        <v>9.3859999999999992</v>
      </c>
      <c r="F2060" s="25">
        <v>8.8170000000000002</v>
      </c>
      <c r="G2060" s="26">
        <v>0.56850000000000001</v>
      </c>
      <c r="H2060" s="27">
        <v>0.65859999999999996</v>
      </c>
      <c r="I2060" s="26">
        <v>0.86329999999999996</v>
      </c>
      <c r="J2060" s="28">
        <v>6</v>
      </c>
      <c r="K2060" s="27">
        <v>0.564751</v>
      </c>
      <c r="L2060" s="29">
        <f t="shared" si="128"/>
        <v>0.24814299140521348</v>
      </c>
      <c r="M2060" s="29">
        <f t="shared" si="129"/>
        <v>0.56900000000000006</v>
      </c>
      <c r="N2060" s="30">
        <f t="shared" si="130"/>
        <v>0.37555391417326561</v>
      </c>
      <c r="O2060" s="31">
        <f t="shared" si="131"/>
        <v>1.4834949338411219</v>
      </c>
    </row>
    <row r="2061" spans="1:15" x14ac:dyDescent="0.25">
      <c r="A2061" t="s">
        <v>7798</v>
      </c>
      <c r="B2061" t="s">
        <v>4123</v>
      </c>
      <c r="C2061" s="3" t="s">
        <v>4124</v>
      </c>
      <c r="D2061" s="24">
        <v>0.42220000000000002</v>
      </c>
      <c r="E2061" s="25">
        <v>7.6529999999999996</v>
      </c>
      <c r="F2061" s="25">
        <v>8.0879999999999992</v>
      </c>
      <c r="G2061" s="26">
        <v>-0.43569999999999998</v>
      </c>
      <c r="H2061" s="27">
        <v>0.50590000000000002</v>
      </c>
      <c r="I2061" s="26">
        <v>0.86119999999999997</v>
      </c>
      <c r="J2061" s="28">
        <v>6</v>
      </c>
      <c r="K2061" s="27">
        <v>0.56581199999999998</v>
      </c>
      <c r="L2061" s="29">
        <f t="shared" si="128"/>
        <v>0.24732784606510408</v>
      </c>
      <c r="M2061" s="29">
        <f t="shared" si="129"/>
        <v>-0.4349999999999995</v>
      </c>
      <c r="N2061" s="30">
        <f t="shared" si="130"/>
        <v>0.37448177102836239</v>
      </c>
      <c r="O2061" s="31">
        <f t="shared" si="131"/>
        <v>0.739693754624419</v>
      </c>
    </row>
    <row r="2062" spans="1:15" x14ac:dyDescent="0.25">
      <c r="A2062" t="s">
        <v>7799</v>
      </c>
      <c r="B2062" t="s">
        <v>4125</v>
      </c>
      <c r="C2062" s="3" t="s">
        <v>4126</v>
      </c>
      <c r="D2062" s="24">
        <v>0.42235899999999998</v>
      </c>
      <c r="E2062" s="25">
        <v>9.0869999999999997</v>
      </c>
      <c r="F2062" s="25">
        <v>9.2590000000000003</v>
      </c>
      <c r="G2062" s="26">
        <v>-0.17150000000000001</v>
      </c>
      <c r="H2062" s="27">
        <v>0.19919999999999999</v>
      </c>
      <c r="I2062" s="26">
        <v>0.8609</v>
      </c>
      <c r="J2062" s="28">
        <v>6</v>
      </c>
      <c r="K2062" s="27">
        <v>0.56581199999999998</v>
      </c>
      <c r="L2062" s="29">
        <f t="shared" si="128"/>
        <v>0.24732784606510408</v>
      </c>
      <c r="M2062" s="29">
        <f t="shared" si="129"/>
        <v>-0.1720000000000009</v>
      </c>
      <c r="N2062" s="30">
        <f t="shared" si="130"/>
        <v>0.37431824705090566</v>
      </c>
      <c r="O2062" s="31">
        <f t="shared" si="131"/>
        <v>0.88761133726949726</v>
      </c>
    </row>
    <row r="2063" spans="1:15" x14ac:dyDescent="0.25">
      <c r="A2063" t="s">
        <v>7800</v>
      </c>
      <c r="B2063" t="s">
        <v>4127</v>
      </c>
      <c r="C2063" s="3" t="s">
        <v>4128</v>
      </c>
      <c r="D2063" s="24">
        <v>0.42339900000000003</v>
      </c>
      <c r="E2063" s="25">
        <v>9.3520000000000003</v>
      </c>
      <c r="F2063" s="25">
        <v>9.2080000000000002</v>
      </c>
      <c r="G2063" s="26">
        <v>0.14330000000000001</v>
      </c>
      <c r="H2063" s="27">
        <v>0.16689999999999999</v>
      </c>
      <c r="I2063" s="26">
        <v>0.8589</v>
      </c>
      <c r="J2063" s="28">
        <v>6</v>
      </c>
      <c r="K2063" s="27">
        <v>0.56680699999999995</v>
      </c>
      <c r="L2063" s="29">
        <f t="shared" si="128"/>
        <v>0.24656479490552102</v>
      </c>
      <c r="M2063" s="29">
        <f t="shared" si="129"/>
        <v>0.14400000000000074</v>
      </c>
      <c r="N2063" s="30">
        <f t="shared" si="130"/>
        <v>0.37325017204876254</v>
      </c>
      <c r="O2063" s="31">
        <f t="shared" si="131"/>
        <v>1.1049644847999123</v>
      </c>
    </row>
    <row r="2064" spans="1:15" x14ac:dyDescent="0.25">
      <c r="A2064" t="s">
        <v>7801</v>
      </c>
      <c r="B2064" t="s">
        <v>4129</v>
      </c>
      <c r="C2064" s="3" t="s">
        <v>4130</v>
      </c>
      <c r="D2064" s="24">
        <v>0.423512</v>
      </c>
      <c r="E2064" s="25">
        <v>13.48</v>
      </c>
      <c r="F2064" s="25">
        <v>11.66</v>
      </c>
      <c r="G2064" s="26">
        <v>1.821</v>
      </c>
      <c r="H2064" s="27">
        <v>2.12</v>
      </c>
      <c r="I2064" s="26">
        <v>0.85860000000000003</v>
      </c>
      <c r="J2064" s="28">
        <v>6</v>
      </c>
      <c r="K2064" s="27">
        <v>0.56680699999999995</v>
      </c>
      <c r="L2064" s="29">
        <f t="shared" si="128"/>
        <v>0.24656479490552102</v>
      </c>
      <c r="M2064" s="29">
        <f t="shared" si="129"/>
        <v>1.820000000000001</v>
      </c>
      <c r="N2064" s="30">
        <f t="shared" si="130"/>
        <v>0.37313427964272161</v>
      </c>
      <c r="O2064" s="31">
        <f t="shared" si="131"/>
        <v>3.5308119851626221</v>
      </c>
    </row>
    <row r="2065" spans="1:15" x14ac:dyDescent="0.25">
      <c r="A2065" t="s">
        <v>7802</v>
      </c>
      <c r="B2065" t="s">
        <v>4131</v>
      </c>
      <c r="C2065" s="3" t="s">
        <v>4132</v>
      </c>
      <c r="D2065" s="24">
        <v>0.42396899999999998</v>
      </c>
      <c r="E2065" s="25">
        <v>8.33</v>
      </c>
      <c r="F2065" s="25">
        <v>8.0739999999999998</v>
      </c>
      <c r="G2065" s="26">
        <v>0.25629999999999997</v>
      </c>
      <c r="H2065" s="27">
        <v>0.29880000000000001</v>
      </c>
      <c r="I2065" s="26">
        <v>0.85770000000000002</v>
      </c>
      <c r="J2065" s="28">
        <v>6</v>
      </c>
      <c r="K2065" s="27">
        <v>0.56714399999999998</v>
      </c>
      <c r="L2065" s="29">
        <f t="shared" si="128"/>
        <v>0.24630665809941513</v>
      </c>
      <c r="M2065" s="29">
        <f t="shared" si="129"/>
        <v>0.25600000000000084</v>
      </c>
      <c r="N2065" s="30">
        <f t="shared" si="130"/>
        <v>0.37266589723068544</v>
      </c>
      <c r="O2065" s="31">
        <f t="shared" si="131"/>
        <v>1.1941631870745901</v>
      </c>
    </row>
    <row r="2066" spans="1:15" x14ac:dyDescent="0.25">
      <c r="A2066" t="s">
        <v>7803</v>
      </c>
      <c r="B2066" t="s">
        <v>4133</v>
      </c>
      <c r="C2066" s="3" t="s">
        <v>4134</v>
      </c>
      <c r="D2066" s="24">
        <v>0.42477900000000002</v>
      </c>
      <c r="E2066" s="25">
        <v>9.4350000000000005</v>
      </c>
      <c r="F2066" s="25">
        <v>9.5459999999999994</v>
      </c>
      <c r="G2066" s="26">
        <v>-0.11169999999999999</v>
      </c>
      <c r="H2066" s="27">
        <v>0.1305</v>
      </c>
      <c r="I2066" s="26">
        <v>0.85619999999999996</v>
      </c>
      <c r="J2066" s="28">
        <v>6</v>
      </c>
      <c r="K2066" s="27">
        <v>0.56795200000000001</v>
      </c>
      <c r="L2066" s="29">
        <f t="shared" si="128"/>
        <v>0.24568836678194514</v>
      </c>
      <c r="M2066" s="29">
        <f t="shared" si="129"/>
        <v>-0.11099999999999823</v>
      </c>
      <c r="N2066" s="30">
        <f t="shared" si="130"/>
        <v>0.37183696181725512</v>
      </c>
      <c r="O2066" s="31">
        <f t="shared" si="131"/>
        <v>0.92594602252732516</v>
      </c>
    </row>
    <row r="2067" spans="1:15" x14ac:dyDescent="0.25">
      <c r="A2067" t="s">
        <v>7804</v>
      </c>
      <c r="B2067" t="s">
        <v>4137</v>
      </c>
      <c r="C2067" s="3" t="s">
        <v>4138</v>
      </c>
      <c r="D2067" s="24">
        <v>0.42550700000000002</v>
      </c>
      <c r="E2067" s="25">
        <v>9.6210000000000004</v>
      </c>
      <c r="F2067" s="25">
        <v>9.5280000000000005</v>
      </c>
      <c r="G2067" s="26">
        <v>9.2950000000000005E-2</v>
      </c>
      <c r="H2067" s="27">
        <v>0.1087</v>
      </c>
      <c r="I2067" s="26">
        <v>0.85470000000000002</v>
      </c>
      <c r="J2067" s="28">
        <v>6</v>
      </c>
      <c r="K2067" s="27">
        <v>0.56837400000000005</v>
      </c>
      <c r="L2067" s="29">
        <f t="shared" si="128"/>
        <v>0.24536579688600219</v>
      </c>
      <c r="M2067" s="29">
        <f t="shared" si="129"/>
        <v>9.299999999999968E-2</v>
      </c>
      <c r="N2067" s="30">
        <f t="shared" si="130"/>
        <v>0.37109329095808374</v>
      </c>
      <c r="O2067" s="31">
        <f t="shared" si="131"/>
        <v>1.0665857808317643</v>
      </c>
    </row>
    <row r="2068" spans="1:15" x14ac:dyDescent="0.25">
      <c r="A2068" t="s">
        <v>7805</v>
      </c>
      <c r="B2068" t="s">
        <v>4135</v>
      </c>
      <c r="C2068" s="3" t="s">
        <v>4136</v>
      </c>
      <c r="D2068" s="24">
        <v>0.42541499999999999</v>
      </c>
      <c r="E2068" s="25">
        <v>9.6760000000000002</v>
      </c>
      <c r="F2068" s="25">
        <v>9.7620000000000005</v>
      </c>
      <c r="G2068" s="26">
        <v>-8.6470000000000005E-2</v>
      </c>
      <c r="H2068" s="27">
        <v>0.1011</v>
      </c>
      <c r="I2068" s="26">
        <v>0.85489999999999999</v>
      </c>
      <c r="J2068" s="28">
        <v>6</v>
      </c>
      <c r="K2068" s="27">
        <v>0.56837400000000005</v>
      </c>
      <c r="L2068" s="29">
        <f t="shared" si="128"/>
        <v>0.24536579688600219</v>
      </c>
      <c r="M2068" s="29">
        <f t="shared" si="129"/>
        <v>-8.6000000000000507E-2</v>
      </c>
      <c r="N2068" s="30">
        <f t="shared" si="130"/>
        <v>0.37118720107555814</v>
      </c>
      <c r="O2068" s="31">
        <f t="shared" si="131"/>
        <v>0.94213127390480844</v>
      </c>
    </row>
    <row r="2069" spans="1:15" x14ac:dyDescent="0.25">
      <c r="A2069" t="s">
        <v>7806</v>
      </c>
      <c r="B2069" t="s">
        <v>4139</v>
      </c>
      <c r="C2069" s="3" t="s">
        <v>4140</v>
      </c>
      <c r="D2069" s="24">
        <v>0.42835400000000001</v>
      </c>
      <c r="E2069" s="25">
        <v>8.3119999999999994</v>
      </c>
      <c r="F2069" s="25">
        <v>8.5950000000000006</v>
      </c>
      <c r="G2069" s="26">
        <v>-0.28299999999999997</v>
      </c>
      <c r="H2069" s="27">
        <v>0.33329999999999999</v>
      </c>
      <c r="I2069" s="26">
        <v>0.84919999999999995</v>
      </c>
      <c r="J2069" s="28">
        <v>6</v>
      </c>
      <c r="K2069" s="27">
        <v>0.57190099999999999</v>
      </c>
      <c r="L2069" s="29">
        <f t="shared" si="128"/>
        <v>0.24267914406514407</v>
      </c>
      <c r="M2069" s="29">
        <f t="shared" si="129"/>
        <v>-0.28300000000000047</v>
      </c>
      <c r="N2069" s="30">
        <f t="shared" si="130"/>
        <v>0.36819717327155838</v>
      </c>
      <c r="O2069" s="31">
        <f t="shared" si="131"/>
        <v>0.82188018729485035</v>
      </c>
    </row>
    <row r="2070" spans="1:15" x14ac:dyDescent="0.25">
      <c r="A2070" t="s">
        <v>7807</v>
      </c>
      <c r="B2070" t="s">
        <v>4141</v>
      </c>
      <c r="C2070" s="3" t="s">
        <v>4142</v>
      </c>
      <c r="D2070" s="24">
        <v>0.429614</v>
      </c>
      <c r="E2070" s="25">
        <v>11.5</v>
      </c>
      <c r="F2070" s="25">
        <v>11.58</v>
      </c>
      <c r="G2070" s="26">
        <v>-8.5550000000000001E-2</v>
      </c>
      <c r="H2070" s="27">
        <v>0.10100000000000001</v>
      </c>
      <c r="I2070" s="26">
        <v>0.84670000000000001</v>
      </c>
      <c r="J2070" s="28">
        <v>6</v>
      </c>
      <c r="K2070" s="27">
        <v>0.57330599999999998</v>
      </c>
      <c r="L2070" s="29">
        <f t="shared" si="128"/>
        <v>0.24161351304260026</v>
      </c>
      <c r="M2070" s="29">
        <f t="shared" si="129"/>
        <v>-8.0000000000000709E-2</v>
      </c>
      <c r="N2070" s="30">
        <f t="shared" si="130"/>
        <v>0.3669215745531984</v>
      </c>
      <c r="O2070" s="31">
        <f t="shared" si="131"/>
        <v>0.94605764672559545</v>
      </c>
    </row>
    <row r="2071" spans="1:15" x14ac:dyDescent="0.25">
      <c r="A2071" t="s">
        <v>7808</v>
      </c>
      <c r="B2071" t="s">
        <v>4143</v>
      </c>
      <c r="C2071" s="3" t="s">
        <v>4144</v>
      </c>
      <c r="D2071" s="24">
        <v>0.43060799999999999</v>
      </c>
      <c r="E2071" s="25">
        <v>8.8260000000000005</v>
      </c>
      <c r="F2071" s="25">
        <v>8.9250000000000007</v>
      </c>
      <c r="G2071" s="26">
        <v>-9.9059999999999995E-2</v>
      </c>
      <c r="H2071" s="27">
        <v>0.1173</v>
      </c>
      <c r="I2071" s="26">
        <v>0.8448</v>
      </c>
      <c r="J2071" s="28">
        <v>6</v>
      </c>
      <c r="K2071" s="27">
        <v>0.57435599999999998</v>
      </c>
      <c r="L2071" s="29">
        <f t="shared" si="128"/>
        <v>0.24081883772315535</v>
      </c>
      <c r="M2071" s="29">
        <f t="shared" si="129"/>
        <v>-9.8999999999999658E-2</v>
      </c>
      <c r="N2071" s="30">
        <f t="shared" si="130"/>
        <v>0.36591790594871115</v>
      </c>
      <c r="O2071" s="31">
        <f t="shared" si="131"/>
        <v>0.93367994491531336</v>
      </c>
    </row>
    <row r="2072" spans="1:15" x14ac:dyDescent="0.25">
      <c r="A2072" t="s">
        <v>7809</v>
      </c>
      <c r="B2072" t="s">
        <v>4145</v>
      </c>
      <c r="C2072" s="3" t="s">
        <v>4146</v>
      </c>
      <c r="D2072" s="24">
        <v>0.43116300000000002</v>
      </c>
      <c r="E2072" s="25">
        <v>9.6229999999999993</v>
      </c>
      <c r="F2072" s="25">
        <v>9.5410000000000004</v>
      </c>
      <c r="G2072" s="26">
        <v>8.1879999999999994E-2</v>
      </c>
      <c r="H2072" s="27">
        <v>9.7049999999999997E-2</v>
      </c>
      <c r="I2072" s="26">
        <v>0.84370000000000001</v>
      </c>
      <c r="J2072" s="28">
        <v>6</v>
      </c>
      <c r="K2072" s="27">
        <v>0.57481800000000005</v>
      </c>
      <c r="L2072" s="29">
        <f t="shared" si="128"/>
        <v>0.24046964071478391</v>
      </c>
      <c r="M2072" s="29">
        <f t="shared" si="129"/>
        <v>8.199999999999881E-2</v>
      </c>
      <c r="N2072" s="30">
        <f t="shared" si="130"/>
        <v>0.36535851494859534</v>
      </c>
      <c r="O2072" s="31">
        <f t="shared" si="131"/>
        <v>1.0584843948751319</v>
      </c>
    </row>
    <row r="2073" spans="1:15" x14ac:dyDescent="0.25">
      <c r="A2073" t="s">
        <v>7810</v>
      </c>
      <c r="B2073" t="s">
        <v>4147</v>
      </c>
      <c r="C2073" s="3" t="s">
        <v>4148</v>
      </c>
      <c r="D2073" s="24">
        <v>0.43145299999999998</v>
      </c>
      <c r="E2073" s="25">
        <v>11.43</v>
      </c>
      <c r="F2073" s="25">
        <v>11.37</v>
      </c>
      <c r="G2073" s="26">
        <v>6.3939999999999997E-2</v>
      </c>
      <c r="H2073" s="27">
        <v>7.5829999999999995E-2</v>
      </c>
      <c r="I2073" s="26">
        <v>0.84319999999999995</v>
      </c>
      <c r="J2073" s="28">
        <v>6</v>
      </c>
      <c r="K2073" s="27">
        <v>0.57492699999999997</v>
      </c>
      <c r="L2073" s="29">
        <f t="shared" si="128"/>
        <v>0.24038729532746891</v>
      </c>
      <c r="M2073" s="29">
        <f t="shared" si="129"/>
        <v>5.999999999999972E-2</v>
      </c>
      <c r="N2073" s="30">
        <f t="shared" si="130"/>
        <v>0.36506650690678583</v>
      </c>
      <c r="O2073" s="31">
        <f t="shared" si="131"/>
        <v>1.0424657608411212</v>
      </c>
    </row>
    <row r="2074" spans="1:15" x14ac:dyDescent="0.25">
      <c r="A2074" t="s">
        <v>7811</v>
      </c>
      <c r="B2074" t="s">
        <v>4149</v>
      </c>
      <c r="C2074" s="3" t="s">
        <v>4150</v>
      </c>
      <c r="D2074" s="24">
        <v>0.43215799999999999</v>
      </c>
      <c r="E2074" s="25">
        <v>7.4169999999999998</v>
      </c>
      <c r="F2074" s="25">
        <v>7.2649999999999997</v>
      </c>
      <c r="G2074" s="26">
        <v>0.15179999999999999</v>
      </c>
      <c r="H2074" s="27">
        <v>0.1804</v>
      </c>
      <c r="I2074" s="26">
        <v>0.84179999999999999</v>
      </c>
      <c r="J2074" s="28">
        <v>6</v>
      </c>
      <c r="K2074" s="27">
        <v>0.57549799999999995</v>
      </c>
      <c r="L2074" s="29">
        <f t="shared" si="128"/>
        <v>0.23995618131389934</v>
      </c>
      <c r="M2074" s="29">
        <f t="shared" si="129"/>
        <v>0.1520000000000003</v>
      </c>
      <c r="N2074" s="30">
        <f t="shared" si="130"/>
        <v>0.36435744303947715</v>
      </c>
      <c r="O2074" s="31">
        <f t="shared" si="131"/>
        <v>1.1111087286550938</v>
      </c>
    </row>
    <row r="2075" spans="1:15" x14ac:dyDescent="0.25">
      <c r="A2075" t="s">
        <v>7812</v>
      </c>
      <c r="B2075" t="s">
        <v>4153</v>
      </c>
      <c r="C2075" s="3" t="s">
        <v>4154</v>
      </c>
      <c r="D2075" s="24">
        <v>0.432506</v>
      </c>
      <c r="E2075" s="25">
        <v>7.8289999999999997</v>
      </c>
      <c r="F2075" s="25">
        <v>7.3869999999999996</v>
      </c>
      <c r="G2075" s="26">
        <v>0.442</v>
      </c>
      <c r="H2075" s="27">
        <v>0.52549999999999997</v>
      </c>
      <c r="I2075" s="26">
        <v>0.84109999999999996</v>
      </c>
      <c r="J2075" s="28">
        <v>6</v>
      </c>
      <c r="K2075" s="27">
        <v>0.57549799999999995</v>
      </c>
      <c r="L2075" s="29">
        <f t="shared" si="128"/>
        <v>0.23995618131389934</v>
      </c>
      <c r="M2075" s="29">
        <f t="shared" si="129"/>
        <v>0.44199999999999989</v>
      </c>
      <c r="N2075" s="30">
        <f t="shared" si="130"/>
        <v>0.36400786334641105</v>
      </c>
      <c r="O2075" s="31">
        <f t="shared" si="131"/>
        <v>1.3584862845489447</v>
      </c>
    </row>
    <row r="2076" spans="1:15" x14ac:dyDescent="0.25">
      <c r="A2076" t="s">
        <v>7813</v>
      </c>
      <c r="B2076" t="s">
        <v>4151</v>
      </c>
      <c r="C2076" s="3" t="s">
        <v>4152</v>
      </c>
      <c r="D2076" s="24">
        <v>0.43231999999999998</v>
      </c>
      <c r="E2076" s="25">
        <v>7.6719999999999997</v>
      </c>
      <c r="F2076" s="25">
        <v>8.157</v>
      </c>
      <c r="G2076" s="26">
        <v>-0.48480000000000001</v>
      </c>
      <c r="H2076" s="27">
        <v>0.57609999999999995</v>
      </c>
      <c r="I2076" s="26">
        <v>0.84150000000000003</v>
      </c>
      <c r="J2076" s="28">
        <v>6</v>
      </c>
      <c r="K2076" s="27">
        <v>0.57549799999999995</v>
      </c>
      <c r="L2076" s="29">
        <f t="shared" si="128"/>
        <v>0.23995618131389934</v>
      </c>
      <c r="M2076" s="29">
        <f t="shared" si="129"/>
        <v>-0.48500000000000004</v>
      </c>
      <c r="N2076" s="30">
        <f t="shared" si="130"/>
        <v>0.36419467265806338</v>
      </c>
      <c r="O2076" s="31">
        <f t="shared" si="131"/>
        <v>0.71449706987054651</v>
      </c>
    </row>
    <row r="2077" spans="1:15" x14ac:dyDescent="0.25">
      <c r="A2077" t="s">
        <v>7814</v>
      </c>
      <c r="B2077" t="s">
        <v>4155</v>
      </c>
      <c r="C2077" s="3" t="s">
        <v>4156</v>
      </c>
      <c r="D2077" s="24">
        <v>0.43450699999999998</v>
      </c>
      <c r="E2077" s="25">
        <v>8.1649999999999991</v>
      </c>
      <c r="F2077" s="25">
        <v>8.4149999999999991</v>
      </c>
      <c r="G2077" s="26">
        <v>-0.2505</v>
      </c>
      <c r="H2077" s="27">
        <v>0.29920000000000002</v>
      </c>
      <c r="I2077" s="26">
        <v>0.83730000000000004</v>
      </c>
      <c r="J2077" s="28">
        <v>6</v>
      </c>
      <c r="K2077" s="27">
        <v>0.57788099999999998</v>
      </c>
      <c r="L2077" s="29">
        <f t="shared" si="128"/>
        <v>0.23816158435487614</v>
      </c>
      <c r="M2077" s="29">
        <f t="shared" si="129"/>
        <v>-0.24999999999999953</v>
      </c>
      <c r="N2077" s="30">
        <f t="shared" si="130"/>
        <v>0.36200322258266759</v>
      </c>
      <c r="O2077" s="31">
        <f t="shared" si="131"/>
        <v>0.84089641525371484</v>
      </c>
    </row>
    <row r="2078" spans="1:15" x14ac:dyDescent="0.25">
      <c r="A2078" t="s">
        <v>7815</v>
      </c>
      <c r="B2078" t="s">
        <v>4157</v>
      </c>
      <c r="C2078" s="3" t="s">
        <v>4158</v>
      </c>
      <c r="D2078" s="24">
        <v>0.43546099999999999</v>
      </c>
      <c r="E2078" s="25">
        <v>12.04</v>
      </c>
      <c r="F2078" s="25">
        <v>11.91</v>
      </c>
      <c r="G2078" s="26">
        <v>0.12870000000000001</v>
      </c>
      <c r="H2078" s="27">
        <v>0.15409999999999999</v>
      </c>
      <c r="I2078" s="26">
        <v>0.83550000000000002</v>
      </c>
      <c r="J2078" s="28">
        <v>6</v>
      </c>
      <c r="K2078" s="27">
        <v>0.57887200000000005</v>
      </c>
      <c r="L2078" s="29">
        <f t="shared" si="128"/>
        <v>0.23741745672026446</v>
      </c>
      <c r="M2078" s="29">
        <f t="shared" si="129"/>
        <v>0.12999999999999842</v>
      </c>
      <c r="N2078" s="30">
        <f t="shared" si="130"/>
        <v>0.36105073444101227</v>
      </c>
      <c r="O2078" s="31">
        <f t="shared" si="131"/>
        <v>1.0942937012607383</v>
      </c>
    </row>
    <row r="2079" spans="1:15" x14ac:dyDescent="0.25">
      <c r="A2079" t="s">
        <v>7816</v>
      </c>
      <c r="B2079" t="s">
        <v>4161</v>
      </c>
      <c r="C2079" s="3" t="s">
        <v>4162</v>
      </c>
      <c r="D2079" s="24">
        <v>0.437695</v>
      </c>
      <c r="E2079" s="25">
        <v>10.09</v>
      </c>
      <c r="F2079" s="25">
        <v>10.23</v>
      </c>
      <c r="G2079" s="26">
        <v>-0.13569999999999999</v>
      </c>
      <c r="H2079" s="27">
        <v>0.1633</v>
      </c>
      <c r="I2079" s="26">
        <v>0.83120000000000005</v>
      </c>
      <c r="J2079" s="28">
        <v>6</v>
      </c>
      <c r="K2079" s="27">
        <v>0.58128199999999997</v>
      </c>
      <c r="L2079" s="29">
        <f t="shared" si="128"/>
        <v>0.23561312521445035</v>
      </c>
      <c r="M2079" s="29">
        <f t="shared" si="129"/>
        <v>-0.14000000000000049</v>
      </c>
      <c r="N2079" s="30">
        <f t="shared" si="130"/>
        <v>0.35882841451279945</v>
      </c>
      <c r="O2079" s="31">
        <f t="shared" si="131"/>
        <v>0.90751915531716054</v>
      </c>
    </row>
    <row r="2080" spans="1:15" x14ac:dyDescent="0.25">
      <c r="A2080" t="s">
        <v>7817</v>
      </c>
      <c r="B2080" t="s">
        <v>4159</v>
      </c>
      <c r="C2080" s="3" t="s">
        <v>4160</v>
      </c>
      <c r="D2080" s="24">
        <v>0.43750499999999998</v>
      </c>
      <c r="E2080" s="25">
        <v>8.2520000000000007</v>
      </c>
      <c r="F2080" s="25">
        <v>8.3859999999999992</v>
      </c>
      <c r="G2080" s="26">
        <v>-0.13489999999999999</v>
      </c>
      <c r="H2080" s="27">
        <v>0.16220000000000001</v>
      </c>
      <c r="I2080" s="26">
        <v>0.83150000000000002</v>
      </c>
      <c r="J2080" s="28">
        <v>6</v>
      </c>
      <c r="K2080" s="27">
        <v>0.58128199999999997</v>
      </c>
      <c r="L2080" s="29">
        <f t="shared" si="128"/>
        <v>0.23561312521445035</v>
      </c>
      <c r="M2080" s="29">
        <f t="shared" si="129"/>
        <v>-0.13399999999999887</v>
      </c>
      <c r="N2080" s="30">
        <f t="shared" si="130"/>
        <v>0.35901697930452231</v>
      </c>
      <c r="O2080" s="31">
        <f t="shared" si="131"/>
        <v>0.91130128063714222</v>
      </c>
    </row>
    <row r="2081" spans="1:15" x14ac:dyDescent="0.25">
      <c r="A2081" t="s">
        <v>7818</v>
      </c>
      <c r="B2081" t="s">
        <v>4165</v>
      </c>
      <c r="C2081" s="3" t="s">
        <v>4166</v>
      </c>
      <c r="D2081" s="24">
        <v>0.43842599999999998</v>
      </c>
      <c r="E2081" s="25">
        <v>6.7649999999999997</v>
      </c>
      <c r="F2081" s="25">
        <v>6.9139999999999997</v>
      </c>
      <c r="G2081" s="26">
        <v>-0.14949999999999999</v>
      </c>
      <c r="H2081" s="27">
        <v>0.1802</v>
      </c>
      <c r="I2081" s="26">
        <v>0.82979999999999998</v>
      </c>
      <c r="J2081" s="28">
        <v>6</v>
      </c>
      <c r="K2081" s="27">
        <v>0.58169300000000002</v>
      </c>
      <c r="L2081" s="29">
        <f t="shared" si="128"/>
        <v>0.23530616240012805</v>
      </c>
      <c r="M2081" s="29">
        <f t="shared" si="129"/>
        <v>-0.1490000000000003</v>
      </c>
      <c r="N2081" s="30">
        <f t="shared" si="130"/>
        <v>0.35810369877161607</v>
      </c>
      <c r="O2081" s="31">
        <f t="shared" si="131"/>
        <v>0.9018753783822494</v>
      </c>
    </row>
    <row r="2082" spans="1:15" x14ac:dyDescent="0.25">
      <c r="A2082" t="s">
        <v>7819</v>
      </c>
      <c r="B2082" t="s">
        <v>4163</v>
      </c>
      <c r="C2082" s="3" t="s">
        <v>4164</v>
      </c>
      <c r="D2082" s="24">
        <v>0.43833800000000001</v>
      </c>
      <c r="E2082" s="25">
        <v>8.0429999999999993</v>
      </c>
      <c r="F2082" s="25">
        <v>8.7100000000000009</v>
      </c>
      <c r="G2082" s="26">
        <v>-0.66679999999999995</v>
      </c>
      <c r="H2082" s="27">
        <v>0.80349999999999999</v>
      </c>
      <c r="I2082" s="26">
        <v>0.82989999999999997</v>
      </c>
      <c r="J2082" s="28">
        <v>6</v>
      </c>
      <c r="K2082" s="27">
        <v>0.58169300000000002</v>
      </c>
      <c r="L2082" s="29">
        <f t="shared" si="128"/>
        <v>0.23530616240012805</v>
      </c>
      <c r="M2082" s="29">
        <f t="shared" si="129"/>
        <v>-0.66700000000000126</v>
      </c>
      <c r="N2082" s="30">
        <f t="shared" si="130"/>
        <v>0.35819087825101026</v>
      </c>
      <c r="O2082" s="31">
        <f t="shared" si="131"/>
        <v>0.62981498997369911</v>
      </c>
    </row>
    <row r="2083" spans="1:15" x14ac:dyDescent="0.25">
      <c r="A2083" t="s">
        <v>7820</v>
      </c>
      <c r="B2083" t="s">
        <v>4169</v>
      </c>
      <c r="C2083" s="3" t="s">
        <v>4170</v>
      </c>
      <c r="D2083" s="24">
        <v>0.43922699999999998</v>
      </c>
      <c r="E2083" s="25">
        <v>8.577</v>
      </c>
      <c r="F2083" s="25">
        <v>8.7710000000000008</v>
      </c>
      <c r="G2083" s="26">
        <v>-0.19370000000000001</v>
      </c>
      <c r="H2083" s="27">
        <v>0.2339</v>
      </c>
      <c r="I2083" s="26">
        <v>0.82820000000000005</v>
      </c>
      <c r="J2083" s="28">
        <v>6</v>
      </c>
      <c r="K2083" s="27">
        <v>0.58219699999999996</v>
      </c>
      <c r="L2083" s="29">
        <f t="shared" si="128"/>
        <v>0.23493003676529894</v>
      </c>
      <c r="M2083" s="29">
        <f t="shared" si="129"/>
        <v>-0.19400000000000142</v>
      </c>
      <c r="N2083" s="30">
        <f t="shared" si="130"/>
        <v>0.35731097094731484</v>
      </c>
      <c r="O2083" s="31">
        <f t="shared" si="131"/>
        <v>0.87417862041037231</v>
      </c>
    </row>
    <row r="2084" spans="1:15" x14ac:dyDescent="0.25">
      <c r="A2084" t="s">
        <v>7821</v>
      </c>
      <c r="B2084" t="s">
        <v>4167</v>
      </c>
      <c r="C2084" s="3" t="s">
        <v>4168</v>
      </c>
      <c r="D2084" s="24">
        <v>0.43911800000000001</v>
      </c>
      <c r="E2084" s="25">
        <v>8.5419999999999998</v>
      </c>
      <c r="F2084" s="25">
        <v>8.4390000000000001</v>
      </c>
      <c r="G2084" s="26">
        <v>0.1032</v>
      </c>
      <c r="H2084" s="27">
        <v>0.1246</v>
      </c>
      <c r="I2084" s="26">
        <v>0.82850000000000001</v>
      </c>
      <c r="J2084" s="28">
        <v>6</v>
      </c>
      <c r="K2084" s="27">
        <v>0.58219699999999996</v>
      </c>
      <c r="L2084" s="29">
        <f t="shared" si="128"/>
        <v>0.23493003676529894</v>
      </c>
      <c r="M2084" s="29">
        <f t="shared" si="129"/>
        <v>0.10299999999999988</v>
      </c>
      <c r="N2084" s="30">
        <f t="shared" si="130"/>
        <v>0.35741876025281649</v>
      </c>
      <c r="O2084" s="31">
        <f t="shared" si="131"/>
        <v>1.0740044716201242</v>
      </c>
    </row>
    <row r="2085" spans="1:15" x14ac:dyDescent="0.25">
      <c r="A2085" t="s">
        <v>7822</v>
      </c>
      <c r="B2085" t="s">
        <v>4171</v>
      </c>
      <c r="C2085" s="3" t="s">
        <v>4172</v>
      </c>
      <c r="D2085" s="24">
        <v>0.44010199999999999</v>
      </c>
      <c r="E2085" s="25">
        <v>7.73</v>
      </c>
      <c r="F2085" s="25">
        <v>7.4640000000000004</v>
      </c>
      <c r="G2085" s="26">
        <v>0.26629999999999998</v>
      </c>
      <c r="H2085" s="27">
        <v>0.3221</v>
      </c>
      <c r="I2085" s="26">
        <v>0.8266</v>
      </c>
      <c r="J2085" s="28">
        <v>6</v>
      </c>
      <c r="K2085" s="27">
        <v>0.58307699999999996</v>
      </c>
      <c r="L2085" s="29">
        <f t="shared" si="128"/>
        <v>0.23427408938000047</v>
      </c>
      <c r="M2085" s="29">
        <f t="shared" si="129"/>
        <v>0.26599999999999979</v>
      </c>
      <c r="N2085" s="30">
        <f t="shared" si="130"/>
        <v>0.35644665782426188</v>
      </c>
      <c r="O2085" s="31">
        <f t="shared" si="131"/>
        <v>1.2024692488981774</v>
      </c>
    </row>
    <row r="2086" spans="1:15" x14ac:dyDescent="0.25">
      <c r="A2086" t="s">
        <v>7823</v>
      </c>
      <c r="B2086" t="s">
        <v>4173</v>
      </c>
      <c r="C2086" s="3" t="s">
        <v>4174</v>
      </c>
      <c r="D2086" s="24">
        <v>0.44132500000000002</v>
      </c>
      <c r="E2086" s="25">
        <v>8.5239999999999991</v>
      </c>
      <c r="F2086" s="25">
        <v>8.4269999999999996</v>
      </c>
      <c r="G2086" s="26">
        <v>9.6740000000000007E-2</v>
      </c>
      <c r="H2086" s="27">
        <v>0.1174</v>
      </c>
      <c r="I2086" s="26">
        <v>0.82420000000000004</v>
      </c>
      <c r="J2086" s="28">
        <v>6</v>
      </c>
      <c r="K2086" s="27">
        <v>0.58441699999999996</v>
      </c>
      <c r="L2086" s="29">
        <f t="shared" si="128"/>
        <v>0.23327715944066715</v>
      </c>
      <c r="M2086" s="29">
        <f t="shared" si="129"/>
        <v>9.6999999999998948E-2</v>
      </c>
      <c r="N2086" s="30">
        <f t="shared" si="130"/>
        <v>0.35524147011791041</v>
      </c>
      <c r="O2086" s="31">
        <f t="shared" si="131"/>
        <v>1.069547087885244</v>
      </c>
    </row>
    <row r="2087" spans="1:15" x14ac:dyDescent="0.25">
      <c r="A2087" t="s">
        <v>7824</v>
      </c>
      <c r="B2087" t="s">
        <v>4175</v>
      </c>
      <c r="C2087" s="3" t="s">
        <v>4176</v>
      </c>
      <c r="D2087" s="24">
        <v>0.44320500000000002</v>
      </c>
      <c r="E2087" s="25">
        <v>9.0129999999999999</v>
      </c>
      <c r="F2087" s="25">
        <v>8.7789999999999999</v>
      </c>
      <c r="G2087" s="26">
        <v>0.2341</v>
      </c>
      <c r="H2087" s="27">
        <v>0.28520000000000001</v>
      </c>
      <c r="I2087" s="26">
        <v>0.82069999999999999</v>
      </c>
      <c r="J2087" s="28">
        <v>6</v>
      </c>
      <c r="K2087" s="27">
        <v>0.58662599999999998</v>
      </c>
      <c r="L2087" s="29">
        <f t="shared" si="128"/>
        <v>0.23163869245281474</v>
      </c>
      <c r="M2087" s="29">
        <f t="shared" si="129"/>
        <v>0.23400000000000057</v>
      </c>
      <c r="N2087" s="30">
        <f t="shared" si="130"/>
        <v>0.35339534877565371</v>
      </c>
      <c r="O2087" s="31">
        <f t="shared" si="131"/>
        <v>1.1760912502909653</v>
      </c>
    </row>
    <row r="2088" spans="1:15" x14ac:dyDescent="0.25">
      <c r="A2088" t="s">
        <v>7825</v>
      </c>
      <c r="B2088" t="s">
        <v>4179</v>
      </c>
      <c r="C2088" s="3" t="s">
        <v>4180</v>
      </c>
      <c r="D2088" s="24">
        <v>0.44374200000000003</v>
      </c>
      <c r="E2088" s="25">
        <v>10.53</v>
      </c>
      <c r="F2088" s="25">
        <v>10.43</v>
      </c>
      <c r="G2088" s="26">
        <v>9.4839999999999994E-2</v>
      </c>
      <c r="H2088" s="27">
        <v>0.1157</v>
      </c>
      <c r="I2088" s="26">
        <v>0.81969999999999998</v>
      </c>
      <c r="J2088" s="28">
        <v>6</v>
      </c>
      <c r="K2088" s="27">
        <v>0.58677299999999999</v>
      </c>
      <c r="L2088" s="29">
        <f t="shared" si="128"/>
        <v>0.23152987816343196</v>
      </c>
      <c r="M2088" s="29">
        <f t="shared" si="129"/>
        <v>9.9999999999998451E-2</v>
      </c>
      <c r="N2088" s="30">
        <f t="shared" si="130"/>
        <v>0.35286946354174797</v>
      </c>
      <c r="O2088" s="31">
        <f t="shared" si="131"/>
        <v>1.071773462536292</v>
      </c>
    </row>
    <row r="2089" spans="1:15" x14ac:dyDescent="0.25">
      <c r="A2089" t="s">
        <v>7826</v>
      </c>
      <c r="B2089" t="s">
        <v>4177</v>
      </c>
      <c r="C2089" s="3" t="s">
        <v>4178</v>
      </c>
      <c r="D2089" s="24">
        <v>0.44358500000000001</v>
      </c>
      <c r="E2089" s="25">
        <v>9.26</v>
      </c>
      <c r="F2089" s="25">
        <v>9.3949999999999996</v>
      </c>
      <c r="G2089" s="26">
        <v>-0.13439999999999999</v>
      </c>
      <c r="H2089" s="27">
        <v>0.16389999999999999</v>
      </c>
      <c r="I2089" s="26">
        <v>0.82</v>
      </c>
      <c r="J2089" s="28">
        <v>6</v>
      </c>
      <c r="K2089" s="27">
        <v>0.58677299999999999</v>
      </c>
      <c r="L2089" s="29">
        <f t="shared" si="128"/>
        <v>0.23152987816343196</v>
      </c>
      <c r="M2089" s="29">
        <f t="shared" si="129"/>
        <v>-0.13499999999999954</v>
      </c>
      <c r="N2089" s="30">
        <f t="shared" si="130"/>
        <v>0.35302314811208196</v>
      </c>
      <c r="O2089" s="31">
        <f t="shared" si="131"/>
        <v>0.91066983359197873</v>
      </c>
    </row>
    <row r="2090" spans="1:15" x14ac:dyDescent="0.25">
      <c r="A2090" t="s">
        <v>7827</v>
      </c>
      <c r="B2090" t="s">
        <v>4181</v>
      </c>
      <c r="C2090" s="3" t="s">
        <v>4182</v>
      </c>
      <c r="D2090" s="24">
        <v>0.445882</v>
      </c>
      <c r="E2090" s="25">
        <v>10.93</v>
      </c>
      <c r="F2090" s="25">
        <v>10.84</v>
      </c>
      <c r="G2090" s="26">
        <v>8.6730000000000002E-2</v>
      </c>
      <c r="H2090" s="27">
        <v>0.10630000000000001</v>
      </c>
      <c r="I2090" s="26">
        <v>0.81559999999999999</v>
      </c>
      <c r="J2090" s="28">
        <v>6</v>
      </c>
      <c r="K2090" s="27">
        <v>0.58932099999999998</v>
      </c>
      <c r="L2090" s="29">
        <f t="shared" si="128"/>
        <v>0.22964808287969779</v>
      </c>
      <c r="M2090" s="29">
        <f t="shared" si="129"/>
        <v>9.0000000000000774E-2</v>
      </c>
      <c r="N2090" s="30">
        <f t="shared" si="130"/>
        <v>0.35078005951507557</v>
      </c>
      <c r="O2090" s="31">
        <f t="shared" si="131"/>
        <v>1.0643701824533605</v>
      </c>
    </row>
    <row r="2091" spans="1:15" x14ac:dyDescent="0.25">
      <c r="A2091" t="s">
        <v>7828</v>
      </c>
      <c r="B2091" t="s">
        <v>4183</v>
      </c>
      <c r="C2091" s="3" t="s">
        <v>4184</v>
      </c>
      <c r="D2091" s="24">
        <v>0.44644899999999998</v>
      </c>
      <c r="E2091" s="25">
        <v>8.4329999999999998</v>
      </c>
      <c r="F2091" s="25">
        <v>8.5609999999999999</v>
      </c>
      <c r="G2091" s="26">
        <v>-0.12809999999999999</v>
      </c>
      <c r="H2091" s="27">
        <v>0.1573</v>
      </c>
      <c r="I2091" s="26">
        <v>0.8145</v>
      </c>
      <c r="J2091" s="28">
        <v>6</v>
      </c>
      <c r="K2091" s="27">
        <v>0.58978900000000001</v>
      </c>
      <c r="L2091" s="29">
        <f t="shared" si="128"/>
        <v>0.22930333162119965</v>
      </c>
      <c r="M2091" s="29">
        <f t="shared" si="129"/>
        <v>-0.12800000000000059</v>
      </c>
      <c r="N2091" s="30">
        <f t="shared" si="130"/>
        <v>0.35022814547335845</v>
      </c>
      <c r="O2091" s="31">
        <f t="shared" si="131"/>
        <v>0.91509916812792802</v>
      </c>
    </row>
    <row r="2092" spans="1:15" x14ac:dyDescent="0.25">
      <c r="A2092" t="s">
        <v>7829</v>
      </c>
      <c r="B2092" t="s">
        <v>4185</v>
      </c>
      <c r="C2092" s="3" t="s">
        <v>4186</v>
      </c>
      <c r="D2092" s="24">
        <v>0.44709100000000002</v>
      </c>
      <c r="E2092" s="25">
        <v>9.4179999999999993</v>
      </c>
      <c r="F2092" s="25">
        <v>9.7460000000000004</v>
      </c>
      <c r="G2092" s="26">
        <v>-0.32840000000000003</v>
      </c>
      <c r="H2092" s="27">
        <v>0.40379999999999999</v>
      </c>
      <c r="I2092" s="26">
        <v>0.81330000000000002</v>
      </c>
      <c r="J2092" s="28">
        <v>6</v>
      </c>
      <c r="K2092" s="27">
        <v>0.59035499999999996</v>
      </c>
      <c r="L2092" s="29">
        <f t="shared" si="128"/>
        <v>0.2288867541601369</v>
      </c>
      <c r="M2092" s="29">
        <f t="shared" si="129"/>
        <v>-0.32800000000000168</v>
      </c>
      <c r="N2092" s="30">
        <f t="shared" si="130"/>
        <v>0.34960407244840225</v>
      </c>
      <c r="O2092" s="31">
        <f t="shared" si="131"/>
        <v>0.79664009628558174</v>
      </c>
    </row>
    <row r="2093" spans="1:15" x14ac:dyDescent="0.25">
      <c r="A2093" t="s">
        <v>7830</v>
      </c>
      <c r="B2093" t="s">
        <v>4187</v>
      </c>
      <c r="C2093" s="3" t="s">
        <v>4188</v>
      </c>
      <c r="D2093" s="24">
        <v>0.44731599999999999</v>
      </c>
      <c r="E2093" s="25">
        <v>8.359</v>
      </c>
      <c r="F2093" s="25">
        <v>8.4280000000000008</v>
      </c>
      <c r="G2093" s="26">
        <v>-6.9220000000000004E-2</v>
      </c>
      <c r="H2093" s="27">
        <v>8.5150000000000003E-2</v>
      </c>
      <c r="I2093" s="26">
        <v>0.81289999999999996</v>
      </c>
      <c r="J2093" s="28">
        <v>6</v>
      </c>
      <c r="K2093" s="27">
        <v>0.59036999999999995</v>
      </c>
      <c r="L2093" s="29">
        <f t="shared" si="128"/>
        <v>0.22887571955473957</v>
      </c>
      <c r="M2093" s="29">
        <f t="shared" si="129"/>
        <v>-6.9000000000000894E-2</v>
      </c>
      <c r="N2093" s="30">
        <f t="shared" si="130"/>
        <v>0.34938556731485676</v>
      </c>
      <c r="O2093" s="31">
        <f t="shared" si="131"/>
        <v>0.95329854528815838</v>
      </c>
    </row>
    <row r="2094" spans="1:15" x14ac:dyDescent="0.25">
      <c r="A2094" t="s">
        <v>7831</v>
      </c>
      <c r="B2094" t="s">
        <v>4189</v>
      </c>
      <c r="C2094" s="3" t="s">
        <v>4190</v>
      </c>
      <c r="D2094" s="24">
        <v>0.44795400000000002</v>
      </c>
      <c r="E2094" s="25">
        <v>8.907</v>
      </c>
      <c r="F2094" s="25">
        <v>8.66</v>
      </c>
      <c r="G2094" s="26">
        <v>0.24660000000000001</v>
      </c>
      <c r="H2094" s="27">
        <v>0.30380000000000001</v>
      </c>
      <c r="I2094" s="26">
        <v>0.81169999999999998</v>
      </c>
      <c r="J2094" s="28">
        <v>6</v>
      </c>
      <c r="K2094" s="27">
        <v>0.59092900000000004</v>
      </c>
      <c r="L2094" s="29">
        <f t="shared" si="128"/>
        <v>0.22846469637854988</v>
      </c>
      <c r="M2094" s="29">
        <f t="shared" si="129"/>
        <v>0.24700000000000066</v>
      </c>
      <c r="N2094" s="30">
        <f t="shared" si="130"/>
        <v>0.34876658102835306</v>
      </c>
      <c r="O2094" s="31">
        <f t="shared" si="131"/>
        <v>1.1867367976565326</v>
      </c>
    </row>
    <row r="2095" spans="1:15" x14ac:dyDescent="0.25">
      <c r="A2095" t="s">
        <v>7832</v>
      </c>
      <c r="B2095" t="s">
        <v>4191</v>
      </c>
      <c r="C2095" s="3" t="s">
        <v>4192</v>
      </c>
      <c r="D2095" s="24">
        <v>0.44875900000000002</v>
      </c>
      <c r="E2095" s="25">
        <v>8.0380000000000003</v>
      </c>
      <c r="F2095" s="25">
        <v>8.1890000000000001</v>
      </c>
      <c r="G2095" s="26">
        <v>-0.1515</v>
      </c>
      <c r="H2095" s="27">
        <v>0.18690000000000001</v>
      </c>
      <c r="I2095" s="26">
        <v>0.81020000000000003</v>
      </c>
      <c r="J2095" s="28">
        <v>6</v>
      </c>
      <c r="K2095" s="27">
        <v>0.59170800000000001</v>
      </c>
      <c r="L2095" s="29">
        <f t="shared" si="128"/>
        <v>0.22789255894274785</v>
      </c>
      <c r="M2095" s="29">
        <f t="shared" si="129"/>
        <v>-0.15099999999999955</v>
      </c>
      <c r="N2095" s="30">
        <f t="shared" si="130"/>
        <v>0.34798682841664996</v>
      </c>
      <c r="O2095" s="31">
        <f t="shared" si="131"/>
        <v>0.90062597984792958</v>
      </c>
    </row>
    <row r="2096" spans="1:15" x14ac:dyDescent="0.25">
      <c r="A2096" t="s">
        <v>7833</v>
      </c>
      <c r="B2096" t="s">
        <v>4193</v>
      </c>
      <c r="C2096" s="3" t="s">
        <v>4194</v>
      </c>
      <c r="D2096" s="24">
        <v>0.44985399999999998</v>
      </c>
      <c r="E2096" s="25">
        <v>8.1069999999999993</v>
      </c>
      <c r="F2096" s="25">
        <v>8.5489999999999995</v>
      </c>
      <c r="G2096" s="26">
        <v>-0.44240000000000002</v>
      </c>
      <c r="H2096" s="27">
        <v>0.54749999999999999</v>
      </c>
      <c r="I2096" s="26">
        <v>0.80810000000000004</v>
      </c>
      <c r="J2096" s="28">
        <v>6</v>
      </c>
      <c r="K2096" s="27">
        <v>0.59287000000000001</v>
      </c>
      <c r="L2096" s="29">
        <f t="shared" si="128"/>
        <v>0.22704052496974292</v>
      </c>
      <c r="M2096" s="29">
        <f t="shared" si="129"/>
        <v>-0.44199999999999989</v>
      </c>
      <c r="N2096" s="30">
        <f t="shared" si="130"/>
        <v>0.34692841351933801</v>
      </c>
      <c r="O2096" s="31">
        <f t="shared" si="131"/>
        <v>0.73611343108408922</v>
      </c>
    </row>
    <row r="2097" spans="1:15" x14ac:dyDescent="0.25">
      <c r="A2097" t="s">
        <v>7834</v>
      </c>
      <c r="B2097" t="s">
        <v>4195</v>
      </c>
      <c r="C2097" s="3" t="s">
        <v>4196</v>
      </c>
      <c r="D2097" s="24">
        <v>0.45059700000000003</v>
      </c>
      <c r="E2097" s="25">
        <v>6.4260000000000002</v>
      </c>
      <c r="F2097" s="25">
        <v>7.141</v>
      </c>
      <c r="G2097" s="26">
        <v>-0.71409999999999996</v>
      </c>
      <c r="H2097" s="27">
        <v>0.88519999999999999</v>
      </c>
      <c r="I2097" s="26">
        <v>0.80679999999999996</v>
      </c>
      <c r="J2097" s="28">
        <v>6</v>
      </c>
      <c r="K2097" s="27">
        <v>0.59356500000000001</v>
      </c>
      <c r="L2097" s="29">
        <f t="shared" si="128"/>
        <v>0.22653171546994319</v>
      </c>
      <c r="M2097" s="29">
        <f t="shared" si="129"/>
        <v>-0.71500000000000008</v>
      </c>
      <c r="N2097" s="30">
        <f t="shared" si="130"/>
        <v>0.34621170406310425</v>
      </c>
      <c r="O2097" s="31">
        <f t="shared" si="131"/>
        <v>0.60920513183759561</v>
      </c>
    </row>
    <row r="2098" spans="1:15" x14ac:dyDescent="0.25">
      <c r="A2098" t="s">
        <v>7835</v>
      </c>
      <c r="B2098" t="s">
        <v>4197</v>
      </c>
      <c r="C2098" s="3" t="s">
        <v>4198</v>
      </c>
      <c r="D2098" s="24">
        <v>0.45128800000000002</v>
      </c>
      <c r="E2098" s="25">
        <v>11.81</v>
      </c>
      <c r="F2098" s="25">
        <v>12.09</v>
      </c>
      <c r="G2098" s="26">
        <v>-0.28129999999999999</v>
      </c>
      <c r="H2098" s="27">
        <v>0.34920000000000001</v>
      </c>
      <c r="I2098" s="26">
        <v>0.80549999999999999</v>
      </c>
      <c r="J2098" s="28">
        <v>6</v>
      </c>
      <c r="K2098" s="27">
        <v>0.59396300000000002</v>
      </c>
      <c r="L2098" s="29">
        <f t="shared" si="128"/>
        <v>0.22624060787455297</v>
      </c>
      <c r="M2098" s="29">
        <f t="shared" si="129"/>
        <v>-0.27999999999999814</v>
      </c>
      <c r="N2098" s="30">
        <f t="shared" si="130"/>
        <v>0.34554621445918277</v>
      </c>
      <c r="O2098" s="31">
        <f t="shared" si="131"/>
        <v>0.82359101726757422</v>
      </c>
    </row>
    <row r="2099" spans="1:15" x14ac:dyDescent="0.25">
      <c r="A2099" t="s">
        <v>7836</v>
      </c>
      <c r="B2099" t="s">
        <v>4199</v>
      </c>
      <c r="C2099" s="3" t="s">
        <v>4200</v>
      </c>
      <c r="D2099" s="24">
        <v>0.45132899999999998</v>
      </c>
      <c r="E2099" s="25">
        <v>9.8629999999999995</v>
      </c>
      <c r="F2099" s="25">
        <v>9.6709999999999994</v>
      </c>
      <c r="G2099" s="26">
        <v>0.1925</v>
      </c>
      <c r="H2099" s="27">
        <v>0.23899999999999999</v>
      </c>
      <c r="I2099" s="26">
        <v>0.8054</v>
      </c>
      <c r="J2099" s="28">
        <v>6</v>
      </c>
      <c r="K2099" s="27">
        <v>0.59396300000000002</v>
      </c>
      <c r="L2099" s="29">
        <f t="shared" si="128"/>
        <v>0.22624060787455297</v>
      </c>
      <c r="M2099" s="29">
        <f t="shared" si="129"/>
        <v>0.1920000000000005</v>
      </c>
      <c r="N2099" s="30">
        <f t="shared" si="130"/>
        <v>0.34550676013077936</v>
      </c>
      <c r="O2099" s="31">
        <f t="shared" si="131"/>
        <v>1.1423462468485457</v>
      </c>
    </row>
    <row r="2100" spans="1:15" x14ac:dyDescent="0.25">
      <c r="A2100" t="s">
        <v>7837</v>
      </c>
      <c r="B2100" t="s">
        <v>4201</v>
      </c>
      <c r="C2100" s="3" t="s">
        <v>4202</v>
      </c>
      <c r="D2100" s="24">
        <v>0.45161099999999998</v>
      </c>
      <c r="E2100" s="25">
        <v>10.52</v>
      </c>
      <c r="F2100" s="25">
        <v>10.76</v>
      </c>
      <c r="G2100" s="26">
        <v>-0.2429</v>
      </c>
      <c r="H2100" s="27">
        <v>0.30180000000000001</v>
      </c>
      <c r="I2100" s="26">
        <v>0.80489999999999995</v>
      </c>
      <c r="J2100" s="28">
        <v>6</v>
      </c>
      <c r="K2100" s="27">
        <v>0.594051</v>
      </c>
      <c r="L2100" s="29">
        <f t="shared" si="128"/>
        <v>0.22617626870939606</v>
      </c>
      <c r="M2100" s="29">
        <f t="shared" si="129"/>
        <v>-0.24000000000000041</v>
      </c>
      <c r="N2100" s="30">
        <f t="shared" si="130"/>
        <v>0.34523548840092211</v>
      </c>
      <c r="O2100" s="31">
        <f t="shared" si="131"/>
        <v>0.84674531236252693</v>
      </c>
    </row>
    <row r="2101" spans="1:15" x14ac:dyDescent="0.25">
      <c r="A2101" t="s">
        <v>7838</v>
      </c>
      <c r="B2101" t="s">
        <v>4209</v>
      </c>
      <c r="C2101" s="3" t="s">
        <v>4210</v>
      </c>
      <c r="D2101" s="24">
        <v>0.45340399999999997</v>
      </c>
      <c r="E2101" s="25">
        <v>9.58</v>
      </c>
      <c r="F2101" s="25">
        <v>9.4960000000000004</v>
      </c>
      <c r="G2101" s="26">
        <v>8.498E-2</v>
      </c>
      <c r="H2101" s="27">
        <v>0.106</v>
      </c>
      <c r="I2101" s="26">
        <v>0.80149999999999999</v>
      </c>
      <c r="J2101" s="28">
        <v>6</v>
      </c>
      <c r="K2101" s="27">
        <v>0.59473399999999998</v>
      </c>
      <c r="L2101" s="29">
        <f t="shared" si="128"/>
        <v>0.22567723286392768</v>
      </c>
      <c r="M2101" s="29">
        <f t="shared" si="129"/>
        <v>8.3999999999999617E-2</v>
      </c>
      <c r="N2101" s="30">
        <f t="shared" si="130"/>
        <v>0.34351465277971588</v>
      </c>
      <c r="O2101" s="31">
        <f t="shared" si="131"/>
        <v>1.0599527833972815</v>
      </c>
    </row>
    <row r="2102" spans="1:15" x14ac:dyDescent="0.25">
      <c r="A2102" t="s">
        <v>7839</v>
      </c>
      <c r="B2102" t="s">
        <v>4205</v>
      </c>
      <c r="C2102" s="3" t="s">
        <v>4206</v>
      </c>
      <c r="D2102" s="24">
        <v>0.452766</v>
      </c>
      <c r="E2102" s="25">
        <v>8.3629999999999995</v>
      </c>
      <c r="F2102" s="25">
        <v>8.548</v>
      </c>
      <c r="G2102" s="26">
        <v>-0.1852</v>
      </c>
      <c r="H2102" s="27">
        <v>0.23080000000000001</v>
      </c>
      <c r="I2102" s="26">
        <v>0.80269999999999997</v>
      </c>
      <c r="J2102" s="28">
        <v>6</v>
      </c>
      <c r="K2102" s="27">
        <v>0.59473399999999998</v>
      </c>
      <c r="L2102" s="29">
        <f t="shared" si="128"/>
        <v>0.22567723286392768</v>
      </c>
      <c r="M2102" s="29">
        <f t="shared" si="129"/>
        <v>-0.18500000000000014</v>
      </c>
      <c r="N2102" s="30">
        <f t="shared" si="130"/>
        <v>0.34412619349555823</v>
      </c>
      <c r="O2102" s="31">
        <f t="shared" si="131"/>
        <v>0.87964907592243557</v>
      </c>
    </row>
    <row r="2103" spans="1:15" x14ac:dyDescent="0.25">
      <c r="A2103" t="s">
        <v>7840</v>
      </c>
      <c r="B2103" t="s">
        <v>4211</v>
      </c>
      <c r="C2103" s="3" t="s">
        <v>4212</v>
      </c>
      <c r="D2103" s="24">
        <v>0.45342199999999999</v>
      </c>
      <c r="E2103" s="25">
        <v>7.3869999999999996</v>
      </c>
      <c r="F2103" s="25">
        <v>7.048</v>
      </c>
      <c r="G2103" s="26">
        <v>0.3382</v>
      </c>
      <c r="H2103" s="27">
        <v>0.42199999999999999</v>
      </c>
      <c r="I2103" s="26">
        <v>0.80149999999999999</v>
      </c>
      <c r="J2103" s="28">
        <v>6</v>
      </c>
      <c r="K2103" s="27">
        <v>0.59473399999999998</v>
      </c>
      <c r="L2103" s="29">
        <f t="shared" si="128"/>
        <v>0.22567723286392768</v>
      </c>
      <c r="M2103" s="29">
        <f t="shared" si="129"/>
        <v>0.33899999999999969</v>
      </c>
      <c r="N2103" s="30">
        <f t="shared" si="130"/>
        <v>0.34349741176396359</v>
      </c>
      <c r="O2103" s="31">
        <f t="shared" si="131"/>
        <v>1.2648795423539367</v>
      </c>
    </row>
    <row r="2104" spans="1:15" x14ac:dyDescent="0.25">
      <c r="A2104" t="s">
        <v>7841</v>
      </c>
      <c r="B2104" t="s">
        <v>4207</v>
      </c>
      <c r="C2104" s="3" t="s">
        <v>4208</v>
      </c>
      <c r="D2104" s="24">
        <v>0.45282499999999998</v>
      </c>
      <c r="E2104" s="25">
        <v>8.5519999999999996</v>
      </c>
      <c r="F2104" s="25">
        <v>8.7230000000000008</v>
      </c>
      <c r="G2104" s="26">
        <v>-0.1711</v>
      </c>
      <c r="H2104" s="27">
        <v>0.21310000000000001</v>
      </c>
      <c r="I2104" s="26">
        <v>0.80259999999999998</v>
      </c>
      <c r="J2104" s="28">
        <v>6</v>
      </c>
      <c r="K2104" s="27">
        <v>0.59473399999999998</v>
      </c>
      <c r="L2104" s="29">
        <f t="shared" si="128"/>
        <v>0.22567723286392768</v>
      </c>
      <c r="M2104" s="29">
        <f t="shared" si="129"/>
        <v>-0.17100000000000176</v>
      </c>
      <c r="N2104" s="30">
        <f t="shared" si="130"/>
        <v>0.3440696042086317</v>
      </c>
      <c r="O2104" s="31">
        <f t="shared" si="131"/>
        <v>0.88822679584240383</v>
      </c>
    </row>
    <row r="2105" spans="1:15" x14ac:dyDescent="0.25">
      <c r="A2105" t="s">
        <v>7842</v>
      </c>
      <c r="B2105" t="s">
        <v>4203</v>
      </c>
      <c r="C2105" s="3" t="s">
        <v>4204</v>
      </c>
      <c r="D2105" s="24">
        <v>0.45236199999999999</v>
      </c>
      <c r="E2105" s="25">
        <v>8.2289999999999992</v>
      </c>
      <c r="F2105" s="25">
        <v>8.3439999999999994</v>
      </c>
      <c r="G2105" s="26">
        <v>-0.1159</v>
      </c>
      <c r="H2105" s="27">
        <v>0.14419999999999999</v>
      </c>
      <c r="I2105" s="26">
        <v>0.8034</v>
      </c>
      <c r="J2105" s="28">
        <v>6</v>
      </c>
      <c r="K2105" s="27">
        <v>0.59473399999999998</v>
      </c>
      <c r="L2105" s="29">
        <f t="shared" si="128"/>
        <v>0.22567723286392768</v>
      </c>
      <c r="M2105" s="29">
        <f t="shared" si="129"/>
        <v>-0.11499999999999991</v>
      </c>
      <c r="N2105" s="30">
        <f t="shared" si="130"/>
        <v>0.34451388447924353</v>
      </c>
      <c r="O2105" s="31">
        <f t="shared" si="131"/>
        <v>0.92338231072939492</v>
      </c>
    </row>
    <row r="2106" spans="1:15" x14ac:dyDescent="0.25">
      <c r="A2106" t="s">
        <v>7843</v>
      </c>
      <c r="B2106" t="s">
        <v>4213</v>
      </c>
      <c r="C2106" s="3" t="s">
        <v>4214</v>
      </c>
      <c r="D2106" s="24">
        <v>0.45342199999999999</v>
      </c>
      <c r="E2106" s="25">
        <v>7.3869999999999996</v>
      </c>
      <c r="F2106" s="25">
        <v>7.048</v>
      </c>
      <c r="G2106" s="26">
        <v>0.3382</v>
      </c>
      <c r="H2106" s="27">
        <v>0.42199999999999999</v>
      </c>
      <c r="I2106" s="26">
        <v>0.80149999999999999</v>
      </c>
      <c r="J2106" s="28">
        <v>6</v>
      </c>
      <c r="K2106" s="27">
        <v>0.59473399999999998</v>
      </c>
      <c r="L2106" s="29">
        <f t="shared" si="128"/>
        <v>0.22567723286392768</v>
      </c>
      <c r="M2106" s="29">
        <f t="shared" si="129"/>
        <v>0.33899999999999969</v>
      </c>
      <c r="N2106" s="30">
        <f t="shared" si="130"/>
        <v>0.34349741176396359</v>
      </c>
      <c r="O2106" s="31">
        <f t="shared" si="131"/>
        <v>1.2648795423539367</v>
      </c>
    </row>
    <row r="2107" spans="1:15" x14ac:dyDescent="0.25">
      <c r="A2107" t="s">
        <v>7844</v>
      </c>
      <c r="B2107" t="s">
        <v>4215</v>
      </c>
      <c r="C2107" s="3" t="s">
        <v>4216</v>
      </c>
      <c r="D2107" s="24">
        <v>0.45392300000000002</v>
      </c>
      <c r="E2107" s="25">
        <v>10.1</v>
      </c>
      <c r="F2107" s="25">
        <v>10.199999999999999</v>
      </c>
      <c r="G2107" s="26">
        <v>-9.6119999999999997E-2</v>
      </c>
      <c r="H2107" s="27">
        <v>0.1201</v>
      </c>
      <c r="I2107" s="26">
        <v>0.80049999999999999</v>
      </c>
      <c r="J2107" s="28">
        <v>6</v>
      </c>
      <c r="K2107" s="27">
        <v>0.595109</v>
      </c>
      <c r="L2107" s="29">
        <f t="shared" si="128"/>
        <v>0.22540348172851557</v>
      </c>
      <c r="M2107" s="29">
        <f t="shared" si="129"/>
        <v>-0.10000000000000002</v>
      </c>
      <c r="N2107" s="30">
        <f t="shared" si="130"/>
        <v>0.34301781126460396</v>
      </c>
      <c r="O2107" s="31">
        <f t="shared" si="131"/>
        <v>0.93303299153680741</v>
      </c>
    </row>
    <row r="2108" spans="1:15" x14ac:dyDescent="0.25">
      <c r="A2108" t="s">
        <v>7845</v>
      </c>
      <c r="B2108" t="s">
        <v>4217</v>
      </c>
      <c r="C2108" s="3" t="s">
        <v>4218</v>
      </c>
      <c r="D2108" s="24">
        <v>0.454702</v>
      </c>
      <c r="E2108" s="25">
        <v>7.7039999999999997</v>
      </c>
      <c r="F2108" s="25">
        <v>7.8090000000000002</v>
      </c>
      <c r="G2108" s="26">
        <v>-0.1051</v>
      </c>
      <c r="H2108" s="27">
        <v>0.13159999999999999</v>
      </c>
      <c r="I2108" s="26">
        <v>0.79910000000000003</v>
      </c>
      <c r="J2108" s="28">
        <v>6</v>
      </c>
      <c r="K2108" s="27">
        <v>0.59584800000000004</v>
      </c>
      <c r="L2108" s="29">
        <f t="shared" si="128"/>
        <v>0.22486451405240684</v>
      </c>
      <c r="M2108" s="29">
        <f t="shared" si="129"/>
        <v>-0.10499999999999952</v>
      </c>
      <c r="N2108" s="30">
        <f t="shared" si="130"/>
        <v>0.34227313555285621</v>
      </c>
      <c r="O2108" s="31">
        <f t="shared" si="131"/>
        <v>0.92980494261316216</v>
      </c>
    </row>
    <row r="2109" spans="1:15" x14ac:dyDescent="0.25">
      <c r="A2109" t="s">
        <v>7846</v>
      </c>
      <c r="B2109" t="s">
        <v>4221</v>
      </c>
      <c r="C2109" s="3" t="s">
        <v>4222</v>
      </c>
      <c r="D2109" s="24">
        <v>0.455204</v>
      </c>
      <c r="E2109" s="25">
        <v>7.4269999999999996</v>
      </c>
      <c r="F2109" s="25">
        <v>7.5380000000000003</v>
      </c>
      <c r="G2109" s="26">
        <v>-0.1108</v>
      </c>
      <c r="H2109" s="27">
        <v>0.13880000000000001</v>
      </c>
      <c r="I2109" s="26">
        <v>0.79820000000000002</v>
      </c>
      <c r="J2109" s="28">
        <v>6</v>
      </c>
      <c r="K2109" s="27">
        <v>0.59594000000000003</v>
      </c>
      <c r="L2109" s="29">
        <f t="shared" si="128"/>
        <v>0.22479746338162571</v>
      </c>
      <c r="M2109" s="29">
        <f t="shared" si="129"/>
        <v>-0.11100000000000082</v>
      </c>
      <c r="N2109" s="30">
        <f t="shared" si="130"/>
        <v>0.34179393033377808</v>
      </c>
      <c r="O2109" s="31">
        <f t="shared" si="131"/>
        <v>0.9259460225273235</v>
      </c>
    </row>
    <row r="2110" spans="1:15" x14ac:dyDescent="0.25">
      <c r="A2110" t="s">
        <v>7847</v>
      </c>
      <c r="B2110" t="s">
        <v>4219</v>
      </c>
      <c r="C2110" s="3" t="s">
        <v>4220</v>
      </c>
      <c r="D2110" s="24">
        <v>0.455179</v>
      </c>
      <c r="E2110" s="25">
        <v>6.9630000000000001</v>
      </c>
      <c r="F2110" s="25">
        <v>6.4390000000000001</v>
      </c>
      <c r="G2110" s="26">
        <v>0.52359999999999995</v>
      </c>
      <c r="H2110" s="27">
        <v>0.64700000000000002</v>
      </c>
      <c r="I2110" s="26">
        <v>0.80920000000000003</v>
      </c>
      <c r="J2110" s="28">
        <v>5</v>
      </c>
      <c r="K2110" s="27">
        <v>0.59594000000000003</v>
      </c>
      <c r="L2110" s="29">
        <f t="shared" si="128"/>
        <v>0.22479746338162571</v>
      </c>
      <c r="M2110" s="29">
        <f t="shared" si="129"/>
        <v>0.5239999999999998</v>
      </c>
      <c r="N2110" s="30">
        <f t="shared" si="130"/>
        <v>0.34181778262902157</v>
      </c>
      <c r="O2110" s="31">
        <f t="shared" si="131"/>
        <v>1.4379365328469571</v>
      </c>
    </row>
    <row r="2111" spans="1:15" x14ac:dyDescent="0.25">
      <c r="A2111" t="s">
        <v>7848</v>
      </c>
      <c r="B2111" t="s">
        <v>4223</v>
      </c>
      <c r="C2111" s="3" t="s">
        <v>4224</v>
      </c>
      <c r="D2111" s="24">
        <v>0.45541999999999999</v>
      </c>
      <c r="E2111" s="25">
        <v>10.56</v>
      </c>
      <c r="F2111" s="25">
        <v>10.52</v>
      </c>
      <c r="G2111" s="26">
        <v>4.555E-2</v>
      </c>
      <c r="H2111" s="27">
        <v>5.7099999999999998E-2</v>
      </c>
      <c r="I2111" s="26">
        <v>0.79769999999999996</v>
      </c>
      <c r="J2111" s="28">
        <v>6</v>
      </c>
      <c r="K2111" s="27">
        <v>0.59594000000000003</v>
      </c>
      <c r="L2111" s="29">
        <f t="shared" si="128"/>
        <v>0.22479746338162571</v>
      </c>
      <c r="M2111" s="29">
        <f t="shared" si="129"/>
        <v>4.0000000000000355E-2</v>
      </c>
      <c r="N2111" s="30">
        <f t="shared" si="130"/>
        <v>0.34158790103990833</v>
      </c>
      <c r="O2111" s="31">
        <f t="shared" si="131"/>
        <v>1.0281138266560668</v>
      </c>
    </row>
    <row r="2112" spans="1:15" x14ac:dyDescent="0.25">
      <c r="A2112" t="s">
        <v>7849</v>
      </c>
      <c r="B2112" t="s">
        <v>4225</v>
      </c>
      <c r="C2112" s="3" t="s">
        <v>4226</v>
      </c>
      <c r="D2112" s="24">
        <v>0.45644699999999999</v>
      </c>
      <c r="E2112" s="25">
        <v>11.63</v>
      </c>
      <c r="F2112" s="25">
        <v>11.77</v>
      </c>
      <c r="G2112" s="26">
        <v>-0.13600000000000001</v>
      </c>
      <c r="H2112" s="27">
        <v>0.1709</v>
      </c>
      <c r="I2112" s="26">
        <v>0.79579999999999995</v>
      </c>
      <c r="J2112" s="28">
        <v>6</v>
      </c>
      <c r="K2112" s="27">
        <v>0.59700200000000003</v>
      </c>
      <c r="L2112" s="29">
        <f t="shared" si="128"/>
        <v>0.22402421395018046</v>
      </c>
      <c r="M2112" s="29">
        <f t="shared" si="129"/>
        <v>-0.13999999999999768</v>
      </c>
      <c r="N2112" s="30">
        <f t="shared" si="130"/>
        <v>0.34060964297924462</v>
      </c>
      <c r="O2112" s="31">
        <f t="shared" si="131"/>
        <v>0.90751915531716232</v>
      </c>
    </row>
    <row r="2113" spans="1:15" x14ac:dyDescent="0.25">
      <c r="A2113" t="s">
        <v>7850</v>
      </c>
      <c r="B2113" t="s">
        <v>4227</v>
      </c>
      <c r="C2113" s="3" t="s">
        <v>4228</v>
      </c>
      <c r="D2113" s="24">
        <v>0.456841</v>
      </c>
      <c r="E2113" s="25">
        <v>9.5069999999999997</v>
      </c>
      <c r="F2113" s="25">
        <v>9.3800000000000008</v>
      </c>
      <c r="G2113" s="26">
        <v>0.12659999999999999</v>
      </c>
      <c r="H2113" s="27">
        <v>0.15920000000000001</v>
      </c>
      <c r="I2113" s="26">
        <v>0.79510000000000003</v>
      </c>
      <c r="J2113" s="28">
        <v>6</v>
      </c>
      <c r="K2113" s="27">
        <v>0.59723400000000004</v>
      </c>
      <c r="L2113" s="29">
        <f t="shared" si="128"/>
        <v>0.22385547624495458</v>
      </c>
      <c r="M2113" s="29">
        <f t="shared" si="129"/>
        <v>0.12699999999999853</v>
      </c>
      <c r="N2113" s="30">
        <f t="shared" si="130"/>
        <v>0.34023492649006426</v>
      </c>
      <c r="O2113" s="31">
        <f t="shared" si="131"/>
        <v>1.0920205457456509</v>
      </c>
    </row>
    <row r="2114" spans="1:15" x14ac:dyDescent="0.25">
      <c r="A2114" t="s">
        <v>7851</v>
      </c>
      <c r="B2114" t="s">
        <v>4229</v>
      </c>
      <c r="C2114" s="3" t="s">
        <v>4230</v>
      </c>
      <c r="D2114" s="24">
        <v>0.45706200000000002</v>
      </c>
      <c r="E2114" s="25">
        <v>8.8089999999999993</v>
      </c>
      <c r="F2114" s="25">
        <v>8.6989999999999998</v>
      </c>
      <c r="G2114" s="26">
        <v>0.11070000000000001</v>
      </c>
      <c r="H2114" s="27">
        <v>0.13930000000000001</v>
      </c>
      <c r="I2114" s="26">
        <v>0.79469999999999996</v>
      </c>
      <c r="J2114" s="28">
        <v>6</v>
      </c>
      <c r="K2114" s="27">
        <v>0.59723999999999999</v>
      </c>
      <c r="L2114" s="29">
        <f t="shared" ref="L2114:L2177" si="132">-LOG(K2114,10)</f>
        <v>0.22385111320835205</v>
      </c>
      <c r="M2114" s="29">
        <f t="shared" ref="M2114:M2177" si="133">LOG(O2114,2)</f>
        <v>0.10999999999999915</v>
      </c>
      <c r="N2114" s="30">
        <f t="shared" ref="N2114:N2177" si="134">-LOG(D2114,10)</f>
        <v>0.34002488432503913</v>
      </c>
      <c r="O2114" s="31">
        <f t="shared" ref="O2114:O2177" si="135">((2^E2114)/(2^F2114))</f>
        <v>1.0792282365044266</v>
      </c>
    </row>
    <row r="2115" spans="1:15" x14ac:dyDescent="0.25">
      <c r="A2115" t="s">
        <v>7852</v>
      </c>
      <c r="B2115" t="s">
        <v>4231</v>
      </c>
      <c r="C2115" s="3" t="s">
        <v>4232</v>
      </c>
      <c r="D2115" s="24">
        <v>0.45758399999999999</v>
      </c>
      <c r="E2115" s="25">
        <v>9.4920000000000009</v>
      </c>
      <c r="F2115" s="25">
        <v>9.359</v>
      </c>
      <c r="G2115" s="26">
        <v>0.1328</v>
      </c>
      <c r="H2115" s="27">
        <v>0.1673</v>
      </c>
      <c r="I2115" s="26">
        <v>0.79369999999999996</v>
      </c>
      <c r="J2115" s="28">
        <v>6</v>
      </c>
      <c r="K2115" s="27">
        <v>0.59763900000000003</v>
      </c>
      <c r="L2115" s="29">
        <f t="shared" si="132"/>
        <v>0.22356106960607913</v>
      </c>
      <c r="M2115" s="29">
        <f t="shared" si="133"/>
        <v>0.13300000000000131</v>
      </c>
      <c r="N2115" s="30">
        <f t="shared" si="134"/>
        <v>0.33952916960225737</v>
      </c>
      <c r="O2115" s="31">
        <f t="shared" si="135"/>
        <v>1.0965715885878951</v>
      </c>
    </row>
    <row r="2116" spans="1:15" x14ac:dyDescent="0.25">
      <c r="A2116" t="s">
        <v>7853</v>
      </c>
      <c r="B2116" t="s">
        <v>4233</v>
      </c>
      <c r="C2116" s="3" t="s">
        <v>4234</v>
      </c>
      <c r="D2116" s="24">
        <v>0.45863999999999999</v>
      </c>
      <c r="E2116" s="25">
        <v>11.69</v>
      </c>
      <c r="F2116" s="25">
        <v>11.83</v>
      </c>
      <c r="G2116" s="26">
        <v>-0.13830000000000001</v>
      </c>
      <c r="H2116" s="27">
        <v>0.17469999999999999</v>
      </c>
      <c r="I2116" s="26">
        <v>0.79179999999999995</v>
      </c>
      <c r="J2116" s="28">
        <v>6</v>
      </c>
      <c r="K2116" s="27">
        <v>0.59873500000000002</v>
      </c>
      <c r="L2116" s="29">
        <f t="shared" si="132"/>
        <v>0.22276535374244108</v>
      </c>
      <c r="M2116" s="29">
        <f t="shared" si="133"/>
        <v>-0.14000000000000049</v>
      </c>
      <c r="N2116" s="30">
        <f t="shared" si="134"/>
        <v>0.33852807123338108</v>
      </c>
      <c r="O2116" s="31">
        <f t="shared" si="135"/>
        <v>0.90751915531716054</v>
      </c>
    </row>
    <row r="2117" spans="1:15" x14ac:dyDescent="0.25">
      <c r="A2117" t="s">
        <v>7854</v>
      </c>
      <c r="B2117" t="s">
        <v>4235</v>
      </c>
      <c r="C2117" s="3" t="s">
        <v>4236</v>
      </c>
      <c r="D2117" s="24">
        <v>0.45985100000000001</v>
      </c>
      <c r="E2117" s="25">
        <v>8.218</v>
      </c>
      <c r="F2117" s="25">
        <v>8.0139999999999993</v>
      </c>
      <c r="G2117" s="26">
        <v>0.20480000000000001</v>
      </c>
      <c r="H2117" s="27">
        <v>0.25940000000000002</v>
      </c>
      <c r="I2117" s="26">
        <v>0.78949999999999998</v>
      </c>
      <c r="J2117" s="28">
        <v>6</v>
      </c>
      <c r="K2117" s="27">
        <v>0.59995399999999999</v>
      </c>
      <c r="L2117" s="29">
        <f t="shared" si="132"/>
        <v>0.22188204680304408</v>
      </c>
      <c r="M2117" s="29">
        <f t="shared" si="133"/>
        <v>0.20400000000000049</v>
      </c>
      <c r="N2117" s="30">
        <f t="shared" si="134"/>
        <v>0.33738286475376061</v>
      </c>
      <c r="O2117" s="31">
        <f t="shared" si="135"/>
        <v>1.151887642349358</v>
      </c>
    </row>
    <row r="2118" spans="1:15" x14ac:dyDescent="0.25">
      <c r="A2118" t="s">
        <v>7855</v>
      </c>
      <c r="B2118" t="s">
        <v>4237</v>
      </c>
      <c r="C2118" s="3" t="s">
        <v>4238</v>
      </c>
      <c r="D2118" s="24">
        <v>0.46026800000000001</v>
      </c>
      <c r="E2118" s="25">
        <v>10.72</v>
      </c>
      <c r="F2118" s="25">
        <v>10.51</v>
      </c>
      <c r="G2118" s="26">
        <v>0.21060000000000001</v>
      </c>
      <c r="H2118" s="27">
        <v>0.2671</v>
      </c>
      <c r="I2118" s="26">
        <v>0.78879999999999995</v>
      </c>
      <c r="J2118" s="28">
        <v>6</v>
      </c>
      <c r="K2118" s="27">
        <v>0.59995399999999999</v>
      </c>
      <c r="L2118" s="29">
        <f t="shared" si="132"/>
        <v>0.22188204680304408</v>
      </c>
      <c r="M2118" s="29">
        <f t="shared" si="133"/>
        <v>0.21000000000000185</v>
      </c>
      <c r="N2118" s="30">
        <f t="shared" si="134"/>
        <v>0.33698921825509565</v>
      </c>
      <c r="O2118" s="31">
        <f t="shared" si="135"/>
        <v>1.1566881839052889</v>
      </c>
    </row>
    <row r="2119" spans="1:15" x14ac:dyDescent="0.25">
      <c r="A2119" t="s">
        <v>7856</v>
      </c>
      <c r="B2119" t="s">
        <v>4239</v>
      </c>
      <c r="C2119" s="3" t="s">
        <v>4240</v>
      </c>
      <c r="D2119" s="24">
        <v>0.46040500000000001</v>
      </c>
      <c r="E2119" s="25">
        <v>9.702</v>
      </c>
      <c r="F2119" s="25">
        <v>9.5370000000000008</v>
      </c>
      <c r="G2119" s="26">
        <v>0.1656</v>
      </c>
      <c r="H2119" s="27">
        <v>0.21</v>
      </c>
      <c r="I2119" s="26">
        <v>0.78849999999999998</v>
      </c>
      <c r="J2119" s="28">
        <v>6</v>
      </c>
      <c r="K2119" s="27">
        <v>0.59995399999999999</v>
      </c>
      <c r="L2119" s="29">
        <f t="shared" si="132"/>
        <v>0.22188204680304408</v>
      </c>
      <c r="M2119" s="29">
        <f t="shared" si="133"/>
        <v>0.1649999999999992</v>
      </c>
      <c r="N2119" s="30">
        <f t="shared" si="134"/>
        <v>0.33685996857695827</v>
      </c>
      <c r="O2119" s="31">
        <f t="shared" si="135"/>
        <v>1.1211660780285082</v>
      </c>
    </row>
    <row r="2120" spans="1:15" x14ac:dyDescent="0.25">
      <c r="A2120" t="s">
        <v>7857</v>
      </c>
      <c r="B2120" t="s">
        <v>4241</v>
      </c>
      <c r="C2120" s="3" t="s">
        <v>4242</v>
      </c>
      <c r="D2120" s="24">
        <v>0.46044200000000002</v>
      </c>
      <c r="E2120" s="25">
        <v>7.8470000000000004</v>
      </c>
      <c r="F2120" s="25">
        <v>7.7149999999999999</v>
      </c>
      <c r="G2120" s="26">
        <v>0.13250000000000001</v>
      </c>
      <c r="H2120" s="27">
        <v>0.1681</v>
      </c>
      <c r="I2120" s="26">
        <v>0.78839999999999999</v>
      </c>
      <c r="J2120" s="28">
        <v>6</v>
      </c>
      <c r="K2120" s="27">
        <v>0.59995399999999999</v>
      </c>
      <c r="L2120" s="29">
        <f t="shared" si="132"/>
        <v>0.22188204680304408</v>
      </c>
      <c r="M2120" s="29">
        <f t="shared" si="133"/>
        <v>0.13200000000000067</v>
      </c>
      <c r="N2120" s="30">
        <f t="shared" si="134"/>
        <v>0.33682506832569159</v>
      </c>
      <c r="O2120" s="31">
        <f t="shared" si="135"/>
        <v>1.0958117664476914</v>
      </c>
    </row>
    <row r="2121" spans="1:15" x14ac:dyDescent="0.25">
      <c r="A2121" t="s">
        <v>7858</v>
      </c>
      <c r="B2121" t="s">
        <v>4243</v>
      </c>
      <c r="C2121" s="3" t="s">
        <v>4244</v>
      </c>
      <c r="D2121" s="24">
        <v>0.46079100000000001</v>
      </c>
      <c r="E2121" s="25">
        <v>8.73</v>
      </c>
      <c r="F2121" s="25">
        <v>9.0649999999999995</v>
      </c>
      <c r="G2121" s="26">
        <v>-0.3347</v>
      </c>
      <c r="H2121" s="27">
        <v>0.42480000000000001</v>
      </c>
      <c r="I2121" s="26">
        <v>0.78779999999999994</v>
      </c>
      <c r="J2121" s="28">
        <v>6</v>
      </c>
      <c r="K2121" s="27">
        <v>0.60012600000000005</v>
      </c>
      <c r="L2121" s="29">
        <f t="shared" si="132"/>
        <v>0.22175755735000949</v>
      </c>
      <c r="M2121" s="29">
        <f t="shared" si="133"/>
        <v>-0.33499999999999941</v>
      </c>
      <c r="N2121" s="30">
        <f t="shared" si="134"/>
        <v>0.33649601198178014</v>
      </c>
      <c r="O2121" s="31">
        <f t="shared" si="135"/>
        <v>0.7927841366102848</v>
      </c>
    </row>
    <row r="2122" spans="1:15" x14ac:dyDescent="0.25">
      <c r="A2122" t="s">
        <v>7859</v>
      </c>
      <c r="B2122" t="s">
        <v>4249</v>
      </c>
      <c r="C2122" s="3" t="s">
        <v>4250</v>
      </c>
      <c r="D2122" s="24">
        <v>0.461698</v>
      </c>
      <c r="E2122" s="25">
        <v>7.9169999999999998</v>
      </c>
      <c r="F2122" s="25">
        <v>7.4080000000000004</v>
      </c>
      <c r="G2122" s="26">
        <v>0.50890000000000002</v>
      </c>
      <c r="H2122" s="27">
        <v>0.64729999999999999</v>
      </c>
      <c r="I2122" s="26">
        <v>0.78610000000000002</v>
      </c>
      <c r="J2122" s="28">
        <v>6</v>
      </c>
      <c r="K2122" s="27">
        <v>0.60014400000000001</v>
      </c>
      <c r="L2122" s="29">
        <f t="shared" si="132"/>
        <v>0.22174453144637973</v>
      </c>
      <c r="M2122" s="29">
        <f t="shared" si="133"/>
        <v>0.50899999999999879</v>
      </c>
      <c r="N2122" s="30">
        <f t="shared" si="134"/>
        <v>0.33564200673723893</v>
      </c>
      <c r="O2122" s="31">
        <f t="shared" si="135"/>
        <v>1.4230634612345938</v>
      </c>
    </row>
    <row r="2123" spans="1:15" x14ac:dyDescent="0.25">
      <c r="A2123" t="s">
        <v>7860</v>
      </c>
      <c r="B2123" t="s">
        <v>4253</v>
      </c>
      <c r="C2123" s="3" t="s">
        <v>4254</v>
      </c>
      <c r="D2123" s="24">
        <v>0.46189200000000002</v>
      </c>
      <c r="E2123" s="25">
        <v>8.5779999999999994</v>
      </c>
      <c r="F2123" s="25">
        <v>8.6340000000000003</v>
      </c>
      <c r="G2123" s="26">
        <v>-5.6129999999999999E-2</v>
      </c>
      <c r="H2123" s="27">
        <v>7.1429999999999993E-2</v>
      </c>
      <c r="I2123" s="26">
        <v>0.78580000000000005</v>
      </c>
      <c r="J2123" s="28">
        <v>6</v>
      </c>
      <c r="K2123" s="27">
        <v>0.60014400000000001</v>
      </c>
      <c r="L2123" s="29">
        <f t="shared" si="132"/>
        <v>0.22174453144637973</v>
      </c>
      <c r="M2123" s="29">
        <f t="shared" si="133"/>
        <v>-5.6000000000000716E-2</v>
      </c>
      <c r="N2123" s="30">
        <f t="shared" si="134"/>
        <v>0.33545955969747376</v>
      </c>
      <c r="O2123" s="31">
        <f t="shared" si="135"/>
        <v>0.96192745466477425</v>
      </c>
    </row>
    <row r="2124" spans="1:15" x14ac:dyDescent="0.25">
      <c r="A2124" t="s">
        <v>7861</v>
      </c>
      <c r="B2124" t="s">
        <v>4251</v>
      </c>
      <c r="C2124" s="3" t="s">
        <v>4252</v>
      </c>
      <c r="D2124" s="24">
        <v>0.46189200000000002</v>
      </c>
      <c r="E2124" s="25">
        <v>8.5779999999999994</v>
      </c>
      <c r="F2124" s="25">
        <v>8.6340000000000003</v>
      </c>
      <c r="G2124" s="26">
        <v>-5.6129999999999999E-2</v>
      </c>
      <c r="H2124" s="27">
        <v>7.1429999999999993E-2</v>
      </c>
      <c r="I2124" s="26">
        <v>0.78580000000000005</v>
      </c>
      <c r="J2124" s="28">
        <v>6</v>
      </c>
      <c r="K2124" s="27">
        <v>0.60014400000000001</v>
      </c>
      <c r="L2124" s="29">
        <f t="shared" si="132"/>
        <v>0.22174453144637973</v>
      </c>
      <c r="M2124" s="29">
        <f t="shared" si="133"/>
        <v>-5.6000000000000716E-2</v>
      </c>
      <c r="N2124" s="30">
        <f t="shared" si="134"/>
        <v>0.33545955969747376</v>
      </c>
      <c r="O2124" s="31">
        <f t="shared" si="135"/>
        <v>0.96192745466477425</v>
      </c>
    </row>
    <row r="2125" spans="1:15" x14ac:dyDescent="0.25">
      <c r="A2125" t="s">
        <v>7862</v>
      </c>
      <c r="B2125" t="s">
        <v>4245</v>
      </c>
      <c r="C2125" s="3" t="s">
        <v>4246</v>
      </c>
      <c r="D2125" s="24">
        <v>0.46161600000000003</v>
      </c>
      <c r="E2125" s="25">
        <v>10.19</v>
      </c>
      <c r="F2125" s="25">
        <v>10.28</v>
      </c>
      <c r="G2125" s="26">
        <v>-9.1139999999999999E-2</v>
      </c>
      <c r="H2125" s="27">
        <v>0.1159</v>
      </c>
      <c r="I2125" s="26">
        <v>0.7863</v>
      </c>
      <c r="J2125" s="28">
        <v>6</v>
      </c>
      <c r="K2125" s="27">
        <v>0.60014400000000001</v>
      </c>
      <c r="L2125" s="29">
        <f t="shared" si="132"/>
        <v>0.22174453144637973</v>
      </c>
      <c r="M2125" s="29">
        <f t="shared" si="133"/>
        <v>-8.9999999999999636E-2</v>
      </c>
      <c r="N2125" s="30">
        <f t="shared" si="134"/>
        <v>0.3357191465783107</v>
      </c>
      <c r="O2125" s="31">
        <f t="shared" si="135"/>
        <v>0.93952274921401202</v>
      </c>
    </row>
    <row r="2126" spans="1:15" x14ac:dyDescent="0.25">
      <c r="A2126" t="s">
        <v>7863</v>
      </c>
      <c r="B2126" t="s">
        <v>4247</v>
      </c>
      <c r="C2126" s="3" t="s">
        <v>4248</v>
      </c>
      <c r="D2126" s="24">
        <v>0.461646</v>
      </c>
      <c r="E2126" s="25">
        <v>12.12</v>
      </c>
      <c r="F2126" s="25">
        <v>12.04</v>
      </c>
      <c r="G2126" s="26">
        <v>8.4820000000000007E-2</v>
      </c>
      <c r="H2126" s="27">
        <v>0.1079</v>
      </c>
      <c r="I2126" s="26">
        <v>0.78620000000000001</v>
      </c>
      <c r="J2126" s="28">
        <v>6</v>
      </c>
      <c r="K2126" s="27">
        <v>0.60014400000000001</v>
      </c>
      <c r="L2126" s="29">
        <f t="shared" si="132"/>
        <v>0.22174453144637973</v>
      </c>
      <c r="M2126" s="29">
        <f t="shared" si="133"/>
        <v>8.000000000000046E-2</v>
      </c>
      <c r="N2126" s="30">
        <f t="shared" si="134"/>
        <v>0.33569092309578535</v>
      </c>
      <c r="O2126" s="31">
        <f t="shared" si="135"/>
        <v>1.0570180405613807</v>
      </c>
    </row>
    <row r="2127" spans="1:15" x14ac:dyDescent="0.25">
      <c r="A2127" t="s">
        <v>7864</v>
      </c>
      <c r="B2127" t="s">
        <v>4255</v>
      </c>
      <c r="C2127" s="3" t="s">
        <v>4256</v>
      </c>
      <c r="D2127" s="24">
        <v>0.46242499999999997</v>
      </c>
      <c r="E2127" s="25">
        <v>11.96</v>
      </c>
      <c r="F2127" s="25">
        <v>12.09</v>
      </c>
      <c r="G2127" s="26">
        <v>-0.12889999999999999</v>
      </c>
      <c r="H2127" s="27">
        <v>0.1643</v>
      </c>
      <c r="I2127" s="26">
        <v>0.78480000000000005</v>
      </c>
      <c r="J2127" s="28">
        <v>6</v>
      </c>
      <c r="K2127" s="27">
        <v>0.60055499999999995</v>
      </c>
      <c r="L2127" s="29">
        <f t="shared" si="132"/>
        <v>0.22144721290270877</v>
      </c>
      <c r="M2127" s="29">
        <f t="shared" si="133"/>
        <v>-0.1299999999999987</v>
      </c>
      <c r="N2127" s="30">
        <f t="shared" si="134"/>
        <v>0.33495869476799345</v>
      </c>
      <c r="O2127" s="31">
        <f t="shared" si="135"/>
        <v>0.91383145022940138</v>
      </c>
    </row>
    <row r="2128" spans="1:15" x14ac:dyDescent="0.25">
      <c r="A2128" t="s">
        <v>7865</v>
      </c>
      <c r="B2128" t="s">
        <v>4257</v>
      </c>
      <c r="C2128" s="3" t="s">
        <v>4258</v>
      </c>
      <c r="D2128" s="24">
        <v>0.46498299999999998</v>
      </c>
      <c r="E2128" s="25">
        <v>10.02</v>
      </c>
      <c r="F2128" s="25">
        <v>9.9290000000000003</v>
      </c>
      <c r="G2128" s="26">
        <v>8.9730000000000004E-2</v>
      </c>
      <c r="H2128" s="27">
        <v>0.115</v>
      </c>
      <c r="I2128" s="26">
        <v>0.78010000000000002</v>
      </c>
      <c r="J2128" s="28">
        <v>6</v>
      </c>
      <c r="K2128" s="27">
        <v>0.60359300000000005</v>
      </c>
      <c r="L2128" s="29">
        <f t="shared" si="132"/>
        <v>0.21925580547531018</v>
      </c>
      <c r="M2128" s="29">
        <f t="shared" si="133"/>
        <v>9.1000000000000178E-2</v>
      </c>
      <c r="N2128" s="30">
        <f t="shared" si="134"/>
        <v>0.33256292483295752</v>
      </c>
      <c r="O2128" s="31">
        <f t="shared" si="135"/>
        <v>1.0651082033934178</v>
      </c>
    </row>
    <row r="2129" spans="1:15" x14ac:dyDescent="0.25">
      <c r="A2129" t="s">
        <v>7866</v>
      </c>
      <c r="B2129" t="s">
        <v>4259</v>
      </c>
      <c r="C2129" s="3" t="s">
        <v>4260</v>
      </c>
      <c r="D2129" s="24">
        <v>0.46550000000000002</v>
      </c>
      <c r="E2129" s="25">
        <v>8.3960000000000008</v>
      </c>
      <c r="F2129" s="25">
        <v>8.1820000000000004</v>
      </c>
      <c r="G2129" s="26">
        <v>0.21329999999999999</v>
      </c>
      <c r="H2129" s="27">
        <v>0.27379999999999999</v>
      </c>
      <c r="I2129" s="26">
        <v>0.7792</v>
      </c>
      <c r="J2129" s="28">
        <v>6</v>
      </c>
      <c r="K2129" s="27">
        <v>0.60397999999999996</v>
      </c>
      <c r="L2129" s="29">
        <f t="shared" si="132"/>
        <v>0.21897744222894661</v>
      </c>
      <c r="M2129" s="29">
        <f t="shared" si="133"/>
        <v>0.21400000000000094</v>
      </c>
      <c r="N2129" s="30">
        <f t="shared" si="134"/>
        <v>0.33208031468263854</v>
      </c>
      <c r="O2129" s="31">
        <f t="shared" si="135"/>
        <v>1.1598996545054352</v>
      </c>
    </row>
    <row r="2130" spans="1:15" x14ac:dyDescent="0.25">
      <c r="A2130" t="s">
        <v>7867</v>
      </c>
      <c r="B2130" t="s">
        <v>4261</v>
      </c>
      <c r="C2130" s="3" t="s">
        <v>4262</v>
      </c>
      <c r="D2130" s="24">
        <v>0.46587899999999999</v>
      </c>
      <c r="E2130" s="25">
        <v>8.5060000000000002</v>
      </c>
      <c r="F2130" s="25">
        <v>8.5920000000000005</v>
      </c>
      <c r="G2130" s="26">
        <v>-8.5970000000000005E-2</v>
      </c>
      <c r="H2130" s="27">
        <v>0.1104</v>
      </c>
      <c r="I2130" s="26">
        <v>0.77849999999999997</v>
      </c>
      <c r="J2130" s="28">
        <v>6</v>
      </c>
      <c r="K2130" s="27">
        <v>0.60418799999999995</v>
      </c>
      <c r="L2130" s="29">
        <f t="shared" si="132"/>
        <v>0.21882790465945567</v>
      </c>
      <c r="M2130" s="29">
        <f t="shared" si="133"/>
        <v>-8.6000000000000507E-2</v>
      </c>
      <c r="N2130" s="30">
        <f t="shared" si="134"/>
        <v>0.33172686540425372</v>
      </c>
      <c r="O2130" s="31">
        <f t="shared" si="135"/>
        <v>0.94213127390480844</v>
      </c>
    </row>
    <row r="2131" spans="1:15" x14ac:dyDescent="0.25">
      <c r="A2131" t="s">
        <v>7868</v>
      </c>
      <c r="B2131" t="s">
        <v>4263</v>
      </c>
      <c r="C2131" s="3" t="s">
        <v>4264</v>
      </c>
      <c r="D2131" s="24">
        <v>0.466725</v>
      </c>
      <c r="E2131" s="25">
        <v>7.9240000000000004</v>
      </c>
      <c r="F2131" s="25">
        <v>8.1199999999999992</v>
      </c>
      <c r="G2131" s="26">
        <v>-0.19689999999999999</v>
      </c>
      <c r="H2131" s="27">
        <v>0.25340000000000001</v>
      </c>
      <c r="I2131" s="26">
        <v>0.77690000000000003</v>
      </c>
      <c r="J2131" s="28">
        <v>6</v>
      </c>
      <c r="K2131" s="27">
        <v>0.60500200000000004</v>
      </c>
      <c r="L2131" s="29">
        <f t="shared" si="132"/>
        <v>0.21824318966566639</v>
      </c>
      <c r="M2131" s="29">
        <f t="shared" si="133"/>
        <v>-0.1959999999999997</v>
      </c>
      <c r="N2131" s="30">
        <f t="shared" si="134"/>
        <v>0.33093893562382937</v>
      </c>
      <c r="O2131" s="31">
        <f t="shared" si="135"/>
        <v>0.8729675911337631</v>
      </c>
    </row>
    <row r="2132" spans="1:15" x14ac:dyDescent="0.25">
      <c r="A2132" t="s">
        <v>7869</v>
      </c>
      <c r="B2132" t="s">
        <v>4265</v>
      </c>
      <c r="C2132" s="3" t="s">
        <v>4266</v>
      </c>
      <c r="D2132" s="24">
        <v>0.46698600000000001</v>
      </c>
      <c r="E2132" s="25">
        <v>7.7409999999999997</v>
      </c>
      <c r="F2132" s="25">
        <v>7.4109999999999996</v>
      </c>
      <c r="G2132" s="26">
        <v>0.32969999999999999</v>
      </c>
      <c r="H2132" s="27">
        <v>0.42459999999999998</v>
      </c>
      <c r="I2132" s="26">
        <v>0.77639999999999998</v>
      </c>
      <c r="J2132" s="28">
        <v>6</v>
      </c>
      <c r="K2132" s="27">
        <v>0.60505500000000001</v>
      </c>
      <c r="L2132" s="29">
        <f t="shared" si="132"/>
        <v>0.21820514582549097</v>
      </c>
      <c r="M2132" s="29">
        <f t="shared" si="133"/>
        <v>0.33000000000000007</v>
      </c>
      <c r="N2132" s="30">
        <f t="shared" si="134"/>
        <v>0.33069613916383467</v>
      </c>
      <c r="O2132" s="31">
        <f t="shared" si="135"/>
        <v>1.2570133745218284</v>
      </c>
    </row>
    <row r="2133" spans="1:15" x14ac:dyDescent="0.25">
      <c r="A2133" t="s">
        <v>7870</v>
      </c>
      <c r="B2133" t="s">
        <v>4267</v>
      </c>
      <c r="C2133" s="3" t="s">
        <v>4268</v>
      </c>
      <c r="D2133" s="24">
        <v>0.468918</v>
      </c>
      <c r="E2133" s="25">
        <v>10.050000000000001</v>
      </c>
      <c r="F2133" s="25">
        <v>9.9570000000000007</v>
      </c>
      <c r="G2133" s="26">
        <v>9.3689999999999996E-2</v>
      </c>
      <c r="H2133" s="27">
        <v>0.1212</v>
      </c>
      <c r="I2133" s="26">
        <v>0.77290000000000003</v>
      </c>
      <c r="J2133" s="28">
        <v>6</v>
      </c>
      <c r="K2133" s="27">
        <v>0.60705500000000001</v>
      </c>
      <c r="L2133" s="29">
        <f t="shared" si="132"/>
        <v>0.21677195947760694</v>
      </c>
      <c r="M2133" s="29">
        <f t="shared" si="133"/>
        <v>9.299999999999968E-2</v>
      </c>
      <c r="N2133" s="30">
        <f t="shared" si="134"/>
        <v>0.3289030960079326</v>
      </c>
      <c r="O2133" s="31">
        <f t="shared" si="135"/>
        <v>1.0665857808317643</v>
      </c>
    </row>
    <row r="2134" spans="1:15" x14ac:dyDescent="0.25">
      <c r="A2134" t="s">
        <v>7871</v>
      </c>
      <c r="B2134" t="s">
        <v>4269</v>
      </c>
      <c r="C2134" s="3" t="s">
        <v>4270</v>
      </c>
      <c r="D2134" s="24">
        <v>0.46896900000000002</v>
      </c>
      <c r="E2134" s="25">
        <v>9.8539999999999992</v>
      </c>
      <c r="F2134" s="25">
        <v>9.8040000000000003</v>
      </c>
      <c r="G2134" s="26">
        <v>4.9509999999999998E-2</v>
      </c>
      <c r="H2134" s="27">
        <v>6.4070000000000002E-2</v>
      </c>
      <c r="I2134" s="26">
        <v>0.77280000000000004</v>
      </c>
      <c r="J2134" s="28">
        <v>6</v>
      </c>
      <c r="K2134" s="27">
        <v>0.60705500000000001</v>
      </c>
      <c r="L2134" s="29">
        <f t="shared" si="132"/>
        <v>0.21677195947760694</v>
      </c>
      <c r="M2134" s="29">
        <f t="shared" si="133"/>
        <v>4.9999999999998254E-2</v>
      </c>
      <c r="N2134" s="30">
        <f t="shared" si="134"/>
        <v>0.32885586426551816</v>
      </c>
      <c r="O2134" s="31">
        <f t="shared" si="135"/>
        <v>1.0352649238413763</v>
      </c>
    </row>
    <row r="2135" spans="1:15" x14ac:dyDescent="0.25">
      <c r="A2135" t="s">
        <v>7872</v>
      </c>
      <c r="B2135" t="s">
        <v>4271</v>
      </c>
      <c r="C2135" s="3" t="s">
        <v>4272</v>
      </c>
      <c r="D2135" s="24">
        <v>0.47013899999999997</v>
      </c>
      <c r="E2135" s="25">
        <v>8.6829999999999998</v>
      </c>
      <c r="F2135" s="25">
        <v>8.2050000000000001</v>
      </c>
      <c r="G2135" s="26">
        <v>0.47760000000000002</v>
      </c>
      <c r="H2135" s="27">
        <v>0.61970000000000003</v>
      </c>
      <c r="I2135" s="26">
        <v>0.77070000000000005</v>
      </c>
      <c r="J2135" s="28">
        <v>6</v>
      </c>
      <c r="K2135" s="27">
        <v>0.60828499999999996</v>
      </c>
      <c r="L2135" s="29">
        <f t="shared" si="132"/>
        <v>0.21589289288698466</v>
      </c>
      <c r="M2135" s="29">
        <f t="shared" si="133"/>
        <v>0.47799999999999959</v>
      </c>
      <c r="N2135" s="30">
        <f t="shared" si="134"/>
        <v>0.32777372077035805</v>
      </c>
      <c r="O2135" s="31">
        <f t="shared" si="135"/>
        <v>1.3928114806690346</v>
      </c>
    </row>
    <row r="2136" spans="1:15" x14ac:dyDescent="0.25">
      <c r="A2136" t="s">
        <v>7873</v>
      </c>
      <c r="B2136" t="s">
        <v>4273</v>
      </c>
      <c r="C2136" s="3" t="s">
        <v>4274</v>
      </c>
      <c r="D2136" s="24">
        <v>0.47159899999999999</v>
      </c>
      <c r="E2136" s="25">
        <v>7.9889999999999999</v>
      </c>
      <c r="F2136" s="25">
        <v>8.0719999999999992</v>
      </c>
      <c r="G2136" s="26">
        <v>-8.2619999999999999E-2</v>
      </c>
      <c r="H2136" s="27">
        <v>0.1076</v>
      </c>
      <c r="I2136" s="26">
        <v>0.76800000000000002</v>
      </c>
      <c r="J2136" s="28">
        <v>6</v>
      </c>
      <c r="K2136" s="27">
        <v>0.60988799999999999</v>
      </c>
      <c r="L2136" s="29">
        <f t="shared" si="132"/>
        <v>0.21474991162516974</v>
      </c>
      <c r="M2136" s="29">
        <f t="shared" si="133"/>
        <v>-8.2999999999999061E-2</v>
      </c>
      <c r="N2136" s="30">
        <f t="shared" si="134"/>
        <v>0.32642712447377281</v>
      </c>
      <c r="O2136" s="31">
        <f t="shared" si="135"/>
        <v>0.94409241915025055</v>
      </c>
    </row>
    <row r="2137" spans="1:15" x14ac:dyDescent="0.25">
      <c r="A2137" t="s">
        <v>7874</v>
      </c>
      <c r="B2137" t="s">
        <v>4275</v>
      </c>
      <c r="C2137" s="3" t="s">
        <v>4276</v>
      </c>
      <c r="D2137" s="24">
        <v>0.47218300000000002</v>
      </c>
      <c r="E2137" s="25">
        <v>8.9269999999999996</v>
      </c>
      <c r="F2137" s="25">
        <v>9.0839999999999996</v>
      </c>
      <c r="G2137" s="26">
        <v>-0.15720000000000001</v>
      </c>
      <c r="H2137" s="27">
        <v>0.2049</v>
      </c>
      <c r="I2137" s="26">
        <v>0.76700000000000002</v>
      </c>
      <c r="J2137" s="28">
        <v>6</v>
      </c>
      <c r="K2137" s="27">
        <v>0.61035799999999996</v>
      </c>
      <c r="L2137" s="29">
        <f t="shared" si="132"/>
        <v>0.21441535872913325</v>
      </c>
      <c r="M2137" s="29">
        <f t="shared" si="133"/>
        <v>-0.15699999999999975</v>
      </c>
      <c r="N2137" s="30">
        <f t="shared" si="134"/>
        <v>0.3258896528758769</v>
      </c>
      <c r="O2137" s="31">
        <f t="shared" si="135"/>
        <v>0.89688815966201496</v>
      </c>
    </row>
    <row r="2138" spans="1:15" x14ac:dyDescent="0.25">
      <c r="A2138" t="s">
        <v>7875</v>
      </c>
      <c r="B2138" t="s">
        <v>4277</v>
      </c>
      <c r="C2138" s="3" t="s">
        <v>4278</v>
      </c>
      <c r="D2138" s="24">
        <v>0.47263100000000002</v>
      </c>
      <c r="E2138" s="25">
        <v>9.8079999999999998</v>
      </c>
      <c r="F2138" s="25">
        <v>9.8940000000000001</v>
      </c>
      <c r="G2138" s="26">
        <v>-8.6330000000000004E-2</v>
      </c>
      <c r="H2138" s="27">
        <v>0.11269999999999999</v>
      </c>
      <c r="I2138" s="26">
        <v>0.76619999999999999</v>
      </c>
      <c r="J2138" s="28">
        <v>6</v>
      </c>
      <c r="K2138" s="27">
        <v>0.61065100000000005</v>
      </c>
      <c r="L2138" s="29">
        <f t="shared" si="132"/>
        <v>0.21420692736517088</v>
      </c>
      <c r="M2138" s="29">
        <f t="shared" si="133"/>
        <v>-8.6000000000000507E-2</v>
      </c>
      <c r="N2138" s="30">
        <f t="shared" si="134"/>
        <v>0.32547779627240953</v>
      </c>
      <c r="O2138" s="31">
        <f t="shared" si="135"/>
        <v>0.94213127390480844</v>
      </c>
    </row>
    <row r="2139" spans="1:15" x14ac:dyDescent="0.25">
      <c r="A2139" t="s">
        <v>7876</v>
      </c>
      <c r="B2139" t="s">
        <v>4279</v>
      </c>
      <c r="C2139" s="3" t="s">
        <v>4280</v>
      </c>
      <c r="D2139" s="24">
        <v>0.47361199999999998</v>
      </c>
      <c r="E2139" s="25">
        <v>8.2560000000000002</v>
      </c>
      <c r="F2139" s="25">
        <v>8.1029999999999998</v>
      </c>
      <c r="G2139" s="26">
        <v>0.15359999999999999</v>
      </c>
      <c r="H2139" s="27">
        <v>0.20100000000000001</v>
      </c>
      <c r="I2139" s="26">
        <v>0.76439999999999997</v>
      </c>
      <c r="J2139" s="28">
        <v>6</v>
      </c>
      <c r="K2139" s="27">
        <v>0.61152700000000004</v>
      </c>
      <c r="L2139" s="29">
        <f t="shared" si="132"/>
        <v>0.21358436333391509</v>
      </c>
      <c r="M2139" s="29">
        <f t="shared" si="133"/>
        <v>0.15300000000000039</v>
      </c>
      <c r="N2139" s="30">
        <f t="shared" si="134"/>
        <v>0.32457730234138776</v>
      </c>
      <c r="O2139" s="31">
        <f t="shared" si="135"/>
        <v>1.1118791575171072</v>
      </c>
    </row>
    <row r="2140" spans="1:15" x14ac:dyDescent="0.25">
      <c r="A2140" t="s">
        <v>7877</v>
      </c>
      <c r="B2140" t="s">
        <v>4281</v>
      </c>
      <c r="C2140" s="3" t="s">
        <v>4282</v>
      </c>
      <c r="D2140" s="24">
        <v>0.47375200000000001</v>
      </c>
      <c r="E2140" s="25">
        <v>10.35</v>
      </c>
      <c r="F2140" s="25">
        <v>10.25</v>
      </c>
      <c r="G2140" s="26">
        <v>9.7799999999999998E-2</v>
      </c>
      <c r="H2140" s="27">
        <v>0.128</v>
      </c>
      <c r="I2140" s="26">
        <v>0.7641</v>
      </c>
      <c r="J2140" s="28">
        <v>6</v>
      </c>
      <c r="K2140" s="27">
        <v>0.61152700000000004</v>
      </c>
      <c r="L2140" s="29">
        <f t="shared" si="132"/>
        <v>0.21358436333391509</v>
      </c>
      <c r="M2140" s="29">
        <f t="shared" si="133"/>
        <v>9.999999999999995E-2</v>
      </c>
      <c r="N2140" s="30">
        <f t="shared" si="134"/>
        <v>0.32444894359457227</v>
      </c>
      <c r="O2140" s="31">
        <f t="shared" si="135"/>
        <v>1.0717734625362931</v>
      </c>
    </row>
    <row r="2141" spans="1:15" x14ac:dyDescent="0.25">
      <c r="A2141" t="s">
        <v>7878</v>
      </c>
      <c r="B2141" t="s">
        <v>4283</v>
      </c>
      <c r="C2141" s="3" t="s">
        <v>4284</v>
      </c>
      <c r="D2141" s="24">
        <v>0.47398899999999999</v>
      </c>
      <c r="E2141" s="25">
        <v>10.25</v>
      </c>
      <c r="F2141" s="25">
        <v>10.4</v>
      </c>
      <c r="G2141" s="26">
        <v>-0.14530000000000001</v>
      </c>
      <c r="H2141" s="27">
        <v>0.1903</v>
      </c>
      <c r="I2141" s="26">
        <v>0.76370000000000005</v>
      </c>
      <c r="J2141" s="28">
        <v>6</v>
      </c>
      <c r="K2141" s="27">
        <v>0.61154799999999998</v>
      </c>
      <c r="L2141" s="29">
        <f t="shared" si="132"/>
        <v>0.21356944980184089</v>
      </c>
      <c r="M2141" s="29">
        <f t="shared" si="133"/>
        <v>-0.15000000000000044</v>
      </c>
      <c r="N2141" s="30">
        <f t="shared" si="134"/>
        <v>0.32423173700678809</v>
      </c>
      <c r="O2141" s="31">
        <f t="shared" si="135"/>
        <v>0.90125046261082997</v>
      </c>
    </row>
    <row r="2142" spans="1:15" x14ac:dyDescent="0.25">
      <c r="A2142" t="s">
        <v>7879</v>
      </c>
      <c r="B2142" t="s">
        <v>4285</v>
      </c>
      <c r="C2142" s="3" t="s">
        <v>4286</v>
      </c>
      <c r="D2142" s="24">
        <v>0.47461900000000001</v>
      </c>
      <c r="E2142" s="25">
        <v>8.9420000000000002</v>
      </c>
      <c r="F2142" s="25">
        <v>8.7850000000000001</v>
      </c>
      <c r="G2142" s="26">
        <v>0.15670000000000001</v>
      </c>
      <c r="H2142" s="27">
        <v>0.20549999999999999</v>
      </c>
      <c r="I2142" s="26">
        <v>0.76259999999999994</v>
      </c>
      <c r="J2142" s="28">
        <v>6</v>
      </c>
      <c r="K2142" s="27">
        <v>0.61207500000000004</v>
      </c>
      <c r="L2142" s="29">
        <f t="shared" si="132"/>
        <v>0.21319535875236822</v>
      </c>
      <c r="M2142" s="29">
        <f t="shared" si="133"/>
        <v>0.15699999999999997</v>
      </c>
      <c r="N2142" s="30">
        <f t="shared" si="134"/>
        <v>0.32365488004621962</v>
      </c>
      <c r="O2142" s="31">
        <f t="shared" si="135"/>
        <v>1.1149662187276974</v>
      </c>
    </row>
    <row r="2143" spans="1:15" x14ac:dyDescent="0.25">
      <c r="A2143" t="s">
        <v>7880</v>
      </c>
      <c r="B2143" t="s">
        <v>4287</v>
      </c>
      <c r="C2143" s="3" t="s">
        <v>4288</v>
      </c>
      <c r="D2143" s="24">
        <v>0.47539599999999999</v>
      </c>
      <c r="E2143" s="25">
        <v>10.039999999999999</v>
      </c>
      <c r="F2143" s="25">
        <v>10.11</v>
      </c>
      <c r="G2143" s="26">
        <v>-7.775E-2</v>
      </c>
      <c r="H2143" s="27">
        <v>0.1021</v>
      </c>
      <c r="I2143" s="26">
        <v>0.76119999999999999</v>
      </c>
      <c r="J2143" s="28">
        <v>6</v>
      </c>
      <c r="K2143" s="27">
        <v>0.61279099999999997</v>
      </c>
      <c r="L2143" s="29">
        <f t="shared" si="132"/>
        <v>0.21268762176814171</v>
      </c>
      <c r="M2143" s="29">
        <f t="shared" si="133"/>
        <v>-7.0000000000000076E-2</v>
      </c>
      <c r="N2143" s="30">
        <f t="shared" si="134"/>
        <v>0.32294447676273108</v>
      </c>
      <c r="O2143" s="31">
        <f t="shared" si="135"/>
        <v>0.95263799804393734</v>
      </c>
    </row>
    <row r="2144" spans="1:15" x14ac:dyDescent="0.25">
      <c r="A2144" t="s">
        <v>7881</v>
      </c>
      <c r="B2144" t="s">
        <v>4289</v>
      </c>
      <c r="C2144" s="3" t="s">
        <v>4290</v>
      </c>
      <c r="D2144" s="24">
        <v>0.475829</v>
      </c>
      <c r="E2144" s="25">
        <v>7.2679999999999998</v>
      </c>
      <c r="F2144" s="25">
        <v>7.4470000000000001</v>
      </c>
      <c r="G2144" s="26">
        <v>-0.17899999999999999</v>
      </c>
      <c r="H2144" s="27">
        <v>0.2354</v>
      </c>
      <c r="I2144" s="26">
        <v>0.76039999999999996</v>
      </c>
      <c r="J2144" s="28">
        <v>6</v>
      </c>
      <c r="K2144" s="27">
        <v>0.613062</v>
      </c>
      <c r="L2144" s="29">
        <f t="shared" si="132"/>
        <v>0.21249560232288506</v>
      </c>
      <c r="M2144" s="29">
        <f t="shared" si="133"/>
        <v>-0.17900000000000127</v>
      </c>
      <c r="N2144" s="30">
        <f t="shared" si="134"/>
        <v>0.3225490928658557</v>
      </c>
      <c r="O2144" s="31">
        <f t="shared" si="135"/>
        <v>0.88331505148146439</v>
      </c>
    </row>
    <row r="2145" spans="1:15" x14ac:dyDescent="0.25">
      <c r="A2145" t="s">
        <v>7882</v>
      </c>
      <c r="B2145" t="s">
        <v>4291</v>
      </c>
      <c r="C2145" s="3" t="s">
        <v>4292</v>
      </c>
      <c r="D2145" s="24">
        <v>0.47632999999999998</v>
      </c>
      <c r="E2145" s="25">
        <v>7.1319999999999997</v>
      </c>
      <c r="F2145" s="25">
        <v>7.48</v>
      </c>
      <c r="G2145" s="26">
        <v>-0.3478</v>
      </c>
      <c r="H2145" s="27">
        <v>0.45789999999999997</v>
      </c>
      <c r="I2145" s="26">
        <v>0.75949999999999995</v>
      </c>
      <c r="J2145" s="28">
        <v>6</v>
      </c>
      <c r="K2145" s="27">
        <v>0.61342200000000002</v>
      </c>
      <c r="L2145" s="29">
        <f t="shared" si="132"/>
        <v>0.21224065237168277</v>
      </c>
      <c r="M2145" s="29">
        <f t="shared" si="133"/>
        <v>-0.34800000000000131</v>
      </c>
      <c r="N2145" s="30">
        <f t="shared" si="134"/>
        <v>0.32209206508895455</v>
      </c>
      <c r="O2145" s="31">
        <f t="shared" si="135"/>
        <v>0.78567251666757953</v>
      </c>
    </row>
    <row r="2146" spans="1:15" x14ac:dyDescent="0.25">
      <c r="A2146" t="s">
        <v>7883</v>
      </c>
      <c r="B2146" t="s">
        <v>4293</v>
      </c>
      <c r="C2146" s="3" t="s">
        <v>4294</v>
      </c>
      <c r="D2146" s="24">
        <v>0.478713</v>
      </c>
      <c r="E2146" s="25">
        <v>9.0310000000000006</v>
      </c>
      <c r="F2146" s="25">
        <v>9.125</v>
      </c>
      <c r="G2146" s="26">
        <v>-9.4039999999999999E-2</v>
      </c>
      <c r="H2146" s="27">
        <v>0.1245</v>
      </c>
      <c r="I2146" s="26">
        <v>0.75519999999999998</v>
      </c>
      <c r="J2146" s="28">
        <v>6</v>
      </c>
      <c r="K2146" s="27">
        <v>0.61620399999999997</v>
      </c>
      <c r="L2146" s="29">
        <f t="shared" si="132"/>
        <v>0.21027548684950778</v>
      </c>
      <c r="M2146" s="29">
        <f t="shared" si="133"/>
        <v>-9.4000000000000014E-2</v>
      </c>
      <c r="N2146" s="30">
        <f t="shared" si="134"/>
        <v>0.31992477859366336</v>
      </c>
      <c r="O2146" s="31">
        <f t="shared" si="135"/>
        <v>0.93692144687242551</v>
      </c>
    </row>
    <row r="2147" spans="1:15" x14ac:dyDescent="0.25">
      <c r="A2147" t="s">
        <v>7884</v>
      </c>
      <c r="B2147" t="s">
        <v>4297</v>
      </c>
      <c r="C2147" s="3" t="s">
        <v>4298</v>
      </c>
      <c r="D2147" s="24">
        <v>0.48148099999999999</v>
      </c>
      <c r="E2147" s="25">
        <v>9.1999999999999993</v>
      </c>
      <c r="F2147" s="25">
        <v>9.3680000000000003</v>
      </c>
      <c r="G2147" s="26">
        <v>-0.1678</v>
      </c>
      <c r="H2147" s="27">
        <v>0.22370000000000001</v>
      </c>
      <c r="I2147" s="26">
        <v>0.75019999999999998</v>
      </c>
      <c r="J2147" s="28">
        <v>6</v>
      </c>
      <c r="K2147" s="27">
        <v>0.619035</v>
      </c>
      <c r="L2147" s="29">
        <f t="shared" si="132"/>
        <v>0.2082847954432927</v>
      </c>
      <c r="M2147" s="29">
        <f t="shared" si="133"/>
        <v>-0.16800000000000193</v>
      </c>
      <c r="N2147" s="30">
        <f t="shared" si="134"/>
        <v>0.31742084614684957</v>
      </c>
      <c r="O2147" s="31">
        <f t="shared" si="135"/>
        <v>0.89007573325249523</v>
      </c>
    </row>
    <row r="2148" spans="1:15" x14ac:dyDescent="0.25">
      <c r="A2148" t="s">
        <v>7885</v>
      </c>
      <c r="B2148" t="s">
        <v>4299</v>
      </c>
      <c r="C2148" s="3" t="s">
        <v>4300</v>
      </c>
      <c r="D2148" s="24">
        <v>0.48158499999999999</v>
      </c>
      <c r="E2148" s="25">
        <v>9.3960000000000008</v>
      </c>
      <c r="F2148" s="25">
        <v>9.4700000000000006</v>
      </c>
      <c r="G2148" s="26">
        <v>-7.3679999999999995E-2</v>
      </c>
      <c r="H2148" s="27">
        <v>9.8229999999999998E-2</v>
      </c>
      <c r="I2148" s="26">
        <v>0.75009999999999999</v>
      </c>
      <c r="J2148" s="28">
        <v>6</v>
      </c>
      <c r="K2148" s="27">
        <v>0.619035</v>
      </c>
      <c r="L2148" s="29">
        <f t="shared" si="132"/>
        <v>0.2082847954432927</v>
      </c>
      <c r="M2148" s="29">
        <f t="shared" si="133"/>
        <v>-7.3999999999999205E-2</v>
      </c>
      <c r="N2148" s="30">
        <f t="shared" si="134"/>
        <v>0.31732704857473404</v>
      </c>
      <c r="O2148" s="31">
        <f t="shared" si="135"/>
        <v>0.95000038287488653</v>
      </c>
    </row>
    <row r="2149" spans="1:15" x14ac:dyDescent="0.25">
      <c r="A2149" t="s">
        <v>7886</v>
      </c>
      <c r="B2149" t="s">
        <v>4295</v>
      </c>
      <c r="C2149" s="3" t="s">
        <v>4296</v>
      </c>
      <c r="D2149" s="24">
        <v>0.481323</v>
      </c>
      <c r="E2149" s="25">
        <v>11.77</v>
      </c>
      <c r="F2149" s="25">
        <v>11.84</v>
      </c>
      <c r="G2149" s="26">
        <v>-6.4879999999999993E-2</v>
      </c>
      <c r="H2149" s="27">
        <v>8.6440000000000003E-2</v>
      </c>
      <c r="I2149" s="26">
        <v>0.75049999999999994</v>
      </c>
      <c r="J2149" s="28">
        <v>6</v>
      </c>
      <c r="K2149" s="27">
        <v>0.619035</v>
      </c>
      <c r="L2149" s="29">
        <f t="shared" si="132"/>
        <v>0.2082847954432927</v>
      </c>
      <c r="M2149" s="29">
        <f t="shared" si="133"/>
        <v>-7.0000000000001422E-2</v>
      </c>
      <c r="N2149" s="30">
        <f t="shared" si="134"/>
        <v>0.31756338508261778</v>
      </c>
      <c r="O2149" s="31">
        <f t="shared" si="135"/>
        <v>0.95263799804393645</v>
      </c>
    </row>
    <row r="2150" spans="1:15" x14ac:dyDescent="0.25">
      <c r="A2150" t="s">
        <v>7887</v>
      </c>
      <c r="B2150" t="s">
        <v>4301</v>
      </c>
      <c r="C2150" s="3" t="s">
        <v>4302</v>
      </c>
      <c r="D2150" s="24">
        <v>0.48184900000000003</v>
      </c>
      <c r="E2150" s="25">
        <v>7.5970000000000004</v>
      </c>
      <c r="F2150" s="25">
        <v>7.2069999999999999</v>
      </c>
      <c r="G2150" s="26">
        <v>0.3901</v>
      </c>
      <c r="H2150" s="27">
        <v>0.52049999999999996</v>
      </c>
      <c r="I2150" s="26">
        <v>0.74960000000000004</v>
      </c>
      <c r="J2150" s="28">
        <v>6</v>
      </c>
      <c r="K2150" s="27">
        <v>0.61908600000000003</v>
      </c>
      <c r="L2150" s="29">
        <f t="shared" si="132"/>
        <v>0.20824901700388396</v>
      </c>
      <c r="M2150" s="29">
        <f t="shared" si="133"/>
        <v>0.38999999999999962</v>
      </c>
      <c r="N2150" s="30">
        <f t="shared" si="134"/>
        <v>0.31708903798741378</v>
      </c>
      <c r="O2150" s="31">
        <f t="shared" si="135"/>
        <v>1.3103934038583629</v>
      </c>
    </row>
    <row r="2151" spans="1:15" x14ac:dyDescent="0.25">
      <c r="A2151" t="s">
        <v>7888</v>
      </c>
      <c r="B2151" t="s">
        <v>4303</v>
      </c>
      <c r="C2151" s="3" t="s">
        <v>4304</v>
      </c>
      <c r="D2151" s="24">
        <v>0.482738</v>
      </c>
      <c r="E2151" s="25">
        <v>10.119999999999999</v>
      </c>
      <c r="F2151" s="25">
        <v>10.050000000000001</v>
      </c>
      <c r="G2151" s="26">
        <v>7.2349999999999998E-2</v>
      </c>
      <c r="H2151" s="27">
        <v>9.6729999999999997E-2</v>
      </c>
      <c r="I2151" s="26">
        <v>0.748</v>
      </c>
      <c r="J2151" s="28">
        <v>6</v>
      </c>
      <c r="K2151" s="27">
        <v>0.61994000000000005</v>
      </c>
      <c r="L2151" s="29">
        <f t="shared" si="132"/>
        <v>0.20765034103376301</v>
      </c>
      <c r="M2151" s="29">
        <f t="shared" si="133"/>
        <v>6.999999999999891E-2</v>
      </c>
      <c r="N2151" s="30">
        <f t="shared" si="134"/>
        <v>0.31628851319550083</v>
      </c>
      <c r="O2151" s="31">
        <f t="shared" si="135"/>
        <v>1.0497166836230665</v>
      </c>
    </row>
    <row r="2152" spans="1:15" x14ac:dyDescent="0.25">
      <c r="A2152" t="s">
        <v>7889</v>
      </c>
      <c r="B2152" t="s">
        <v>4307</v>
      </c>
      <c r="C2152" s="3" t="s">
        <v>4308</v>
      </c>
      <c r="D2152" s="24">
        <v>0.48334700000000003</v>
      </c>
      <c r="E2152" s="25">
        <v>8.6170000000000009</v>
      </c>
      <c r="F2152" s="25">
        <v>8.4649999999999999</v>
      </c>
      <c r="G2152" s="26">
        <v>0.15190000000000001</v>
      </c>
      <c r="H2152" s="27">
        <v>0.2034</v>
      </c>
      <c r="I2152" s="26">
        <v>0.74690000000000001</v>
      </c>
      <c r="J2152" s="28">
        <v>6</v>
      </c>
      <c r="K2152" s="27">
        <v>0.62014599999999998</v>
      </c>
      <c r="L2152" s="29">
        <f t="shared" si="132"/>
        <v>0.2075060531955083</v>
      </c>
      <c r="M2152" s="29">
        <f t="shared" si="133"/>
        <v>0.15200000000000174</v>
      </c>
      <c r="N2152" s="30">
        <f t="shared" si="134"/>
        <v>0.31574097260743111</v>
      </c>
      <c r="O2152" s="31">
        <f t="shared" si="135"/>
        <v>1.1111087286550949</v>
      </c>
    </row>
    <row r="2153" spans="1:15" x14ac:dyDescent="0.25">
      <c r="A2153" t="s">
        <v>7890</v>
      </c>
      <c r="B2153" t="s">
        <v>4305</v>
      </c>
      <c r="C2153" s="3" t="s">
        <v>4306</v>
      </c>
      <c r="D2153" s="24">
        <v>0.48325600000000002</v>
      </c>
      <c r="E2153" s="25">
        <v>8.8819999999999997</v>
      </c>
      <c r="F2153" s="25">
        <v>8.99</v>
      </c>
      <c r="G2153" s="26">
        <v>-0.1072</v>
      </c>
      <c r="H2153" s="27">
        <v>0.14349999999999999</v>
      </c>
      <c r="I2153" s="26">
        <v>0.74709999999999999</v>
      </c>
      <c r="J2153" s="28">
        <v>6</v>
      </c>
      <c r="K2153" s="27">
        <v>0.62014599999999998</v>
      </c>
      <c r="L2153" s="29">
        <f t="shared" si="132"/>
        <v>0.2075060531955083</v>
      </c>
      <c r="M2153" s="29">
        <f t="shared" si="133"/>
        <v>-0.10799999999999961</v>
      </c>
      <c r="N2153" s="30">
        <f t="shared" si="134"/>
        <v>0.31582274516135439</v>
      </c>
      <c r="O2153" s="31">
        <f t="shared" si="135"/>
        <v>0.92787347647128293</v>
      </c>
    </row>
    <row r="2154" spans="1:15" x14ac:dyDescent="0.25">
      <c r="A2154" t="s">
        <v>7891</v>
      </c>
      <c r="B2154" t="s">
        <v>4309</v>
      </c>
      <c r="C2154" s="3" t="s">
        <v>4310</v>
      </c>
      <c r="D2154" s="24">
        <v>0.48388500000000001</v>
      </c>
      <c r="E2154" s="25">
        <v>8.0169999999999995</v>
      </c>
      <c r="F2154" s="25">
        <v>8.2059999999999995</v>
      </c>
      <c r="G2154" s="26">
        <v>-0.18940000000000001</v>
      </c>
      <c r="H2154" s="27">
        <v>0.25390000000000001</v>
      </c>
      <c r="I2154" s="26">
        <v>0.746</v>
      </c>
      <c r="J2154" s="28">
        <v>6</v>
      </c>
      <c r="K2154" s="27">
        <v>0.62054699999999996</v>
      </c>
      <c r="L2154" s="29">
        <f t="shared" si="132"/>
        <v>0.20722531961627907</v>
      </c>
      <c r="M2154" s="29">
        <f t="shared" si="133"/>
        <v>-0.18900000000000033</v>
      </c>
      <c r="N2154" s="30">
        <f t="shared" si="134"/>
        <v>0.3152578404212335</v>
      </c>
      <c r="O2154" s="31">
        <f t="shared" si="135"/>
        <v>0.87721354873282187</v>
      </c>
    </row>
    <row r="2155" spans="1:15" x14ac:dyDescent="0.25">
      <c r="A2155" t="s">
        <v>7892</v>
      </c>
      <c r="B2155" t="s">
        <v>4311</v>
      </c>
      <c r="C2155" s="3" t="s">
        <v>4312</v>
      </c>
      <c r="D2155" s="24">
        <v>0.484788</v>
      </c>
      <c r="E2155" s="25">
        <v>8.7260000000000009</v>
      </c>
      <c r="F2155" s="25">
        <v>8.6050000000000004</v>
      </c>
      <c r="G2155" s="26">
        <v>0.12130000000000001</v>
      </c>
      <c r="H2155" s="27">
        <v>0.16289999999999999</v>
      </c>
      <c r="I2155" s="26">
        <v>0.74429999999999996</v>
      </c>
      <c r="J2155" s="28">
        <v>6</v>
      </c>
      <c r="K2155" s="27">
        <v>0.621417</v>
      </c>
      <c r="L2155" s="29">
        <f t="shared" si="132"/>
        <v>0.20661686999767837</v>
      </c>
      <c r="M2155" s="29">
        <f t="shared" si="133"/>
        <v>0.12099999999999995</v>
      </c>
      <c r="N2155" s="30">
        <f t="shared" si="134"/>
        <v>0.31444813883822864</v>
      </c>
      <c r="O2155" s="31">
        <f t="shared" si="135"/>
        <v>1.0874883908548829</v>
      </c>
    </row>
    <row r="2156" spans="1:15" x14ac:dyDescent="0.25">
      <c r="A2156" t="s">
        <v>7893</v>
      </c>
      <c r="B2156" t="s">
        <v>4313</v>
      </c>
      <c r="C2156" s="3" t="s">
        <v>4314</v>
      </c>
      <c r="D2156" s="24">
        <v>0.487014</v>
      </c>
      <c r="E2156" s="25">
        <v>11.15</v>
      </c>
      <c r="F2156" s="25">
        <v>11.29</v>
      </c>
      <c r="G2156" s="26">
        <v>-0.14069999999999999</v>
      </c>
      <c r="H2156" s="27">
        <v>0.19</v>
      </c>
      <c r="I2156" s="26">
        <v>0.74039999999999995</v>
      </c>
      <c r="J2156" s="28">
        <v>6</v>
      </c>
      <c r="K2156" s="27">
        <v>0.62398100000000001</v>
      </c>
      <c r="L2156" s="29">
        <f t="shared" si="132"/>
        <v>0.20482863422908873</v>
      </c>
      <c r="M2156" s="29">
        <f t="shared" si="133"/>
        <v>-0.1399999999999991</v>
      </c>
      <c r="N2156" s="30">
        <f t="shared" si="134"/>
        <v>0.31245855411318008</v>
      </c>
      <c r="O2156" s="31">
        <f t="shared" si="135"/>
        <v>0.90751915531716143</v>
      </c>
    </row>
    <row r="2157" spans="1:15" x14ac:dyDescent="0.25">
      <c r="A2157" t="s">
        <v>7894</v>
      </c>
      <c r="B2157" t="s">
        <v>4315</v>
      </c>
      <c r="C2157" s="3" t="s">
        <v>4316</v>
      </c>
      <c r="D2157" s="24">
        <v>0.48835099999999998</v>
      </c>
      <c r="E2157" s="25">
        <v>10.029999999999999</v>
      </c>
      <c r="F2157" s="25">
        <v>10.11</v>
      </c>
      <c r="G2157" s="26">
        <v>-8.2199999999999995E-2</v>
      </c>
      <c r="H2157" s="27">
        <v>0.1114</v>
      </c>
      <c r="I2157" s="26">
        <v>0.73799999999999999</v>
      </c>
      <c r="J2157" s="28">
        <v>6</v>
      </c>
      <c r="K2157" s="27">
        <v>0.62522100000000003</v>
      </c>
      <c r="L2157" s="29">
        <f t="shared" si="132"/>
        <v>0.20396644327128743</v>
      </c>
      <c r="M2157" s="29">
        <f t="shared" si="133"/>
        <v>-8.0000000000000529E-2</v>
      </c>
      <c r="N2157" s="30">
        <f t="shared" si="134"/>
        <v>0.31126791863622943</v>
      </c>
      <c r="O2157" s="31">
        <f t="shared" si="135"/>
        <v>0.94605764672559556</v>
      </c>
    </row>
    <row r="2158" spans="1:15" x14ac:dyDescent="0.25">
      <c r="A2158" t="s">
        <v>7895</v>
      </c>
      <c r="B2158" t="s">
        <v>4317</v>
      </c>
      <c r="C2158" s="3" t="s">
        <v>4318</v>
      </c>
      <c r="D2158" s="24">
        <v>0.48843500000000001</v>
      </c>
      <c r="E2158" s="25">
        <v>7.9989999999999997</v>
      </c>
      <c r="F2158" s="25">
        <v>7.8369999999999997</v>
      </c>
      <c r="G2158" s="26">
        <v>0.16159999999999999</v>
      </c>
      <c r="H2158" s="27">
        <v>0.219</v>
      </c>
      <c r="I2158" s="26">
        <v>0.7379</v>
      </c>
      <c r="J2158" s="28">
        <v>6</v>
      </c>
      <c r="K2158" s="27">
        <v>0.62522100000000003</v>
      </c>
      <c r="L2158" s="29">
        <f t="shared" si="132"/>
        <v>0.20396644327128743</v>
      </c>
      <c r="M2158" s="29">
        <f t="shared" si="133"/>
        <v>0.16199999999999937</v>
      </c>
      <c r="N2158" s="30">
        <f t="shared" si="134"/>
        <v>0.31119322318283471</v>
      </c>
      <c r="O2158" s="31">
        <f t="shared" si="135"/>
        <v>1.1188371010357108</v>
      </c>
    </row>
    <row r="2159" spans="1:15" x14ac:dyDescent="0.25">
      <c r="A2159" t="s">
        <v>7896</v>
      </c>
      <c r="B2159" t="s">
        <v>4319</v>
      </c>
      <c r="C2159" s="3" t="s">
        <v>4320</v>
      </c>
      <c r="D2159" s="24">
        <v>0.48988399999999999</v>
      </c>
      <c r="E2159" s="25">
        <v>8.6539999999999999</v>
      </c>
      <c r="F2159" s="25">
        <v>8.4920000000000009</v>
      </c>
      <c r="G2159" s="26">
        <v>0.16239999999999999</v>
      </c>
      <c r="H2159" s="27">
        <v>0.22090000000000001</v>
      </c>
      <c r="I2159" s="26">
        <v>0.73529999999999995</v>
      </c>
      <c r="J2159" s="28">
        <v>6</v>
      </c>
      <c r="K2159" s="27">
        <v>0.62678599999999995</v>
      </c>
      <c r="L2159" s="29">
        <f t="shared" si="132"/>
        <v>0.20288071257142687</v>
      </c>
      <c r="M2159" s="29">
        <f t="shared" si="133"/>
        <v>0.16199999999999937</v>
      </c>
      <c r="N2159" s="30">
        <f t="shared" si="134"/>
        <v>0.30990674471428464</v>
      </c>
      <c r="O2159" s="31">
        <f t="shared" si="135"/>
        <v>1.1188371010357108</v>
      </c>
    </row>
    <row r="2160" spans="1:15" x14ac:dyDescent="0.25">
      <c r="A2160" t="s">
        <v>7897</v>
      </c>
      <c r="B2160" t="s">
        <v>4321</v>
      </c>
      <c r="C2160" s="3" t="s">
        <v>4322</v>
      </c>
      <c r="D2160" s="24">
        <v>0.49112099999999997</v>
      </c>
      <c r="E2160" s="25">
        <v>9.4550000000000001</v>
      </c>
      <c r="F2160" s="25">
        <v>9.5519999999999996</v>
      </c>
      <c r="G2160" s="26">
        <v>-9.6629999999999994E-2</v>
      </c>
      <c r="H2160" s="27">
        <v>0.1318</v>
      </c>
      <c r="I2160" s="26">
        <v>0.73309999999999997</v>
      </c>
      <c r="J2160" s="28">
        <v>6</v>
      </c>
      <c r="K2160" s="27">
        <v>0.628077</v>
      </c>
      <c r="L2160" s="29">
        <f t="shared" si="132"/>
        <v>0.20198711004438183</v>
      </c>
      <c r="M2160" s="29">
        <f t="shared" si="133"/>
        <v>-9.6999999999998782E-2</v>
      </c>
      <c r="N2160" s="30">
        <f t="shared" si="134"/>
        <v>0.30881149533463365</v>
      </c>
      <c r="O2160" s="31">
        <f t="shared" si="135"/>
        <v>0.93497519775145621</v>
      </c>
    </row>
    <row r="2161" spans="1:15" x14ac:dyDescent="0.25">
      <c r="A2161" t="s">
        <v>7898</v>
      </c>
      <c r="B2161" t="s">
        <v>4323</v>
      </c>
      <c r="C2161" s="3" t="s">
        <v>4324</v>
      </c>
      <c r="D2161" s="24">
        <v>0.49174600000000002</v>
      </c>
      <c r="E2161" s="25">
        <v>10.98</v>
      </c>
      <c r="F2161" s="25">
        <v>11.04</v>
      </c>
      <c r="G2161" s="26">
        <v>-5.892E-2</v>
      </c>
      <c r="H2161" s="27">
        <v>8.0490000000000006E-2</v>
      </c>
      <c r="I2161" s="26">
        <v>0.73199999999999998</v>
      </c>
      <c r="J2161" s="28">
        <v>6</v>
      </c>
      <c r="K2161" s="27">
        <v>0.62858599999999998</v>
      </c>
      <c r="L2161" s="29">
        <f t="shared" si="132"/>
        <v>0.20163529590904494</v>
      </c>
      <c r="M2161" s="29">
        <f t="shared" si="133"/>
        <v>-5.9999999999998402E-2</v>
      </c>
      <c r="N2161" s="30">
        <f t="shared" si="134"/>
        <v>0.30825916406748261</v>
      </c>
      <c r="O2161" s="31">
        <f t="shared" si="135"/>
        <v>0.95926411932526545</v>
      </c>
    </row>
    <row r="2162" spans="1:15" x14ac:dyDescent="0.25">
      <c r="A2162" t="s">
        <v>7899</v>
      </c>
      <c r="B2162" t="s">
        <v>4325</v>
      </c>
      <c r="C2162" s="3" t="s">
        <v>4326</v>
      </c>
      <c r="D2162" s="24">
        <v>0.49206499999999997</v>
      </c>
      <c r="E2162" s="25">
        <v>8.9459999999999997</v>
      </c>
      <c r="F2162" s="25">
        <v>8.8840000000000003</v>
      </c>
      <c r="G2162" s="26">
        <v>6.2280000000000002E-2</v>
      </c>
      <c r="H2162" s="27">
        <v>8.5139999999999993E-2</v>
      </c>
      <c r="I2162" s="26">
        <v>0.73150000000000004</v>
      </c>
      <c r="J2162" s="28">
        <v>6</v>
      </c>
      <c r="K2162" s="27">
        <v>0.62862700000000005</v>
      </c>
      <c r="L2162" s="29">
        <f t="shared" si="132"/>
        <v>0.20160696964489661</v>
      </c>
      <c r="M2162" s="29">
        <f t="shared" si="133"/>
        <v>6.1999999999999188E-2</v>
      </c>
      <c r="N2162" s="30">
        <f t="shared" si="134"/>
        <v>0.30797752471890377</v>
      </c>
      <c r="O2162" s="31">
        <f t="shared" si="135"/>
        <v>1.0439119274217183</v>
      </c>
    </row>
    <row r="2163" spans="1:15" x14ac:dyDescent="0.25">
      <c r="A2163" t="s">
        <v>7900</v>
      </c>
      <c r="B2163" t="s">
        <v>4327</v>
      </c>
      <c r="C2163" s="3" t="s">
        <v>4328</v>
      </c>
      <c r="D2163" s="24">
        <v>0.49223299999999998</v>
      </c>
      <c r="E2163" s="25">
        <v>8.64</v>
      </c>
      <c r="F2163" s="25">
        <v>8.77</v>
      </c>
      <c r="G2163" s="26">
        <v>-0.13039999999999999</v>
      </c>
      <c r="H2163" s="27">
        <v>0.1784</v>
      </c>
      <c r="I2163" s="26">
        <v>0.73119999999999996</v>
      </c>
      <c r="J2163" s="28">
        <v>6</v>
      </c>
      <c r="K2163" s="27">
        <v>0.62862700000000005</v>
      </c>
      <c r="L2163" s="29">
        <f t="shared" si="132"/>
        <v>0.20160696964489661</v>
      </c>
      <c r="M2163" s="29">
        <f t="shared" si="133"/>
        <v>-0.12999999999999851</v>
      </c>
      <c r="N2163" s="30">
        <f t="shared" si="134"/>
        <v>0.30782927393780241</v>
      </c>
      <c r="O2163" s="31">
        <f t="shared" si="135"/>
        <v>0.91383145022940149</v>
      </c>
    </row>
    <row r="2164" spans="1:15" x14ac:dyDescent="0.25">
      <c r="A2164" t="s">
        <v>7901</v>
      </c>
      <c r="B2164" t="s">
        <v>4329</v>
      </c>
      <c r="C2164" s="3" t="s">
        <v>4330</v>
      </c>
      <c r="D2164" s="24">
        <v>0.49259399999999998</v>
      </c>
      <c r="E2164" s="25">
        <v>15.14</v>
      </c>
      <c r="F2164" s="25">
        <v>14.93</v>
      </c>
      <c r="G2164" s="26">
        <v>0.20830000000000001</v>
      </c>
      <c r="H2164" s="27">
        <v>0.28520000000000001</v>
      </c>
      <c r="I2164" s="26">
        <v>0.73050000000000004</v>
      </c>
      <c r="J2164" s="28">
        <v>6</v>
      </c>
      <c r="K2164" s="27">
        <v>0.62879700000000005</v>
      </c>
      <c r="L2164" s="29">
        <f t="shared" si="132"/>
        <v>0.20148953898924921</v>
      </c>
      <c r="M2164" s="29">
        <f t="shared" si="133"/>
        <v>0.2099999999999991</v>
      </c>
      <c r="N2164" s="30">
        <f t="shared" si="134"/>
        <v>0.30751088235229729</v>
      </c>
      <c r="O2164" s="31">
        <f t="shared" si="135"/>
        <v>1.1566881839052867</v>
      </c>
    </row>
    <row r="2165" spans="1:15" x14ac:dyDescent="0.25">
      <c r="A2165" t="s">
        <v>7902</v>
      </c>
      <c r="B2165" t="s">
        <v>4333</v>
      </c>
      <c r="C2165" s="3" t="s">
        <v>4334</v>
      </c>
      <c r="D2165" s="24">
        <v>0.49552099999999999</v>
      </c>
      <c r="E2165" s="25">
        <v>9.7270000000000003</v>
      </c>
      <c r="F2165" s="25">
        <v>9.8279999999999994</v>
      </c>
      <c r="G2165" s="26">
        <v>-0.10150000000000001</v>
      </c>
      <c r="H2165" s="27">
        <v>0.14000000000000001</v>
      </c>
      <c r="I2165" s="26">
        <v>0.72540000000000004</v>
      </c>
      <c r="J2165" s="28">
        <v>6</v>
      </c>
      <c r="K2165" s="27">
        <v>0.63194899999999998</v>
      </c>
      <c r="L2165" s="29">
        <f t="shared" si="132"/>
        <v>0.19931796904719726</v>
      </c>
      <c r="M2165" s="29">
        <f t="shared" si="133"/>
        <v>-0.10099999999999912</v>
      </c>
      <c r="N2165" s="30">
        <f t="shared" si="134"/>
        <v>0.30493793554628973</v>
      </c>
      <c r="O2165" s="31">
        <f t="shared" si="135"/>
        <v>0.93238648643683308</v>
      </c>
    </row>
    <row r="2166" spans="1:15" x14ac:dyDescent="0.25">
      <c r="A2166" t="s">
        <v>7903</v>
      </c>
      <c r="B2166" t="s">
        <v>4331</v>
      </c>
      <c r="C2166" s="3" t="s">
        <v>4332</v>
      </c>
      <c r="D2166" s="24">
        <v>0.49543799999999999</v>
      </c>
      <c r="E2166" s="25">
        <v>10.06</v>
      </c>
      <c r="F2166" s="25">
        <v>9.64</v>
      </c>
      <c r="G2166" s="26">
        <v>0.42049999999999998</v>
      </c>
      <c r="H2166" s="27">
        <v>0.5796</v>
      </c>
      <c r="I2166" s="26">
        <v>0.72550000000000003</v>
      </c>
      <c r="J2166" s="28">
        <v>6</v>
      </c>
      <c r="K2166" s="27">
        <v>0.63194899999999998</v>
      </c>
      <c r="L2166" s="29">
        <f t="shared" si="132"/>
        <v>0.19931796904719726</v>
      </c>
      <c r="M2166" s="29">
        <f t="shared" si="133"/>
        <v>0.41999999999999948</v>
      </c>
      <c r="N2166" s="30">
        <f t="shared" si="134"/>
        <v>0.30501068616883265</v>
      </c>
      <c r="O2166" s="31">
        <f t="shared" si="135"/>
        <v>1.3379275547861116</v>
      </c>
    </row>
    <row r="2167" spans="1:15" x14ac:dyDescent="0.25">
      <c r="A2167" t="s">
        <v>7904</v>
      </c>
      <c r="B2167" t="s">
        <v>4335</v>
      </c>
      <c r="C2167" s="3" t="s">
        <v>4336</v>
      </c>
      <c r="D2167" s="24">
        <v>0.49671999999999999</v>
      </c>
      <c r="E2167" s="25">
        <v>9.5670000000000002</v>
      </c>
      <c r="F2167" s="25">
        <v>9.5180000000000007</v>
      </c>
      <c r="G2167" s="26">
        <v>4.8669999999999998E-2</v>
      </c>
      <c r="H2167" s="27">
        <v>6.7290000000000003E-2</v>
      </c>
      <c r="I2167" s="26">
        <v>0.72330000000000005</v>
      </c>
      <c r="J2167" s="28">
        <v>6</v>
      </c>
      <c r="K2167" s="27">
        <v>0.63270499999999996</v>
      </c>
      <c r="L2167" s="29">
        <f t="shared" si="132"/>
        <v>0.198798733481693</v>
      </c>
      <c r="M2167" s="29">
        <f t="shared" si="133"/>
        <v>4.9000000000000245E-2</v>
      </c>
      <c r="N2167" s="30">
        <f t="shared" si="134"/>
        <v>0.30388835316207319</v>
      </c>
      <c r="O2167" s="31">
        <f t="shared" si="135"/>
        <v>1.0345475815189094</v>
      </c>
    </row>
    <row r="2168" spans="1:15" x14ac:dyDescent="0.25">
      <c r="A2168" t="s">
        <v>7905</v>
      </c>
      <c r="B2168" t="s">
        <v>4339</v>
      </c>
      <c r="C2168" s="3" t="s">
        <v>4340</v>
      </c>
      <c r="D2168" s="24">
        <v>0.49680099999999999</v>
      </c>
      <c r="E2168" s="25">
        <v>10.92</v>
      </c>
      <c r="F2168" s="25">
        <v>11.01</v>
      </c>
      <c r="G2168" s="26">
        <v>-9.0289999999999995E-2</v>
      </c>
      <c r="H2168" s="27">
        <v>0.1249</v>
      </c>
      <c r="I2168" s="26">
        <v>0.72309999999999997</v>
      </c>
      <c r="J2168" s="28">
        <v>6</v>
      </c>
      <c r="K2168" s="27">
        <v>0.63270499999999996</v>
      </c>
      <c r="L2168" s="29">
        <f t="shared" si="132"/>
        <v>0.198798733481693</v>
      </c>
      <c r="M2168" s="29">
        <f t="shared" si="133"/>
        <v>-8.9999999999999455E-2</v>
      </c>
      <c r="N2168" s="30">
        <f t="shared" si="134"/>
        <v>0.30381753864861627</v>
      </c>
      <c r="O2168" s="31">
        <f t="shared" si="135"/>
        <v>0.93952274921401213</v>
      </c>
    </row>
    <row r="2169" spans="1:15" x14ac:dyDescent="0.25">
      <c r="A2169" t="s">
        <v>7906</v>
      </c>
      <c r="B2169" t="s">
        <v>4337</v>
      </c>
      <c r="C2169" s="3" t="s">
        <v>4338</v>
      </c>
      <c r="D2169" s="24">
        <v>0.49672300000000003</v>
      </c>
      <c r="E2169" s="25">
        <v>9.35</v>
      </c>
      <c r="F2169" s="25">
        <v>9.4529999999999994</v>
      </c>
      <c r="G2169" s="26">
        <v>-0.10340000000000001</v>
      </c>
      <c r="H2169" s="27">
        <v>0.1429</v>
      </c>
      <c r="I2169" s="26">
        <v>0.72330000000000005</v>
      </c>
      <c r="J2169" s="28">
        <v>6</v>
      </c>
      <c r="K2169" s="27">
        <v>0.63270499999999996</v>
      </c>
      <c r="L2169" s="29">
        <f t="shared" si="132"/>
        <v>0.198798733481693</v>
      </c>
      <c r="M2169" s="29">
        <f t="shared" si="133"/>
        <v>-0.10300000000000002</v>
      </c>
      <c r="N2169" s="30">
        <f t="shared" si="134"/>
        <v>0.30388573019639575</v>
      </c>
      <c r="O2169" s="31">
        <f t="shared" si="135"/>
        <v>0.93109481983022901</v>
      </c>
    </row>
    <row r="2170" spans="1:15" x14ac:dyDescent="0.25">
      <c r="A2170" t="s">
        <v>7907</v>
      </c>
      <c r="B2170" t="s">
        <v>4341</v>
      </c>
      <c r="C2170" s="3" t="s">
        <v>4342</v>
      </c>
      <c r="D2170" s="24">
        <v>0.49791299999999999</v>
      </c>
      <c r="E2170" s="25">
        <v>6.1760000000000002</v>
      </c>
      <c r="F2170" s="25">
        <v>5.657</v>
      </c>
      <c r="G2170" s="26">
        <v>0.51890000000000003</v>
      </c>
      <c r="H2170" s="27">
        <v>0.71940000000000004</v>
      </c>
      <c r="I2170" s="26">
        <v>0.72119999999999995</v>
      </c>
      <c r="J2170" s="28">
        <v>6</v>
      </c>
      <c r="K2170" s="27">
        <v>0.63382899999999998</v>
      </c>
      <c r="L2170" s="29">
        <f t="shared" si="132"/>
        <v>0.19802789412670976</v>
      </c>
      <c r="M2170" s="29">
        <f t="shared" si="133"/>
        <v>0.51899999999999968</v>
      </c>
      <c r="N2170" s="30">
        <f t="shared" si="134"/>
        <v>0.30284653459105842</v>
      </c>
      <c r="O2170" s="31">
        <f t="shared" si="135"/>
        <v>1.4329616503730995</v>
      </c>
    </row>
    <row r="2171" spans="1:15" x14ac:dyDescent="0.25">
      <c r="A2171" t="s">
        <v>7908</v>
      </c>
      <c r="B2171" t="s">
        <v>4343</v>
      </c>
      <c r="C2171" s="3" t="s">
        <v>4344</v>
      </c>
      <c r="D2171" s="24">
        <v>0.500865</v>
      </c>
      <c r="E2171" s="25">
        <v>10.44</v>
      </c>
      <c r="F2171" s="25">
        <v>10.29</v>
      </c>
      <c r="G2171" s="26">
        <v>0.1489</v>
      </c>
      <c r="H2171" s="27">
        <v>0.20799999999999999</v>
      </c>
      <c r="I2171" s="26">
        <v>0.71609999999999996</v>
      </c>
      <c r="J2171" s="28">
        <v>6</v>
      </c>
      <c r="K2171" s="27">
        <v>0.63729400000000003</v>
      </c>
      <c r="L2171" s="29">
        <f t="shared" si="132"/>
        <v>0.1956601702996065</v>
      </c>
      <c r="M2171" s="29">
        <f t="shared" si="133"/>
        <v>0.15000000000000063</v>
      </c>
      <c r="N2171" s="30">
        <f t="shared" si="134"/>
        <v>0.30027931536168584</v>
      </c>
      <c r="O2171" s="31">
        <f t="shared" si="135"/>
        <v>1.1095694720678455</v>
      </c>
    </row>
    <row r="2172" spans="1:15" x14ac:dyDescent="0.25">
      <c r="A2172" t="s">
        <v>7909</v>
      </c>
      <c r="B2172" t="s">
        <v>4345</v>
      </c>
      <c r="C2172" s="3" t="s">
        <v>4346</v>
      </c>
      <c r="D2172" s="24">
        <v>0.50219199999999997</v>
      </c>
      <c r="E2172" s="25">
        <v>8.41</v>
      </c>
      <c r="F2172" s="25">
        <v>8.1069999999999993</v>
      </c>
      <c r="G2172" s="26">
        <v>0.30249999999999999</v>
      </c>
      <c r="H2172" s="27">
        <v>0.4239</v>
      </c>
      <c r="I2172" s="26">
        <v>0.7137</v>
      </c>
      <c r="J2172" s="28">
        <v>6</v>
      </c>
      <c r="K2172" s="27">
        <v>0.63828399999999996</v>
      </c>
      <c r="L2172" s="29">
        <f t="shared" si="132"/>
        <v>0.1949860419853634</v>
      </c>
      <c r="M2172" s="29">
        <f t="shared" si="133"/>
        <v>0.30300000000000127</v>
      </c>
      <c r="N2172" s="30">
        <f t="shared" si="134"/>
        <v>0.29913020994951733</v>
      </c>
      <c r="O2172" s="31">
        <f t="shared" si="135"/>
        <v>1.2337071698094977</v>
      </c>
    </row>
    <row r="2173" spans="1:15" x14ac:dyDescent="0.25">
      <c r="A2173" t="s">
        <v>7910</v>
      </c>
      <c r="B2173" t="s">
        <v>4347</v>
      </c>
      <c r="C2173" s="3" t="s">
        <v>4348</v>
      </c>
      <c r="D2173" s="24">
        <v>0.50235200000000002</v>
      </c>
      <c r="E2173" s="25">
        <v>11.14</v>
      </c>
      <c r="F2173" s="25">
        <v>11.23</v>
      </c>
      <c r="G2173" s="26">
        <v>-9.0910000000000005E-2</v>
      </c>
      <c r="H2173" s="27">
        <v>0.12740000000000001</v>
      </c>
      <c r="I2173" s="26">
        <v>0.71350000000000002</v>
      </c>
      <c r="J2173" s="28">
        <v>6</v>
      </c>
      <c r="K2173" s="27">
        <v>0.63828399999999996</v>
      </c>
      <c r="L2173" s="29">
        <f t="shared" si="132"/>
        <v>0.1949860419853634</v>
      </c>
      <c r="M2173" s="29">
        <f t="shared" si="133"/>
        <v>-8.9999999999999455E-2</v>
      </c>
      <c r="N2173" s="30">
        <f t="shared" si="134"/>
        <v>0.29899186435650765</v>
      </c>
      <c r="O2173" s="31">
        <f t="shared" si="135"/>
        <v>0.93952274921401213</v>
      </c>
    </row>
    <row r="2174" spans="1:15" x14ac:dyDescent="0.25">
      <c r="A2174" t="s">
        <v>7911</v>
      </c>
      <c r="B2174" t="s">
        <v>4351</v>
      </c>
      <c r="C2174" s="3" t="s">
        <v>4352</v>
      </c>
      <c r="D2174" s="24">
        <v>0.50256699999999999</v>
      </c>
      <c r="E2174" s="25">
        <v>9.0239999999999991</v>
      </c>
      <c r="F2174" s="25">
        <v>9.1869999999999994</v>
      </c>
      <c r="G2174" s="26">
        <v>-0.16270000000000001</v>
      </c>
      <c r="H2174" s="27">
        <v>0.22819999999999999</v>
      </c>
      <c r="I2174" s="26">
        <v>0.71309999999999996</v>
      </c>
      <c r="J2174" s="28">
        <v>6</v>
      </c>
      <c r="K2174" s="27">
        <v>0.63828399999999996</v>
      </c>
      <c r="L2174" s="29">
        <f t="shared" si="132"/>
        <v>0.1949860419853634</v>
      </c>
      <c r="M2174" s="29">
        <f t="shared" si="133"/>
        <v>-0.16300000000000109</v>
      </c>
      <c r="N2174" s="30">
        <f t="shared" si="134"/>
        <v>0.29880603183660537</v>
      </c>
      <c r="O2174" s="31">
        <f t="shared" si="135"/>
        <v>0.89316585235275969</v>
      </c>
    </row>
    <row r="2175" spans="1:15" x14ac:dyDescent="0.25">
      <c r="A2175" t="s">
        <v>7912</v>
      </c>
      <c r="B2175" t="s">
        <v>4349</v>
      </c>
      <c r="C2175" s="3" t="s">
        <v>4350</v>
      </c>
      <c r="D2175" s="24">
        <v>0.50239199999999995</v>
      </c>
      <c r="E2175" s="25">
        <v>10.72</v>
      </c>
      <c r="F2175" s="25">
        <v>10.81</v>
      </c>
      <c r="G2175" s="26">
        <v>-8.9319999999999997E-2</v>
      </c>
      <c r="H2175" s="27">
        <v>0.12520000000000001</v>
      </c>
      <c r="I2175" s="26">
        <v>0.71340000000000003</v>
      </c>
      <c r="J2175" s="28">
        <v>6</v>
      </c>
      <c r="K2175" s="27">
        <v>0.63828399999999996</v>
      </c>
      <c r="L2175" s="29">
        <f t="shared" si="132"/>
        <v>0.1949860419853634</v>
      </c>
      <c r="M2175" s="29">
        <f t="shared" si="133"/>
        <v>-8.9999999999999636E-2</v>
      </c>
      <c r="N2175" s="30">
        <f t="shared" si="134"/>
        <v>0.29895728484314849</v>
      </c>
      <c r="O2175" s="31">
        <f t="shared" si="135"/>
        <v>0.93952274921401202</v>
      </c>
    </row>
    <row r="2176" spans="1:15" x14ac:dyDescent="0.25">
      <c r="A2176" t="s">
        <v>7913</v>
      </c>
      <c r="B2176" t="s">
        <v>4353</v>
      </c>
      <c r="C2176" s="3" t="s">
        <v>4354</v>
      </c>
      <c r="D2176" s="24">
        <v>0.504552</v>
      </c>
      <c r="E2176" s="25">
        <v>8.4499999999999993</v>
      </c>
      <c r="F2176" s="25">
        <v>8.5030000000000001</v>
      </c>
      <c r="G2176" s="26">
        <v>-5.2249999999999998E-2</v>
      </c>
      <c r="H2176" s="27">
        <v>7.3630000000000001E-2</v>
      </c>
      <c r="I2176" s="26">
        <v>0.70960000000000001</v>
      </c>
      <c r="J2176" s="28">
        <v>6</v>
      </c>
      <c r="K2176" s="27">
        <v>0.64051000000000002</v>
      </c>
      <c r="L2176" s="29">
        <f t="shared" si="132"/>
        <v>0.19347408541825409</v>
      </c>
      <c r="M2176" s="29">
        <f t="shared" si="133"/>
        <v>-5.3000000000000637E-2</v>
      </c>
      <c r="N2176" s="30">
        <f t="shared" si="134"/>
        <v>0.29709406798151788</v>
      </c>
      <c r="O2176" s="31">
        <f t="shared" si="135"/>
        <v>0.96392980774064274</v>
      </c>
    </row>
    <row r="2177" spans="1:15" x14ac:dyDescent="0.25">
      <c r="A2177" t="s">
        <v>7914</v>
      </c>
      <c r="B2177" t="s">
        <v>4355</v>
      </c>
      <c r="C2177" s="3" t="s">
        <v>4356</v>
      </c>
      <c r="D2177" s="24">
        <v>0.50583400000000001</v>
      </c>
      <c r="E2177" s="25">
        <v>15.51</v>
      </c>
      <c r="F2177" s="25">
        <v>15.42</v>
      </c>
      <c r="G2177" s="26">
        <v>8.5559999999999997E-2</v>
      </c>
      <c r="H2177" s="27">
        <v>0.121</v>
      </c>
      <c r="I2177" s="26">
        <v>0.70740000000000003</v>
      </c>
      <c r="J2177" s="28">
        <v>6</v>
      </c>
      <c r="K2177" s="27">
        <v>0.64156599999999997</v>
      </c>
      <c r="L2177" s="29">
        <f t="shared" si="132"/>
        <v>0.19275865969216385</v>
      </c>
      <c r="M2177" s="29">
        <f t="shared" si="133"/>
        <v>8.9999999999999566E-2</v>
      </c>
      <c r="N2177" s="30">
        <f t="shared" si="134"/>
        <v>0.29599198259121962</v>
      </c>
      <c r="O2177" s="31">
        <f t="shared" si="135"/>
        <v>1.0643701824533596</v>
      </c>
    </row>
    <row r="2178" spans="1:15" x14ac:dyDescent="0.25">
      <c r="A2178" t="s">
        <v>7915</v>
      </c>
      <c r="B2178" t="s">
        <v>4357</v>
      </c>
      <c r="C2178" s="3" t="s">
        <v>4358</v>
      </c>
      <c r="D2178" s="24">
        <v>0.50584899999999999</v>
      </c>
      <c r="E2178" s="25">
        <v>8.3670000000000009</v>
      </c>
      <c r="F2178" s="25">
        <v>8.1300000000000008</v>
      </c>
      <c r="G2178" s="26">
        <v>0.2369</v>
      </c>
      <c r="H2178" s="27">
        <v>0.33489999999999998</v>
      </c>
      <c r="I2178" s="26">
        <v>0.70740000000000003</v>
      </c>
      <c r="J2178" s="28">
        <v>6</v>
      </c>
      <c r="K2178" s="27">
        <v>0.64156599999999997</v>
      </c>
      <c r="L2178" s="29">
        <f t="shared" ref="L2178:L2241" si="136">-LOG(K2178,10)</f>
        <v>0.19275865969216385</v>
      </c>
      <c r="M2178" s="29">
        <f t="shared" ref="M2178:M2241" si="137">LOG(O2178,2)</f>
        <v>0.23700000000000029</v>
      </c>
      <c r="N2178" s="30">
        <f t="shared" ref="N2178:N2241" si="138">-LOG(D2178,10)</f>
        <v>0.29597910421483292</v>
      </c>
      <c r="O2178" s="31">
        <f t="shared" ref="O2178:O2241" si="139">((2^E2178)/(2^F2178))</f>
        <v>1.1785394078116824</v>
      </c>
    </row>
    <row r="2179" spans="1:15" x14ac:dyDescent="0.25">
      <c r="A2179" t="s">
        <v>7916</v>
      </c>
      <c r="B2179" t="s">
        <v>4359</v>
      </c>
      <c r="C2179" s="3" t="s">
        <v>4360</v>
      </c>
      <c r="D2179" s="24">
        <v>0.50735799999999998</v>
      </c>
      <c r="E2179" s="25">
        <v>8.9930000000000003</v>
      </c>
      <c r="F2179" s="25">
        <v>8.8000000000000007</v>
      </c>
      <c r="G2179" s="26">
        <v>0.1925</v>
      </c>
      <c r="H2179" s="27">
        <v>0.27310000000000001</v>
      </c>
      <c r="I2179" s="26">
        <v>0.70479999999999998</v>
      </c>
      <c r="J2179" s="28">
        <v>6</v>
      </c>
      <c r="K2179" s="27">
        <v>0.64318500000000001</v>
      </c>
      <c r="L2179" s="29">
        <f t="shared" si="136"/>
        <v>0.19166409251394398</v>
      </c>
      <c r="M2179" s="29">
        <f t="shared" si="137"/>
        <v>0.19299999999999967</v>
      </c>
      <c r="N2179" s="30">
        <f t="shared" si="138"/>
        <v>0.29468548729797789</v>
      </c>
      <c r="O2179" s="31">
        <f t="shared" si="139"/>
        <v>1.1431383354140359</v>
      </c>
    </row>
    <row r="2180" spans="1:15" x14ac:dyDescent="0.25">
      <c r="A2180" t="s">
        <v>7917</v>
      </c>
      <c r="B2180" t="s">
        <v>4361</v>
      </c>
      <c r="C2180" s="3" t="s">
        <v>4362</v>
      </c>
      <c r="D2180" s="24">
        <v>0.50895900000000005</v>
      </c>
      <c r="E2180" s="25">
        <v>9.3149999999999995</v>
      </c>
      <c r="F2180" s="25">
        <v>9.3870000000000005</v>
      </c>
      <c r="G2180" s="26">
        <v>-7.2209999999999996E-2</v>
      </c>
      <c r="H2180" s="27">
        <v>0.10290000000000001</v>
      </c>
      <c r="I2180" s="26">
        <v>0.70199999999999996</v>
      </c>
      <c r="J2180" s="28">
        <v>6</v>
      </c>
      <c r="K2180" s="27">
        <v>0.64491900000000002</v>
      </c>
      <c r="L2180" s="29">
        <f t="shared" si="136"/>
        <v>0.19049482809660978</v>
      </c>
      <c r="M2180" s="29">
        <f t="shared" si="137"/>
        <v>-7.2000000000000952E-2</v>
      </c>
      <c r="N2180" s="30">
        <f t="shared" si="138"/>
        <v>0.29331720153541613</v>
      </c>
      <c r="O2180" s="31">
        <f t="shared" si="139"/>
        <v>0.95131827633179855</v>
      </c>
    </row>
    <row r="2181" spans="1:15" x14ac:dyDescent="0.25">
      <c r="A2181" t="s">
        <v>7918</v>
      </c>
      <c r="B2181" t="s">
        <v>4367</v>
      </c>
      <c r="C2181" s="3" t="s">
        <v>4368</v>
      </c>
      <c r="D2181" s="24">
        <v>0.51137500000000002</v>
      </c>
      <c r="E2181" s="25">
        <v>9.5459999999999994</v>
      </c>
      <c r="F2181" s="25">
        <v>9.6359999999999992</v>
      </c>
      <c r="G2181" s="26">
        <v>-8.9349999999999999E-2</v>
      </c>
      <c r="H2181" s="27">
        <v>0.128</v>
      </c>
      <c r="I2181" s="26">
        <v>0.69789999999999996</v>
      </c>
      <c r="J2181" s="28">
        <v>6</v>
      </c>
      <c r="K2181" s="27">
        <v>0.64708900000000003</v>
      </c>
      <c r="L2181" s="29">
        <f t="shared" si="136"/>
        <v>0.18903598277693534</v>
      </c>
      <c r="M2181" s="29">
        <f t="shared" si="137"/>
        <v>-8.9999999999999636E-2</v>
      </c>
      <c r="N2181" s="30">
        <f t="shared" si="138"/>
        <v>0.2912605074935698</v>
      </c>
      <c r="O2181" s="31">
        <f t="shared" si="139"/>
        <v>0.93952274921401202</v>
      </c>
    </row>
    <row r="2182" spans="1:15" x14ac:dyDescent="0.25">
      <c r="A2182" t="s">
        <v>7919</v>
      </c>
      <c r="B2182" t="s">
        <v>4365</v>
      </c>
      <c r="C2182" s="3" t="s">
        <v>4366</v>
      </c>
      <c r="D2182" s="24">
        <v>0.51125600000000004</v>
      </c>
      <c r="E2182" s="25">
        <v>13.28</v>
      </c>
      <c r="F2182" s="25">
        <v>13.35</v>
      </c>
      <c r="G2182" s="26">
        <v>-6.8669999999999995E-2</v>
      </c>
      <c r="H2182" s="27">
        <v>9.8369999999999999E-2</v>
      </c>
      <c r="I2182" s="26">
        <v>0.69810000000000005</v>
      </c>
      <c r="J2182" s="28">
        <v>6</v>
      </c>
      <c r="K2182" s="27">
        <v>0.64708900000000003</v>
      </c>
      <c r="L2182" s="29">
        <f t="shared" si="136"/>
        <v>0.18903598277693534</v>
      </c>
      <c r="M2182" s="29">
        <f t="shared" si="137"/>
        <v>-6.9999999999999063E-2</v>
      </c>
      <c r="N2182" s="30">
        <f t="shared" si="138"/>
        <v>0.29136158215995434</v>
      </c>
      <c r="O2182" s="31">
        <f t="shared" si="139"/>
        <v>0.95263799804393801</v>
      </c>
    </row>
    <row r="2183" spans="1:15" x14ac:dyDescent="0.25">
      <c r="A2183" t="s">
        <v>7920</v>
      </c>
      <c r="B2183" t="s">
        <v>4363</v>
      </c>
      <c r="C2183" s="3" t="s">
        <v>4364</v>
      </c>
      <c r="D2183" s="24">
        <v>0.511015</v>
      </c>
      <c r="E2183" s="25">
        <v>10.9</v>
      </c>
      <c r="F2183" s="25">
        <v>10.99</v>
      </c>
      <c r="G2183" s="26">
        <v>-8.7929999999999994E-2</v>
      </c>
      <c r="H2183" s="27">
        <v>0.12590000000000001</v>
      </c>
      <c r="I2183" s="26">
        <v>0.69850000000000001</v>
      </c>
      <c r="J2183" s="28">
        <v>6</v>
      </c>
      <c r="K2183" s="27">
        <v>0.64708900000000003</v>
      </c>
      <c r="L2183" s="29">
        <f t="shared" si="136"/>
        <v>0.18903598277693534</v>
      </c>
      <c r="M2183" s="29">
        <f t="shared" si="137"/>
        <v>-8.9999999999999636E-2</v>
      </c>
      <c r="N2183" s="30">
        <f t="shared" si="138"/>
        <v>0.2915663516820825</v>
      </c>
      <c r="O2183" s="31">
        <f t="shared" si="139"/>
        <v>0.93952274921401202</v>
      </c>
    </row>
    <row r="2184" spans="1:15" x14ac:dyDescent="0.25">
      <c r="A2184" t="s">
        <v>7921</v>
      </c>
      <c r="B2184" t="s">
        <v>4369</v>
      </c>
      <c r="C2184" s="3" t="s">
        <v>4370</v>
      </c>
      <c r="D2184" s="24">
        <v>0.51229400000000003</v>
      </c>
      <c r="E2184" s="25">
        <v>8.7260000000000009</v>
      </c>
      <c r="F2184" s="25">
        <v>9.0220000000000002</v>
      </c>
      <c r="G2184" s="26">
        <v>-0.29620000000000002</v>
      </c>
      <c r="H2184" s="27">
        <v>0.4254</v>
      </c>
      <c r="I2184" s="26">
        <v>0.69630000000000003</v>
      </c>
      <c r="J2184" s="28">
        <v>6</v>
      </c>
      <c r="K2184" s="27">
        <v>0.64774900000000002</v>
      </c>
      <c r="L2184" s="29">
        <f t="shared" si="136"/>
        <v>0.18859324880885642</v>
      </c>
      <c r="M2184" s="29">
        <f t="shared" si="137"/>
        <v>-0.29599999999999949</v>
      </c>
      <c r="N2184" s="30">
        <f t="shared" si="138"/>
        <v>0.29048073056158735</v>
      </c>
      <c r="O2184" s="31">
        <f t="shared" si="139"/>
        <v>0.81450756307021566</v>
      </c>
    </row>
    <row r="2185" spans="1:15" x14ac:dyDescent="0.25">
      <c r="A2185" t="s">
        <v>7922</v>
      </c>
      <c r="B2185" t="s">
        <v>4371</v>
      </c>
      <c r="C2185" s="3" t="s">
        <v>4372</v>
      </c>
      <c r="D2185" s="24">
        <v>0.51236499999999996</v>
      </c>
      <c r="E2185" s="25">
        <v>8.8450000000000006</v>
      </c>
      <c r="F2185" s="25">
        <v>8.7799999999999994</v>
      </c>
      <c r="G2185" s="26">
        <v>6.4990000000000006E-2</v>
      </c>
      <c r="H2185" s="27">
        <v>9.3350000000000002E-2</v>
      </c>
      <c r="I2185" s="26">
        <v>0.69620000000000004</v>
      </c>
      <c r="J2185" s="28">
        <v>6</v>
      </c>
      <c r="K2185" s="27">
        <v>0.64774900000000002</v>
      </c>
      <c r="L2185" s="29">
        <f t="shared" si="136"/>
        <v>0.18859324880885642</v>
      </c>
      <c r="M2185" s="29">
        <f t="shared" si="137"/>
        <v>6.5000000000001709E-2</v>
      </c>
      <c r="N2185" s="30">
        <f t="shared" si="138"/>
        <v>0.29042054486417102</v>
      </c>
      <c r="O2185" s="31">
        <f t="shared" si="139"/>
        <v>1.0460849397925305</v>
      </c>
    </row>
    <row r="2186" spans="1:15" x14ac:dyDescent="0.25">
      <c r="A2186" t="s">
        <v>7923</v>
      </c>
      <c r="B2186" t="s">
        <v>4373</v>
      </c>
      <c r="C2186" s="3" t="s">
        <v>4374</v>
      </c>
      <c r="D2186" s="24">
        <v>0.51354999999999995</v>
      </c>
      <c r="E2186" s="25">
        <v>9.7439999999999998</v>
      </c>
      <c r="F2186" s="25">
        <v>9.6300000000000008</v>
      </c>
      <c r="G2186" s="26">
        <v>0.11360000000000001</v>
      </c>
      <c r="H2186" s="27">
        <v>0.16370000000000001</v>
      </c>
      <c r="I2186" s="26">
        <v>0.69420000000000004</v>
      </c>
      <c r="J2186" s="28">
        <v>6</v>
      </c>
      <c r="K2186" s="27">
        <v>0.64895000000000003</v>
      </c>
      <c r="L2186" s="29">
        <f t="shared" si="136"/>
        <v>0.18778876323138219</v>
      </c>
      <c r="M2186" s="29">
        <f t="shared" si="137"/>
        <v>0.11399999999999827</v>
      </c>
      <c r="N2186" s="30">
        <f t="shared" si="138"/>
        <v>0.2894172664445574</v>
      </c>
      <c r="O2186" s="31">
        <f t="shared" si="139"/>
        <v>1.0822246445257135</v>
      </c>
    </row>
    <row r="2187" spans="1:15" x14ac:dyDescent="0.25">
      <c r="A2187" t="s">
        <v>7924</v>
      </c>
      <c r="B2187" t="s">
        <v>4377</v>
      </c>
      <c r="C2187" s="3" t="s">
        <v>4378</v>
      </c>
      <c r="D2187" s="24">
        <v>0.51427500000000004</v>
      </c>
      <c r="E2187" s="25">
        <v>8.5090000000000003</v>
      </c>
      <c r="F2187" s="25">
        <v>8.6940000000000008</v>
      </c>
      <c r="G2187" s="26">
        <v>-0.18490000000000001</v>
      </c>
      <c r="H2187" s="27">
        <v>0.26690000000000003</v>
      </c>
      <c r="I2187" s="26">
        <v>0.69289999999999996</v>
      </c>
      <c r="J2187" s="28">
        <v>6</v>
      </c>
      <c r="K2187" s="27">
        <v>0.64927299999999999</v>
      </c>
      <c r="L2187" s="29">
        <f t="shared" si="136"/>
        <v>0.18757265687592675</v>
      </c>
      <c r="M2187" s="29">
        <f t="shared" si="137"/>
        <v>-0.18500000000000141</v>
      </c>
      <c r="N2187" s="30">
        <f t="shared" si="138"/>
        <v>0.28880458714292512</v>
      </c>
      <c r="O2187" s="31">
        <f t="shared" si="139"/>
        <v>0.8796490759224348</v>
      </c>
    </row>
    <row r="2188" spans="1:15" x14ac:dyDescent="0.25">
      <c r="A2188" t="s">
        <v>7925</v>
      </c>
      <c r="B2188" t="s">
        <v>4375</v>
      </c>
      <c r="C2188" s="3" t="s">
        <v>4376</v>
      </c>
      <c r="D2188" s="24">
        <v>0.51414899999999997</v>
      </c>
      <c r="E2188" s="25">
        <v>6.3330000000000002</v>
      </c>
      <c r="F2188" s="25">
        <v>5.8230000000000004</v>
      </c>
      <c r="G2188" s="26">
        <v>0.51060000000000005</v>
      </c>
      <c r="H2188" s="27">
        <v>0.73670000000000002</v>
      </c>
      <c r="I2188" s="26">
        <v>0.69310000000000005</v>
      </c>
      <c r="J2188" s="28">
        <v>6</v>
      </c>
      <c r="K2188" s="27">
        <v>0.64927299999999999</v>
      </c>
      <c r="L2188" s="29">
        <f t="shared" si="136"/>
        <v>0.18757265687592675</v>
      </c>
      <c r="M2188" s="29">
        <f t="shared" si="137"/>
        <v>0.50999999999999923</v>
      </c>
      <c r="N2188" s="30">
        <f t="shared" si="138"/>
        <v>0.28891100454468477</v>
      </c>
      <c r="O2188" s="31">
        <f t="shared" si="139"/>
        <v>1.424050195597071</v>
      </c>
    </row>
    <row r="2189" spans="1:15" x14ac:dyDescent="0.25">
      <c r="A2189" t="s">
        <v>7926</v>
      </c>
      <c r="B2189" t="s">
        <v>4379</v>
      </c>
      <c r="C2189" s="3" t="s">
        <v>4380</v>
      </c>
      <c r="D2189" s="24">
        <v>0.51488100000000003</v>
      </c>
      <c r="E2189" s="25">
        <v>10.93</v>
      </c>
      <c r="F2189" s="25">
        <v>10.84</v>
      </c>
      <c r="G2189" s="26">
        <v>8.8669999999999999E-2</v>
      </c>
      <c r="H2189" s="27">
        <v>0.12820000000000001</v>
      </c>
      <c r="I2189" s="26">
        <v>0.69189999999999996</v>
      </c>
      <c r="J2189" s="28">
        <v>6</v>
      </c>
      <c r="K2189" s="27">
        <v>0.64974100000000001</v>
      </c>
      <c r="L2189" s="29">
        <f t="shared" si="136"/>
        <v>0.1872597274905245</v>
      </c>
      <c r="M2189" s="29">
        <f t="shared" si="137"/>
        <v>9.0000000000000774E-2</v>
      </c>
      <c r="N2189" s="30">
        <f t="shared" si="138"/>
        <v>0.28829313409508683</v>
      </c>
      <c r="O2189" s="31">
        <f t="shared" si="139"/>
        <v>1.0643701824533605</v>
      </c>
    </row>
    <row r="2190" spans="1:15" x14ac:dyDescent="0.25">
      <c r="A2190" t="s">
        <v>7927</v>
      </c>
      <c r="B2190" t="s">
        <v>4381</v>
      </c>
      <c r="C2190" s="3" t="s">
        <v>4382</v>
      </c>
      <c r="D2190" s="24">
        <v>0.51544900000000005</v>
      </c>
      <c r="E2190" s="25">
        <v>11.66</v>
      </c>
      <c r="F2190" s="25">
        <v>11.79</v>
      </c>
      <c r="G2190" s="26">
        <v>-0.12720000000000001</v>
      </c>
      <c r="H2190" s="27">
        <v>0.18410000000000001</v>
      </c>
      <c r="I2190" s="26">
        <v>0.69089999999999996</v>
      </c>
      <c r="J2190" s="28">
        <v>6</v>
      </c>
      <c r="K2190" s="27">
        <v>0.65015999999999996</v>
      </c>
      <c r="L2190" s="29">
        <f t="shared" si="136"/>
        <v>0.18697975325522576</v>
      </c>
      <c r="M2190" s="29">
        <f t="shared" si="137"/>
        <v>-0.13000000000000114</v>
      </c>
      <c r="N2190" s="30">
        <f t="shared" si="138"/>
        <v>0.28781429859440172</v>
      </c>
      <c r="O2190" s="31">
        <f t="shared" si="139"/>
        <v>0.91383145022939982</v>
      </c>
    </row>
    <row r="2191" spans="1:15" x14ac:dyDescent="0.25">
      <c r="A2191" t="s">
        <v>7928</v>
      </c>
      <c r="B2191" t="s">
        <v>4383</v>
      </c>
      <c r="C2191" s="3" t="s">
        <v>4384</v>
      </c>
      <c r="D2191" s="24">
        <v>0.51794799999999996</v>
      </c>
      <c r="E2191" s="25">
        <v>11.52</v>
      </c>
      <c r="F2191" s="25">
        <v>11.58</v>
      </c>
      <c r="G2191" s="26">
        <v>-5.9889999999999999E-2</v>
      </c>
      <c r="H2191" s="27">
        <v>8.7220000000000006E-2</v>
      </c>
      <c r="I2191" s="26">
        <v>0.68659999999999999</v>
      </c>
      <c r="J2191" s="28">
        <v>6</v>
      </c>
      <c r="K2191" s="27">
        <v>0.65301500000000001</v>
      </c>
      <c r="L2191" s="29">
        <f t="shared" si="136"/>
        <v>0.18507684270286071</v>
      </c>
      <c r="M2191" s="29">
        <f t="shared" si="137"/>
        <v>-6.0000000000001073E-2</v>
      </c>
      <c r="N2191" s="30">
        <f t="shared" si="138"/>
        <v>0.28571383957264385</v>
      </c>
      <c r="O2191" s="31">
        <f t="shared" si="139"/>
        <v>0.95926411932526368</v>
      </c>
    </row>
    <row r="2192" spans="1:15" x14ac:dyDescent="0.25">
      <c r="A2192" t="s">
        <v>7929</v>
      </c>
      <c r="B2192" t="s">
        <v>4385</v>
      </c>
      <c r="C2192" s="3" t="s">
        <v>4386</v>
      </c>
      <c r="D2192" s="24">
        <v>0.51832500000000004</v>
      </c>
      <c r="E2192" s="25">
        <v>9.1349999999999998</v>
      </c>
      <c r="F2192" s="25">
        <v>9.2370000000000001</v>
      </c>
      <c r="G2192" s="26">
        <v>-0.10199999999999999</v>
      </c>
      <c r="H2192" s="27">
        <v>0.1487</v>
      </c>
      <c r="I2192" s="26">
        <v>0.68600000000000005</v>
      </c>
      <c r="J2192" s="28">
        <v>6</v>
      </c>
      <c r="K2192" s="27">
        <v>0.65319199999999999</v>
      </c>
      <c r="L2192" s="29">
        <f t="shared" si="136"/>
        <v>0.18495914294506219</v>
      </c>
      <c r="M2192" s="29">
        <f t="shared" si="137"/>
        <v>-0.10200000000000088</v>
      </c>
      <c r="N2192" s="30">
        <f t="shared" si="138"/>
        <v>0.28539784363933107</v>
      </c>
      <c r="O2192" s="31">
        <f t="shared" si="139"/>
        <v>0.93174042930477252</v>
      </c>
    </row>
    <row r="2193" spans="1:15" x14ac:dyDescent="0.25">
      <c r="A2193" t="s">
        <v>7930</v>
      </c>
      <c r="B2193" t="s">
        <v>4387</v>
      </c>
      <c r="C2193" s="3" t="s">
        <v>4388</v>
      </c>
      <c r="D2193" s="24">
        <v>0.51895100000000005</v>
      </c>
      <c r="E2193" s="25">
        <v>7.2320000000000002</v>
      </c>
      <c r="F2193" s="25">
        <v>7.4290000000000003</v>
      </c>
      <c r="G2193" s="26">
        <v>-0.1968</v>
      </c>
      <c r="H2193" s="27">
        <v>0.28739999999999999</v>
      </c>
      <c r="I2193" s="26">
        <v>0.68489999999999995</v>
      </c>
      <c r="J2193" s="28">
        <v>6</v>
      </c>
      <c r="K2193" s="27">
        <v>0.65339700000000001</v>
      </c>
      <c r="L2193" s="29">
        <f t="shared" si="136"/>
        <v>0.18482286387104471</v>
      </c>
      <c r="M2193" s="29">
        <f t="shared" si="137"/>
        <v>-0.19700000000000012</v>
      </c>
      <c r="N2193" s="30">
        <f t="shared" si="138"/>
        <v>0.28487364684180022</v>
      </c>
      <c r="O2193" s="31">
        <f t="shared" si="139"/>
        <v>0.87236270577075847</v>
      </c>
    </row>
    <row r="2194" spans="1:15" x14ac:dyDescent="0.25">
      <c r="A2194" t="s">
        <v>7931</v>
      </c>
      <c r="B2194" t="s">
        <v>4389</v>
      </c>
      <c r="C2194" s="3" t="s">
        <v>4390</v>
      </c>
      <c r="D2194" s="24">
        <v>0.51896100000000001</v>
      </c>
      <c r="E2194" s="25">
        <v>11.88</v>
      </c>
      <c r="F2194" s="25">
        <v>12.05</v>
      </c>
      <c r="G2194" s="26">
        <v>-0.16489999999999999</v>
      </c>
      <c r="H2194" s="27">
        <v>0.2407</v>
      </c>
      <c r="I2194" s="26">
        <v>0.68489999999999995</v>
      </c>
      <c r="J2194" s="28">
        <v>6</v>
      </c>
      <c r="K2194" s="27">
        <v>0.65339700000000001</v>
      </c>
      <c r="L2194" s="29">
        <f t="shared" si="136"/>
        <v>0.18482286387104471</v>
      </c>
      <c r="M2194" s="29">
        <f t="shared" si="137"/>
        <v>-0.17000000000000004</v>
      </c>
      <c r="N2194" s="30">
        <f t="shared" si="138"/>
        <v>0.28486527822322916</v>
      </c>
      <c r="O2194" s="31">
        <f t="shared" si="139"/>
        <v>0.88884268116657017</v>
      </c>
    </row>
    <row r="2195" spans="1:15" x14ac:dyDescent="0.25">
      <c r="A2195" t="s">
        <v>7932</v>
      </c>
      <c r="B2195" t="s">
        <v>4393</v>
      </c>
      <c r="C2195" s="3" t="s">
        <v>4394</v>
      </c>
      <c r="D2195" s="24">
        <v>0.52086100000000002</v>
      </c>
      <c r="E2195" s="25">
        <v>10.34</v>
      </c>
      <c r="F2195" s="25">
        <v>10.119999999999999</v>
      </c>
      <c r="G2195" s="26">
        <v>0.21049999999999999</v>
      </c>
      <c r="H2195" s="27">
        <v>0.30869999999999997</v>
      </c>
      <c r="I2195" s="26">
        <v>0.68169999999999997</v>
      </c>
      <c r="J2195" s="28">
        <v>6</v>
      </c>
      <c r="K2195" s="27">
        <v>0.65506600000000004</v>
      </c>
      <c r="L2195" s="29">
        <f t="shared" si="136"/>
        <v>0.1837149412421244</v>
      </c>
      <c r="M2195" s="29">
        <f t="shared" si="137"/>
        <v>0.21999999999999945</v>
      </c>
      <c r="N2195" s="30">
        <f t="shared" si="138"/>
        <v>0.28327815959338098</v>
      </c>
      <c r="O2195" s="31">
        <f t="shared" si="139"/>
        <v>1.1647335864684554</v>
      </c>
    </row>
    <row r="2196" spans="1:15" x14ac:dyDescent="0.25">
      <c r="A2196" t="s">
        <v>7933</v>
      </c>
      <c r="B2196" t="s">
        <v>4395</v>
      </c>
      <c r="C2196" s="3" t="s">
        <v>4396</v>
      </c>
      <c r="D2196" s="24">
        <v>0.52099899999999999</v>
      </c>
      <c r="E2196" s="25">
        <v>10.51</v>
      </c>
      <c r="F2196" s="25">
        <v>10.69</v>
      </c>
      <c r="G2196" s="26">
        <v>-0.17499999999999999</v>
      </c>
      <c r="H2196" s="27">
        <v>0.25690000000000002</v>
      </c>
      <c r="I2196" s="26">
        <v>0.68149999999999999</v>
      </c>
      <c r="J2196" s="28">
        <v>6</v>
      </c>
      <c r="K2196" s="27">
        <v>0.65506600000000004</v>
      </c>
      <c r="L2196" s="29">
        <f t="shared" si="136"/>
        <v>0.1837149412421244</v>
      </c>
      <c r="M2196" s="29">
        <f t="shared" si="137"/>
        <v>-0.18000000000000058</v>
      </c>
      <c r="N2196" s="30">
        <f t="shared" si="138"/>
        <v>0.28316311027993557</v>
      </c>
      <c r="O2196" s="31">
        <f t="shared" si="139"/>
        <v>0.88270299629065452</v>
      </c>
    </row>
    <row r="2197" spans="1:15" x14ac:dyDescent="0.25">
      <c r="A2197" t="s">
        <v>7934</v>
      </c>
      <c r="B2197" t="s">
        <v>4391</v>
      </c>
      <c r="C2197" s="3" t="s">
        <v>4392</v>
      </c>
      <c r="D2197" s="24">
        <v>0.52085499999999996</v>
      </c>
      <c r="E2197" s="25">
        <v>8.8350000000000009</v>
      </c>
      <c r="F2197" s="25">
        <v>8.7270000000000003</v>
      </c>
      <c r="G2197" s="26">
        <v>0.10829999999999999</v>
      </c>
      <c r="H2197" s="27">
        <v>0.15890000000000001</v>
      </c>
      <c r="I2197" s="26">
        <v>0.68169999999999997</v>
      </c>
      <c r="J2197" s="28">
        <v>6</v>
      </c>
      <c r="K2197" s="27">
        <v>0.65506600000000004</v>
      </c>
      <c r="L2197" s="29">
        <f t="shared" si="136"/>
        <v>0.1837149412421244</v>
      </c>
      <c r="M2197" s="29">
        <f t="shared" si="137"/>
        <v>0.10800000000000069</v>
      </c>
      <c r="N2197" s="30">
        <f t="shared" si="138"/>
        <v>0.28328316242887835</v>
      </c>
      <c r="O2197" s="31">
        <f t="shared" si="139"/>
        <v>1.0777331450436713</v>
      </c>
    </row>
    <row r="2198" spans="1:15" x14ac:dyDescent="0.25">
      <c r="A2198" t="s">
        <v>7935</v>
      </c>
      <c r="B2198" t="s">
        <v>4397</v>
      </c>
      <c r="C2198" s="3" t="s">
        <v>4398</v>
      </c>
      <c r="D2198" s="24">
        <v>0.52344100000000005</v>
      </c>
      <c r="E2198" s="25">
        <v>10.83</v>
      </c>
      <c r="F2198" s="25">
        <v>10.78</v>
      </c>
      <c r="G2198" s="26">
        <v>4.6170000000000003E-2</v>
      </c>
      <c r="H2198" s="27">
        <v>6.8169999999999994E-2</v>
      </c>
      <c r="I2198" s="26">
        <v>0.67730000000000001</v>
      </c>
      <c r="J2198" s="28">
        <v>6</v>
      </c>
      <c r="K2198" s="27">
        <v>0.65783800000000003</v>
      </c>
      <c r="L2198" s="29">
        <f t="shared" si="136"/>
        <v>0.18188104311598205</v>
      </c>
      <c r="M2198" s="29">
        <f t="shared" si="137"/>
        <v>5.0000000000000731E-2</v>
      </c>
      <c r="N2198" s="30">
        <f t="shared" si="138"/>
        <v>0.28113226301752825</v>
      </c>
      <c r="O2198" s="31">
        <f t="shared" si="139"/>
        <v>1.035264923841378</v>
      </c>
    </row>
    <row r="2199" spans="1:15" x14ac:dyDescent="0.25">
      <c r="A2199" t="s">
        <v>7936</v>
      </c>
      <c r="B2199" t="s">
        <v>4399</v>
      </c>
      <c r="C2199" s="3" t="s">
        <v>4400</v>
      </c>
      <c r="D2199" s="24">
        <v>0.52421600000000002</v>
      </c>
      <c r="E2199" s="25">
        <v>11.56</v>
      </c>
      <c r="F2199" s="25">
        <v>11.75</v>
      </c>
      <c r="G2199" s="26">
        <v>-0.1855</v>
      </c>
      <c r="H2199" s="27">
        <v>0.27439999999999998</v>
      </c>
      <c r="I2199" s="26">
        <v>0.67600000000000005</v>
      </c>
      <c r="J2199" s="28">
        <v>6</v>
      </c>
      <c r="K2199" s="27">
        <v>0.65851199999999999</v>
      </c>
      <c r="L2199" s="29">
        <f t="shared" si="136"/>
        <v>0.18143630652406842</v>
      </c>
      <c r="M2199" s="29">
        <f t="shared" si="137"/>
        <v>-0.19000000000000092</v>
      </c>
      <c r="N2199" s="30">
        <f t="shared" si="138"/>
        <v>0.28048972775098663</v>
      </c>
      <c r="O2199" s="31">
        <f t="shared" si="139"/>
        <v>0.87660572131603454</v>
      </c>
    </row>
    <row r="2200" spans="1:15" x14ac:dyDescent="0.25">
      <c r="A2200" t="s">
        <v>7937</v>
      </c>
      <c r="B2200" t="s">
        <v>4401</v>
      </c>
      <c r="C2200" s="3" t="s">
        <v>4402</v>
      </c>
      <c r="D2200" s="24">
        <v>0.52471800000000002</v>
      </c>
      <c r="E2200" s="25">
        <v>6.0819999999999999</v>
      </c>
      <c r="F2200" s="25">
        <v>5.7119999999999997</v>
      </c>
      <c r="G2200" s="26">
        <v>0.37030000000000002</v>
      </c>
      <c r="H2200" s="27">
        <v>0.5484</v>
      </c>
      <c r="I2200" s="26">
        <v>0.67520000000000002</v>
      </c>
      <c r="J2200" s="28">
        <v>6</v>
      </c>
      <c r="K2200" s="27">
        <v>0.65881400000000001</v>
      </c>
      <c r="L2200" s="29">
        <f t="shared" si="136"/>
        <v>0.1812371805129937</v>
      </c>
      <c r="M2200" s="29">
        <f t="shared" si="137"/>
        <v>0.37000000000000033</v>
      </c>
      <c r="N2200" s="30">
        <f t="shared" si="138"/>
        <v>0.28007403744719206</v>
      </c>
      <c r="O2200" s="31">
        <f t="shared" si="139"/>
        <v>1.2923528306374925</v>
      </c>
    </row>
    <row r="2201" spans="1:15" x14ac:dyDescent="0.25">
      <c r="A2201" t="s">
        <v>7938</v>
      </c>
      <c r="B2201" t="s">
        <v>4403</v>
      </c>
      <c r="C2201" s="3" t="s">
        <v>4404</v>
      </c>
      <c r="D2201" s="24">
        <v>0.52493299999999998</v>
      </c>
      <c r="E2201" s="25">
        <v>9.6839999999999993</v>
      </c>
      <c r="F2201" s="25">
        <v>9.7390000000000008</v>
      </c>
      <c r="G2201" s="26">
        <v>-5.4899999999999997E-2</v>
      </c>
      <c r="H2201" s="27">
        <v>8.1350000000000006E-2</v>
      </c>
      <c r="I2201" s="26">
        <v>0.67479999999999996</v>
      </c>
      <c r="J2201" s="28">
        <v>6</v>
      </c>
      <c r="K2201" s="27">
        <v>0.65881400000000001</v>
      </c>
      <c r="L2201" s="29">
        <f t="shared" si="136"/>
        <v>0.1812371805129937</v>
      </c>
      <c r="M2201" s="29">
        <f t="shared" si="137"/>
        <v>-5.5000000000001541E-2</v>
      </c>
      <c r="N2201" s="30">
        <f t="shared" si="138"/>
        <v>0.2798961243791056</v>
      </c>
      <c r="O2201" s="31">
        <f t="shared" si="139"/>
        <v>0.96259444310175035</v>
      </c>
    </row>
    <row r="2202" spans="1:15" x14ac:dyDescent="0.25">
      <c r="A2202" t="s">
        <v>7939</v>
      </c>
      <c r="B2202" t="s">
        <v>4405</v>
      </c>
      <c r="C2202" s="3" t="s">
        <v>4406</v>
      </c>
      <c r="D2202" s="24">
        <v>0.52563800000000005</v>
      </c>
      <c r="E2202" s="25">
        <v>7.6890000000000001</v>
      </c>
      <c r="F2202" s="25">
        <v>7.8369999999999997</v>
      </c>
      <c r="G2202" s="26">
        <v>-0.14749999999999999</v>
      </c>
      <c r="H2202" s="27">
        <v>0.21890000000000001</v>
      </c>
      <c r="I2202" s="26">
        <v>0.67359999999999998</v>
      </c>
      <c r="J2202" s="28">
        <v>6</v>
      </c>
      <c r="K2202" s="27">
        <v>0.65939800000000004</v>
      </c>
      <c r="L2202" s="29">
        <f t="shared" si="136"/>
        <v>0.18085237443624011</v>
      </c>
      <c r="M2202" s="29">
        <f t="shared" si="137"/>
        <v>-0.14799999999999977</v>
      </c>
      <c r="N2202" s="30">
        <f t="shared" si="138"/>
        <v>0.27931324581934758</v>
      </c>
      <c r="O2202" s="31">
        <f t="shared" si="139"/>
        <v>0.90250072746243015</v>
      </c>
    </row>
    <row r="2203" spans="1:15" x14ac:dyDescent="0.25">
      <c r="A2203" t="s">
        <v>7940</v>
      </c>
      <c r="B2203" t="s">
        <v>4407</v>
      </c>
      <c r="C2203" s="3" t="s">
        <v>4408</v>
      </c>
      <c r="D2203" s="24">
        <v>0.52646499999999996</v>
      </c>
      <c r="E2203" s="25">
        <v>9.8859999999999992</v>
      </c>
      <c r="F2203" s="25">
        <v>9.8439999999999994</v>
      </c>
      <c r="G2203" s="26">
        <v>4.1829999999999999E-2</v>
      </c>
      <c r="H2203" s="27">
        <v>6.2230000000000001E-2</v>
      </c>
      <c r="I2203" s="26">
        <v>0.67220000000000002</v>
      </c>
      <c r="J2203" s="28">
        <v>6</v>
      </c>
      <c r="K2203" s="27">
        <v>0.66013699999999997</v>
      </c>
      <c r="L2203" s="29">
        <f t="shared" si="136"/>
        <v>0.18036592480711883</v>
      </c>
      <c r="M2203" s="29">
        <f t="shared" si="137"/>
        <v>4.1999999999999732E-2</v>
      </c>
      <c r="N2203" s="30">
        <f t="shared" si="138"/>
        <v>0.27863049591652389</v>
      </c>
      <c r="O2203" s="31">
        <f t="shared" si="139"/>
        <v>1.0295400834339969</v>
      </c>
    </row>
    <row r="2204" spans="1:15" x14ac:dyDescent="0.25">
      <c r="A2204" t="s">
        <v>7941</v>
      </c>
      <c r="B2204" t="s">
        <v>4409</v>
      </c>
      <c r="C2204" s="3" t="s">
        <v>4410</v>
      </c>
      <c r="D2204" s="24">
        <v>0.52704300000000004</v>
      </c>
      <c r="E2204" s="25">
        <v>9.218</v>
      </c>
      <c r="F2204" s="25">
        <v>9.3460000000000001</v>
      </c>
      <c r="G2204" s="26">
        <v>-0.1275</v>
      </c>
      <c r="H2204" s="27">
        <v>0.18990000000000001</v>
      </c>
      <c r="I2204" s="26">
        <v>0.67130000000000001</v>
      </c>
      <c r="J2204" s="28">
        <v>6</v>
      </c>
      <c r="K2204" s="27">
        <v>0.66056199999999998</v>
      </c>
      <c r="L2204" s="29">
        <f t="shared" si="136"/>
        <v>0.18008641348594709</v>
      </c>
      <c r="M2204" s="29">
        <f t="shared" si="137"/>
        <v>-0.12800000000000025</v>
      </c>
      <c r="N2204" s="30">
        <f t="shared" si="138"/>
        <v>0.27815395044040636</v>
      </c>
      <c r="O2204" s="31">
        <f t="shared" si="139"/>
        <v>0.91509916812792824</v>
      </c>
    </row>
    <row r="2205" spans="1:15" x14ac:dyDescent="0.25">
      <c r="A2205" t="s">
        <v>7942</v>
      </c>
      <c r="B2205" t="s">
        <v>4411</v>
      </c>
      <c r="C2205" s="3" t="s">
        <v>4412</v>
      </c>
      <c r="D2205" s="24">
        <v>0.52741800000000005</v>
      </c>
      <c r="E2205" s="25">
        <v>6.86</v>
      </c>
      <c r="F2205" s="25">
        <v>6.5890000000000004</v>
      </c>
      <c r="G2205" s="26">
        <v>0.2712</v>
      </c>
      <c r="H2205" s="27">
        <v>0.40439999999999998</v>
      </c>
      <c r="I2205" s="26">
        <v>0.67059999999999997</v>
      </c>
      <c r="J2205" s="28">
        <v>6</v>
      </c>
      <c r="K2205" s="27">
        <v>0.66073099999999996</v>
      </c>
      <c r="L2205" s="29">
        <f t="shared" si="136"/>
        <v>0.17997531660154389</v>
      </c>
      <c r="M2205" s="29">
        <f t="shared" si="137"/>
        <v>0.27100000000000057</v>
      </c>
      <c r="N2205" s="30">
        <f t="shared" si="138"/>
        <v>0.27784505245825319</v>
      </c>
      <c r="O2205" s="31">
        <f t="shared" si="139"/>
        <v>1.2066439197207632</v>
      </c>
    </row>
    <row r="2206" spans="1:15" x14ac:dyDescent="0.25">
      <c r="A2206" t="s">
        <v>7943</v>
      </c>
      <c r="B2206" t="s">
        <v>4461</v>
      </c>
      <c r="C2206" s="3" t="s">
        <v>4462</v>
      </c>
      <c r="D2206" s="24">
        <v>0.53517899999999996</v>
      </c>
      <c r="E2206" s="25">
        <v>10.79</v>
      </c>
      <c r="F2206" s="25">
        <v>10.97</v>
      </c>
      <c r="G2206" s="26">
        <v>-0.1739</v>
      </c>
      <c r="H2206" s="27">
        <v>0.26450000000000001</v>
      </c>
      <c r="I2206" s="26">
        <v>0.65759999999999996</v>
      </c>
      <c r="J2206" s="28">
        <v>6</v>
      </c>
      <c r="K2206" s="27">
        <v>0.66165300000000005</v>
      </c>
      <c r="L2206" s="29">
        <f t="shared" si="136"/>
        <v>0.17936971402740612</v>
      </c>
      <c r="M2206" s="29">
        <f t="shared" si="137"/>
        <v>-0.18000000000000202</v>
      </c>
      <c r="N2206" s="30">
        <f t="shared" si="138"/>
        <v>0.27150093627732602</v>
      </c>
      <c r="O2206" s="31">
        <f t="shared" si="139"/>
        <v>0.88270299629065363</v>
      </c>
    </row>
    <row r="2207" spans="1:15" x14ac:dyDescent="0.25">
      <c r="A2207" t="s">
        <v>7944</v>
      </c>
      <c r="B2207" t="s">
        <v>4463</v>
      </c>
      <c r="C2207" s="3" t="s">
        <v>4464</v>
      </c>
      <c r="D2207" s="24">
        <v>0.53517899999999996</v>
      </c>
      <c r="E2207" s="25">
        <v>10.79</v>
      </c>
      <c r="F2207" s="25">
        <v>10.97</v>
      </c>
      <c r="G2207" s="26">
        <v>-0.1739</v>
      </c>
      <c r="H2207" s="27">
        <v>0.26450000000000001</v>
      </c>
      <c r="I2207" s="26">
        <v>0.65759999999999996</v>
      </c>
      <c r="J2207" s="28">
        <v>6</v>
      </c>
      <c r="K2207" s="27">
        <v>0.66165300000000005</v>
      </c>
      <c r="L2207" s="29">
        <f t="shared" si="136"/>
        <v>0.17936971402740612</v>
      </c>
      <c r="M2207" s="29">
        <f t="shared" si="137"/>
        <v>-0.18000000000000202</v>
      </c>
      <c r="N2207" s="30">
        <f t="shared" si="138"/>
        <v>0.27150093627732602</v>
      </c>
      <c r="O2207" s="31">
        <f t="shared" si="139"/>
        <v>0.88270299629065363</v>
      </c>
    </row>
    <row r="2208" spans="1:15" x14ac:dyDescent="0.25">
      <c r="A2208" t="s">
        <v>7945</v>
      </c>
      <c r="B2208" t="s">
        <v>4467</v>
      </c>
      <c r="C2208" s="3" t="s">
        <v>4468</v>
      </c>
      <c r="D2208" s="24">
        <v>0.53517899999999996</v>
      </c>
      <c r="E2208" s="25">
        <v>10.79</v>
      </c>
      <c r="F2208" s="25">
        <v>10.97</v>
      </c>
      <c r="G2208" s="26">
        <v>-0.1739</v>
      </c>
      <c r="H2208" s="27">
        <v>0.26450000000000001</v>
      </c>
      <c r="I2208" s="26">
        <v>0.65759999999999996</v>
      </c>
      <c r="J2208" s="28">
        <v>6</v>
      </c>
      <c r="K2208" s="27">
        <v>0.66165300000000005</v>
      </c>
      <c r="L2208" s="29">
        <f t="shared" si="136"/>
        <v>0.17936971402740612</v>
      </c>
      <c r="M2208" s="29">
        <f t="shared" si="137"/>
        <v>-0.18000000000000202</v>
      </c>
      <c r="N2208" s="30">
        <f t="shared" si="138"/>
        <v>0.27150093627732602</v>
      </c>
      <c r="O2208" s="31">
        <f t="shared" si="139"/>
        <v>0.88270299629065363</v>
      </c>
    </row>
    <row r="2209" spans="1:15" x14ac:dyDescent="0.25">
      <c r="A2209" t="s">
        <v>7946</v>
      </c>
      <c r="B2209" t="s">
        <v>4457</v>
      </c>
      <c r="C2209" s="3" t="s">
        <v>4458</v>
      </c>
      <c r="D2209" s="24">
        <v>0.53517899999999996</v>
      </c>
      <c r="E2209" s="25">
        <v>10.79</v>
      </c>
      <c r="F2209" s="25">
        <v>10.97</v>
      </c>
      <c r="G2209" s="26">
        <v>-0.1739</v>
      </c>
      <c r="H2209" s="27">
        <v>0.26450000000000001</v>
      </c>
      <c r="I2209" s="26">
        <v>0.65759999999999996</v>
      </c>
      <c r="J2209" s="28">
        <v>6</v>
      </c>
      <c r="K2209" s="27">
        <v>0.66165300000000005</v>
      </c>
      <c r="L2209" s="29">
        <f t="shared" si="136"/>
        <v>0.17936971402740612</v>
      </c>
      <c r="M2209" s="29">
        <f t="shared" si="137"/>
        <v>-0.18000000000000202</v>
      </c>
      <c r="N2209" s="30">
        <f t="shared" si="138"/>
        <v>0.27150093627732602</v>
      </c>
      <c r="O2209" s="31">
        <f t="shared" si="139"/>
        <v>0.88270299629065363</v>
      </c>
    </row>
    <row r="2210" spans="1:15" x14ac:dyDescent="0.25">
      <c r="A2210" t="s">
        <v>7947</v>
      </c>
      <c r="B2210" t="s">
        <v>4465</v>
      </c>
      <c r="C2210" s="3" t="s">
        <v>4466</v>
      </c>
      <c r="D2210" s="24">
        <v>0.53517899999999996</v>
      </c>
      <c r="E2210" s="25">
        <v>10.79</v>
      </c>
      <c r="F2210" s="25">
        <v>10.97</v>
      </c>
      <c r="G2210" s="26">
        <v>-0.1739</v>
      </c>
      <c r="H2210" s="27">
        <v>0.26450000000000001</v>
      </c>
      <c r="I2210" s="26">
        <v>0.65759999999999996</v>
      </c>
      <c r="J2210" s="28">
        <v>6</v>
      </c>
      <c r="K2210" s="27">
        <v>0.66165300000000005</v>
      </c>
      <c r="L2210" s="29">
        <f t="shared" si="136"/>
        <v>0.17936971402740612</v>
      </c>
      <c r="M2210" s="29">
        <f t="shared" si="137"/>
        <v>-0.18000000000000202</v>
      </c>
      <c r="N2210" s="30">
        <f t="shared" si="138"/>
        <v>0.27150093627732602</v>
      </c>
      <c r="O2210" s="31">
        <f t="shared" si="139"/>
        <v>0.88270299629065363</v>
      </c>
    </row>
    <row r="2211" spans="1:15" x14ac:dyDescent="0.25">
      <c r="A2211" t="s">
        <v>7948</v>
      </c>
      <c r="B2211" t="s">
        <v>4441</v>
      </c>
      <c r="C2211" s="3" t="s">
        <v>4442</v>
      </c>
      <c r="D2211" s="24">
        <v>0.53517899999999996</v>
      </c>
      <c r="E2211" s="25">
        <v>10.79</v>
      </c>
      <c r="F2211" s="25">
        <v>10.97</v>
      </c>
      <c r="G2211" s="26">
        <v>-0.1739</v>
      </c>
      <c r="H2211" s="27">
        <v>0.26450000000000001</v>
      </c>
      <c r="I2211" s="26">
        <v>0.65759999999999996</v>
      </c>
      <c r="J2211" s="28">
        <v>6</v>
      </c>
      <c r="K2211" s="27">
        <v>0.66165300000000005</v>
      </c>
      <c r="L2211" s="29">
        <f t="shared" si="136"/>
        <v>0.17936971402740612</v>
      </c>
      <c r="M2211" s="29">
        <f t="shared" si="137"/>
        <v>-0.18000000000000202</v>
      </c>
      <c r="N2211" s="30">
        <f t="shared" si="138"/>
        <v>0.27150093627732602</v>
      </c>
      <c r="O2211" s="31">
        <f t="shared" si="139"/>
        <v>0.88270299629065363</v>
      </c>
    </row>
    <row r="2212" spans="1:15" x14ac:dyDescent="0.25">
      <c r="A2212" t="s">
        <v>7949</v>
      </c>
      <c r="B2212" t="s">
        <v>4459</v>
      </c>
      <c r="C2212" s="3" t="s">
        <v>4460</v>
      </c>
      <c r="D2212" s="24">
        <v>0.53517899999999996</v>
      </c>
      <c r="E2212" s="25">
        <v>10.79</v>
      </c>
      <c r="F2212" s="25">
        <v>10.97</v>
      </c>
      <c r="G2212" s="26">
        <v>-0.1739</v>
      </c>
      <c r="H2212" s="27">
        <v>0.26450000000000001</v>
      </c>
      <c r="I2212" s="26">
        <v>0.65759999999999996</v>
      </c>
      <c r="J2212" s="28">
        <v>6</v>
      </c>
      <c r="K2212" s="27">
        <v>0.66165300000000005</v>
      </c>
      <c r="L2212" s="29">
        <f t="shared" si="136"/>
        <v>0.17936971402740612</v>
      </c>
      <c r="M2212" s="29">
        <f t="shared" si="137"/>
        <v>-0.18000000000000202</v>
      </c>
      <c r="N2212" s="30">
        <f t="shared" si="138"/>
        <v>0.27150093627732602</v>
      </c>
      <c r="O2212" s="31">
        <f t="shared" si="139"/>
        <v>0.88270299629065363</v>
      </c>
    </row>
    <row r="2213" spans="1:15" x14ac:dyDescent="0.25">
      <c r="A2213" t="s">
        <v>7950</v>
      </c>
      <c r="B2213" t="s">
        <v>4469</v>
      </c>
      <c r="C2213" s="3" t="s">
        <v>4470</v>
      </c>
      <c r="D2213" s="24">
        <v>0.53517899999999996</v>
      </c>
      <c r="E2213" s="25">
        <v>10.79</v>
      </c>
      <c r="F2213" s="25">
        <v>10.97</v>
      </c>
      <c r="G2213" s="26">
        <v>-0.1739</v>
      </c>
      <c r="H2213" s="27">
        <v>0.26450000000000001</v>
      </c>
      <c r="I2213" s="26">
        <v>0.65759999999999996</v>
      </c>
      <c r="J2213" s="28">
        <v>6</v>
      </c>
      <c r="K2213" s="27">
        <v>0.66165300000000005</v>
      </c>
      <c r="L2213" s="29">
        <f t="shared" si="136"/>
        <v>0.17936971402740612</v>
      </c>
      <c r="M2213" s="29">
        <f t="shared" si="137"/>
        <v>-0.18000000000000202</v>
      </c>
      <c r="N2213" s="30">
        <f t="shared" si="138"/>
        <v>0.27150093627732602</v>
      </c>
      <c r="O2213" s="31">
        <f t="shared" si="139"/>
        <v>0.88270299629065363</v>
      </c>
    </row>
    <row r="2214" spans="1:15" x14ac:dyDescent="0.25">
      <c r="A2214" t="s">
        <v>7951</v>
      </c>
      <c r="B2214" t="s">
        <v>4451</v>
      </c>
      <c r="C2214" s="3" t="s">
        <v>4452</v>
      </c>
      <c r="D2214" s="24">
        <v>0.53517899999999996</v>
      </c>
      <c r="E2214" s="25">
        <v>10.79</v>
      </c>
      <c r="F2214" s="25">
        <v>10.97</v>
      </c>
      <c r="G2214" s="26">
        <v>-0.1739</v>
      </c>
      <c r="H2214" s="27">
        <v>0.26450000000000001</v>
      </c>
      <c r="I2214" s="26">
        <v>0.65759999999999996</v>
      </c>
      <c r="J2214" s="28">
        <v>6</v>
      </c>
      <c r="K2214" s="27">
        <v>0.66165300000000005</v>
      </c>
      <c r="L2214" s="29">
        <f t="shared" si="136"/>
        <v>0.17936971402740612</v>
      </c>
      <c r="M2214" s="29">
        <f t="shared" si="137"/>
        <v>-0.18000000000000202</v>
      </c>
      <c r="N2214" s="30">
        <f t="shared" si="138"/>
        <v>0.27150093627732602</v>
      </c>
      <c r="O2214" s="31">
        <f t="shared" si="139"/>
        <v>0.88270299629065363</v>
      </c>
    </row>
    <row r="2215" spans="1:15" x14ac:dyDescent="0.25">
      <c r="A2215" t="s">
        <v>7952</v>
      </c>
      <c r="B2215" t="s">
        <v>4425</v>
      </c>
      <c r="C2215" s="3" t="s">
        <v>4426</v>
      </c>
      <c r="D2215" s="24">
        <v>0.53009499999999998</v>
      </c>
      <c r="E2215" s="25">
        <v>9.1669999999999998</v>
      </c>
      <c r="F2215" s="25">
        <v>9.2620000000000005</v>
      </c>
      <c r="G2215" s="26">
        <v>-9.443E-2</v>
      </c>
      <c r="H2215" s="27">
        <v>0.14180000000000001</v>
      </c>
      <c r="I2215" s="26">
        <v>0.66610000000000003</v>
      </c>
      <c r="J2215" s="28">
        <v>6</v>
      </c>
      <c r="K2215" s="27">
        <v>0.66165300000000005</v>
      </c>
      <c r="L2215" s="29">
        <f t="shared" si="136"/>
        <v>0.17936971402740612</v>
      </c>
      <c r="M2215" s="29">
        <f t="shared" si="137"/>
        <v>-9.500000000000057E-2</v>
      </c>
      <c r="N2215" s="30">
        <f t="shared" si="138"/>
        <v>0.27564629213775088</v>
      </c>
      <c r="O2215" s="31">
        <f t="shared" si="139"/>
        <v>0.93627224743449189</v>
      </c>
    </row>
    <row r="2216" spans="1:15" x14ac:dyDescent="0.25">
      <c r="A2216" t="s">
        <v>7953</v>
      </c>
      <c r="B2216" t="s">
        <v>4471</v>
      </c>
      <c r="C2216" s="3" t="s">
        <v>4472</v>
      </c>
      <c r="D2216" s="24">
        <v>0.53558899999999998</v>
      </c>
      <c r="E2216" s="25">
        <v>8.6539999999999999</v>
      </c>
      <c r="F2216" s="25">
        <v>8.4250000000000007</v>
      </c>
      <c r="G2216" s="26">
        <v>0.2283</v>
      </c>
      <c r="H2216" s="27">
        <v>0.34749999999999998</v>
      </c>
      <c r="I2216" s="26">
        <v>0.65690000000000004</v>
      </c>
      <c r="J2216" s="28">
        <v>6</v>
      </c>
      <c r="K2216" s="27">
        <v>0.66165300000000005</v>
      </c>
      <c r="L2216" s="29">
        <f t="shared" si="136"/>
        <v>0.17936971402740612</v>
      </c>
      <c r="M2216" s="29">
        <f t="shared" si="137"/>
        <v>0.22899999999999945</v>
      </c>
      <c r="N2216" s="30">
        <f t="shared" si="138"/>
        <v>0.27116835116779259</v>
      </c>
      <c r="O2216" s="31">
        <f t="shared" si="139"/>
        <v>1.1720222836745133</v>
      </c>
    </row>
    <row r="2217" spans="1:15" x14ac:dyDescent="0.25">
      <c r="A2217" t="s">
        <v>7954</v>
      </c>
      <c r="B2217" t="s">
        <v>4413</v>
      </c>
      <c r="C2217" s="3" t="s">
        <v>4414</v>
      </c>
      <c r="D2217" s="24">
        <v>0.52903500000000003</v>
      </c>
      <c r="E2217" s="25">
        <v>8.3810000000000002</v>
      </c>
      <c r="F2217" s="25">
        <v>7.7869999999999999</v>
      </c>
      <c r="G2217" s="26">
        <v>0.59419999999999995</v>
      </c>
      <c r="H2217" s="27">
        <v>0.88970000000000005</v>
      </c>
      <c r="I2217" s="26">
        <v>0.66790000000000005</v>
      </c>
      <c r="J2217" s="28">
        <v>6</v>
      </c>
      <c r="K2217" s="27">
        <v>0.66165300000000005</v>
      </c>
      <c r="L2217" s="29">
        <f t="shared" si="136"/>
        <v>0.17936971402740612</v>
      </c>
      <c r="M2217" s="29">
        <f t="shared" si="137"/>
        <v>0.59400000000000008</v>
      </c>
      <c r="N2217" s="30">
        <f t="shared" si="138"/>
        <v>0.27651559487588584</v>
      </c>
      <c r="O2217" s="31">
        <f t="shared" si="139"/>
        <v>1.5094259685205598</v>
      </c>
    </row>
    <row r="2218" spans="1:15" x14ac:dyDescent="0.25">
      <c r="A2218" t="s">
        <v>7955</v>
      </c>
      <c r="B2218" t="s">
        <v>4473</v>
      </c>
      <c r="C2218" s="3" t="s">
        <v>4474</v>
      </c>
      <c r="D2218" s="24">
        <v>0.53566400000000003</v>
      </c>
      <c r="E2218" s="25">
        <v>10.1</v>
      </c>
      <c r="F2218" s="25">
        <v>10.220000000000001</v>
      </c>
      <c r="G2218" s="26">
        <v>-0.128</v>
      </c>
      <c r="H2218" s="27">
        <v>0.19489999999999999</v>
      </c>
      <c r="I2218" s="26">
        <v>0.65680000000000005</v>
      </c>
      <c r="J2218" s="28">
        <v>6</v>
      </c>
      <c r="K2218" s="27">
        <v>0.66165300000000005</v>
      </c>
      <c r="L2218" s="29">
        <f t="shared" si="136"/>
        <v>0.17936971402740612</v>
      </c>
      <c r="M2218" s="29">
        <f t="shared" si="137"/>
        <v>-0.1200000000000021</v>
      </c>
      <c r="N2218" s="30">
        <f t="shared" si="138"/>
        <v>0.27110753997529935</v>
      </c>
      <c r="O2218" s="31">
        <f t="shared" si="139"/>
        <v>0.92018765062487373</v>
      </c>
    </row>
    <row r="2219" spans="1:15" x14ac:dyDescent="0.25">
      <c r="A2219" t="s">
        <v>7956</v>
      </c>
      <c r="B2219" t="s">
        <v>4437</v>
      </c>
      <c r="C2219" s="3" t="s">
        <v>4438</v>
      </c>
      <c r="D2219" s="24">
        <v>0.53517899999999996</v>
      </c>
      <c r="E2219" s="25">
        <v>10.79</v>
      </c>
      <c r="F2219" s="25">
        <v>10.97</v>
      </c>
      <c r="G2219" s="26">
        <v>-0.1739</v>
      </c>
      <c r="H2219" s="27">
        <v>0.26450000000000001</v>
      </c>
      <c r="I2219" s="26">
        <v>0.65759999999999996</v>
      </c>
      <c r="J2219" s="28">
        <v>6</v>
      </c>
      <c r="K2219" s="27">
        <v>0.66165300000000005</v>
      </c>
      <c r="L2219" s="29">
        <f t="shared" si="136"/>
        <v>0.17936971402740612</v>
      </c>
      <c r="M2219" s="29">
        <f t="shared" si="137"/>
        <v>-0.18000000000000202</v>
      </c>
      <c r="N2219" s="30">
        <f t="shared" si="138"/>
        <v>0.27150093627732602</v>
      </c>
      <c r="O2219" s="31">
        <f t="shared" si="139"/>
        <v>0.88270299629065363</v>
      </c>
    </row>
    <row r="2220" spans="1:15" x14ac:dyDescent="0.25">
      <c r="A2220" t="s">
        <v>7957</v>
      </c>
      <c r="B2220" t="s">
        <v>4423</v>
      </c>
      <c r="C2220" s="3" t="s">
        <v>4424</v>
      </c>
      <c r="D2220" s="24">
        <v>0.52991299999999997</v>
      </c>
      <c r="E2220" s="25">
        <v>9.43</v>
      </c>
      <c r="F2220" s="25">
        <v>9.2959999999999994</v>
      </c>
      <c r="G2220" s="26">
        <v>0.1338</v>
      </c>
      <c r="H2220" s="27">
        <v>0.20080000000000001</v>
      </c>
      <c r="I2220" s="26">
        <v>0.66639999999999999</v>
      </c>
      <c r="J2220" s="28">
        <v>6</v>
      </c>
      <c r="K2220" s="27">
        <v>0.66165300000000005</v>
      </c>
      <c r="L2220" s="29">
        <f t="shared" si="136"/>
        <v>0.17936971402740612</v>
      </c>
      <c r="M2220" s="29">
        <f t="shared" si="137"/>
        <v>0.1340000000000002</v>
      </c>
      <c r="N2220" s="30">
        <f t="shared" si="138"/>
        <v>0.27579542609991553</v>
      </c>
      <c r="O2220" s="31">
        <f t="shared" si="139"/>
        <v>1.0973319375792432</v>
      </c>
    </row>
    <row r="2221" spans="1:15" x14ac:dyDescent="0.25">
      <c r="A2221" t="s">
        <v>7958</v>
      </c>
      <c r="B2221" t="s">
        <v>4435</v>
      </c>
      <c r="C2221" s="3" t="s">
        <v>4436</v>
      </c>
      <c r="D2221" s="24">
        <v>0.53394200000000003</v>
      </c>
      <c r="E2221" s="25">
        <v>9.7319999999999993</v>
      </c>
      <c r="F2221" s="25">
        <v>9.8179999999999996</v>
      </c>
      <c r="G2221" s="26">
        <v>-8.6830000000000004E-2</v>
      </c>
      <c r="H2221" s="27">
        <v>0.13159999999999999</v>
      </c>
      <c r="I2221" s="26">
        <v>0.65969999999999995</v>
      </c>
      <c r="J2221" s="28">
        <v>6</v>
      </c>
      <c r="K2221" s="27">
        <v>0.66165300000000005</v>
      </c>
      <c r="L2221" s="29">
        <f t="shared" si="136"/>
        <v>0.17936971402740612</v>
      </c>
      <c r="M2221" s="29">
        <f t="shared" si="137"/>
        <v>-8.6000000000000673E-2</v>
      </c>
      <c r="N2221" s="30">
        <f t="shared" si="138"/>
        <v>0.27250591609503105</v>
      </c>
      <c r="O2221" s="31">
        <f t="shared" si="139"/>
        <v>0.94213127390480833</v>
      </c>
    </row>
    <row r="2222" spans="1:15" x14ac:dyDescent="0.25">
      <c r="A2222" t="s">
        <v>7959</v>
      </c>
      <c r="B2222" t="s">
        <v>4417</v>
      </c>
      <c r="C2222" s="3" t="s">
        <v>4418</v>
      </c>
      <c r="D2222" s="24">
        <v>0.52979600000000004</v>
      </c>
      <c r="E2222" s="25">
        <v>9.0850000000000009</v>
      </c>
      <c r="F2222" s="25">
        <v>9.1349999999999998</v>
      </c>
      <c r="G2222" s="26">
        <v>-5.0509999999999999E-2</v>
      </c>
      <c r="H2222" s="27">
        <v>7.5759999999999994E-2</v>
      </c>
      <c r="I2222" s="26">
        <v>0.66659999999999997</v>
      </c>
      <c r="J2222" s="28">
        <v>6</v>
      </c>
      <c r="K2222" s="27">
        <v>0.66165300000000005</v>
      </c>
      <c r="L2222" s="29">
        <f t="shared" si="136"/>
        <v>0.17936971402740612</v>
      </c>
      <c r="M2222" s="29">
        <f t="shared" si="137"/>
        <v>-4.9999999999999427E-2</v>
      </c>
      <c r="N2222" s="30">
        <f t="shared" si="138"/>
        <v>0.27589132498270147</v>
      </c>
      <c r="O2222" s="31">
        <f t="shared" si="139"/>
        <v>0.96593632892484593</v>
      </c>
    </row>
    <row r="2223" spans="1:15" x14ac:dyDescent="0.25">
      <c r="A2223" t="s">
        <v>7960</v>
      </c>
      <c r="B2223" t="s">
        <v>4421</v>
      </c>
      <c r="C2223" s="3" t="s">
        <v>4422</v>
      </c>
      <c r="D2223" s="24">
        <v>0.52986699999999998</v>
      </c>
      <c r="E2223" s="25">
        <v>7.4279999999999999</v>
      </c>
      <c r="F2223" s="25">
        <v>6.8170000000000002</v>
      </c>
      <c r="G2223" s="26">
        <v>0.6109</v>
      </c>
      <c r="H2223" s="27">
        <v>0.91649999999999998</v>
      </c>
      <c r="I2223" s="26">
        <v>0.66649999999999998</v>
      </c>
      <c r="J2223" s="28">
        <v>6</v>
      </c>
      <c r="K2223" s="27">
        <v>0.66165300000000005</v>
      </c>
      <c r="L2223" s="29">
        <f t="shared" si="136"/>
        <v>0.17936971402740612</v>
      </c>
      <c r="M2223" s="29">
        <f t="shared" si="137"/>
        <v>0.61099999999999965</v>
      </c>
      <c r="N2223" s="30">
        <f t="shared" si="138"/>
        <v>0.27583312740807397</v>
      </c>
      <c r="O2223" s="31">
        <f t="shared" si="139"/>
        <v>1.5273174979607003</v>
      </c>
    </row>
    <row r="2224" spans="1:15" x14ac:dyDescent="0.25">
      <c r="A2224" t="s">
        <v>7961</v>
      </c>
      <c r="B2224" t="s">
        <v>4433</v>
      </c>
      <c r="C2224" s="3" t="s">
        <v>4434</v>
      </c>
      <c r="D2224" s="24">
        <v>0.53362500000000002</v>
      </c>
      <c r="E2224" s="25">
        <v>9.3190000000000008</v>
      </c>
      <c r="F2224" s="25">
        <v>9.2370000000000001</v>
      </c>
      <c r="G2224" s="26">
        <v>8.2000000000000003E-2</v>
      </c>
      <c r="H2224" s="27">
        <v>0.1242</v>
      </c>
      <c r="I2224" s="26">
        <v>0.66020000000000001</v>
      </c>
      <c r="J2224" s="28">
        <v>6</v>
      </c>
      <c r="K2224" s="27">
        <v>0.66165300000000005</v>
      </c>
      <c r="L2224" s="29">
        <f t="shared" si="136"/>
        <v>0.17936971402740612</v>
      </c>
      <c r="M2224" s="29">
        <f t="shared" si="137"/>
        <v>8.2000000000000323E-2</v>
      </c>
      <c r="N2224" s="30">
        <f t="shared" si="138"/>
        <v>0.27276383218799677</v>
      </c>
      <c r="O2224" s="31">
        <f t="shared" si="139"/>
        <v>1.058484394875133</v>
      </c>
    </row>
    <row r="2225" spans="1:15" x14ac:dyDescent="0.25">
      <c r="A2225" t="s">
        <v>7962</v>
      </c>
      <c r="B2225" t="s">
        <v>4449</v>
      </c>
      <c r="C2225" s="3" t="s">
        <v>4450</v>
      </c>
      <c r="D2225" s="24">
        <v>0.53517899999999996</v>
      </c>
      <c r="E2225" s="25">
        <v>10.79</v>
      </c>
      <c r="F2225" s="25">
        <v>10.97</v>
      </c>
      <c r="G2225" s="26">
        <v>-0.1739</v>
      </c>
      <c r="H2225" s="27">
        <v>0.26450000000000001</v>
      </c>
      <c r="I2225" s="26">
        <v>0.65759999999999996</v>
      </c>
      <c r="J2225" s="28">
        <v>6</v>
      </c>
      <c r="K2225" s="27">
        <v>0.66165300000000005</v>
      </c>
      <c r="L2225" s="29">
        <f t="shared" si="136"/>
        <v>0.17936971402740612</v>
      </c>
      <c r="M2225" s="29">
        <f t="shared" si="137"/>
        <v>-0.18000000000000202</v>
      </c>
      <c r="N2225" s="30">
        <f t="shared" si="138"/>
        <v>0.27150093627732602</v>
      </c>
      <c r="O2225" s="31">
        <f t="shared" si="139"/>
        <v>0.88270299629065363</v>
      </c>
    </row>
    <row r="2226" spans="1:15" x14ac:dyDescent="0.25">
      <c r="A2226" t="s">
        <v>7963</v>
      </c>
      <c r="B2226" t="s">
        <v>4429</v>
      </c>
      <c r="C2226" s="3" t="s">
        <v>4430</v>
      </c>
      <c r="D2226" s="24">
        <v>0.53126200000000001</v>
      </c>
      <c r="E2226" s="25">
        <v>9.9489999999999998</v>
      </c>
      <c r="F2226" s="25">
        <v>10.02</v>
      </c>
      <c r="G2226" s="26">
        <v>-7.3950000000000002E-2</v>
      </c>
      <c r="H2226" s="27">
        <v>0.1113</v>
      </c>
      <c r="I2226" s="26">
        <v>0.66420000000000001</v>
      </c>
      <c r="J2226" s="28">
        <v>6</v>
      </c>
      <c r="K2226" s="27">
        <v>0.66165300000000005</v>
      </c>
      <c r="L2226" s="29">
        <f t="shared" si="136"/>
        <v>0.17936971402740612</v>
      </c>
      <c r="M2226" s="29">
        <f t="shared" si="137"/>
        <v>-7.1000000000000799E-2</v>
      </c>
      <c r="N2226" s="30">
        <f t="shared" si="138"/>
        <v>0.27469124710648085</v>
      </c>
      <c r="O2226" s="31">
        <f t="shared" si="139"/>
        <v>0.95197790849753094</v>
      </c>
    </row>
    <row r="2227" spans="1:15" x14ac:dyDescent="0.25">
      <c r="A2227" t="s">
        <v>7964</v>
      </c>
      <c r="B2227" t="s">
        <v>4447</v>
      </c>
      <c r="C2227" s="3" t="s">
        <v>4448</v>
      </c>
      <c r="D2227" s="24">
        <v>0.53517899999999996</v>
      </c>
      <c r="E2227" s="25">
        <v>10.79</v>
      </c>
      <c r="F2227" s="25">
        <v>10.97</v>
      </c>
      <c r="G2227" s="26">
        <v>-0.1739</v>
      </c>
      <c r="H2227" s="27">
        <v>0.26450000000000001</v>
      </c>
      <c r="I2227" s="26">
        <v>0.65759999999999996</v>
      </c>
      <c r="J2227" s="28">
        <v>6</v>
      </c>
      <c r="K2227" s="27">
        <v>0.66165300000000005</v>
      </c>
      <c r="L2227" s="29">
        <f t="shared" si="136"/>
        <v>0.17936971402740612</v>
      </c>
      <c r="M2227" s="29">
        <f t="shared" si="137"/>
        <v>-0.18000000000000202</v>
      </c>
      <c r="N2227" s="30">
        <f t="shared" si="138"/>
        <v>0.27150093627732602</v>
      </c>
      <c r="O2227" s="31">
        <f t="shared" si="139"/>
        <v>0.88270299629065363</v>
      </c>
    </row>
    <row r="2228" spans="1:15" x14ac:dyDescent="0.25">
      <c r="A2228" t="s">
        <v>7965</v>
      </c>
      <c r="B2228" t="s">
        <v>4431</v>
      </c>
      <c r="C2228" s="3" t="s">
        <v>4432</v>
      </c>
      <c r="D2228" s="24">
        <v>0.53127100000000005</v>
      </c>
      <c r="E2228" s="25">
        <v>8.4120000000000008</v>
      </c>
      <c r="F2228" s="25">
        <v>8.2829999999999995</v>
      </c>
      <c r="G2228" s="26">
        <v>0.12820000000000001</v>
      </c>
      <c r="H2228" s="27">
        <v>0.19309999999999999</v>
      </c>
      <c r="I2228" s="26">
        <v>0.66420000000000001</v>
      </c>
      <c r="J2228" s="28">
        <v>6</v>
      </c>
      <c r="K2228" s="27">
        <v>0.66165300000000005</v>
      </c>
      <c r="L2228" s="29">
        <f t="shared" si="136"/>
        <v>0.17936971402740612</v>
      </c>
      <c r="M2228" s="29">
        <f t="shared" si="137"/>
        <v>0.12900000000000209</v>
      </c>
      <c r="N2228" s="30">
        <f t="shared" si="138"/>
        <v>0.2746838898755295</v>
      </c>
      <c r="O2228" s="31">
        <f t="shared" si="139"/>
        <v>1.0935354574846339</v>
      </c>
    </row>
    <row r="2229" spans="1:15" x14ac:dyDescent="0.25">
      <c r="A2229" t="s">
        <v>7966</v>
      </c>
      <c r="B2229" t="s">
        <v>4445</v>
      </c>
      <c r="C2229" s="3" t="s">
        <v>4446</v>
      </c>
      <c r="D2229" s="24">
        <v>0.53517899999999996</v>
      </c>
      <c r="E2229" s="25">
        <v>10.79</v>
      </c>
      <c r="F2229" s="25">
        <v>10.97</v>
      </c>
      <c r="G2229" s="26">
        <v>-0.1739</v>
      </c>
      <c r="H2229" s="27">
        <v>0.26450000000000001</v>
      </c>
      <c r="I2229" s="26">
        <v>0.65759999999999996</v>
      </c>
      <c r="J2229" s="28">
        <v>6</v>
      </c>
      <c r="K2229" s="27">
        <v>0.66165300000000005</v>
      </c>
      <c r="L2229" s="29">
        <f t="shared" si="136"/>
        <v>0.17936971402740612</v>
      </c>
      <c r="M2229" s="29">
        <f t="shared" si="137"/>
        <v>-0.18000000000000202</v>
      </c>
      <c r="N2229" s="30">
        <f t="shared" si="138"/>
        <v>0.27150093627732602</v>
      </c>
      <c r="O2229" s="31">
        <f t="shared" si="139"/>
        <v>0.88270299629065363</v>
      </c>
    </row>
    <row r="2230" spans="1:15" x14ac:dyDescent="0.25">
      <c r="A2230" t="s">
        <v>7967</v>
      </c>
      <c r="B2230" t="s">
        <v>4427</v>
      </c>
      <c r="C2230" s="3" t="s">
        <v>4428</v>
      </c>
      <c r="D2230" s="24">
        <v>0.53114099999999997</v>
      </c>
      <c r="E2230" s="25">
        <v>9.4550000000000001</v>
      </c>
      <c r="F2230" s="25">
        <v>9.3789999999999996</v>
      </c>
      <c r="G2230" s="26">
        <v>7.6509999999999995E-2</v>
      </c>
      <c r="H2230" s="27">
        <v>0.1152</v>
      </c>
      <c r="I2230" s="26">
        <v>0.66439999999999999</v>
      </c>
      <c r="J2230" s="28">
        <v>6</v>
      </c>
      <c r="K2230" s="27">
        <v>0.66165300000000005</v>
      </c>
      <c r="L2230" s="29">
        <f t="shared" si="136"/>
        <v>0.17936971402740612</v>
      </c>
      <c r="M2230" s="29">
        <f t="shared" si="137"/>
        <v>7.6000000000001552E-2</v>
      </c>
      <c r="N2230" s="30">
        <f t="shared" si="138"/>
        <v>0.2747901730932063</v>
      </c>
      <c r="O2230" s="31">
        <f t="shared" si="139"/>
        <v>1.054091423290739</v>
      </c>
    </row>
    <row r="2231" spans="1:15" x14ac:dyDescent="0.25">
      <c r="A2231" t="s">
        <v>7968</v>
      </c>
      <c r="B2231" t="s">
        <v>4439</v>
      </c>
      <c r="C2231" s="3" t="s">
        <v>4440</v>
      </c>
      <c r="D2231" s="24">
        <v>0.53517899999999996</v>
      </c>
      <c r="E2231" s="25">
        <v>10.79</v>
      </c>
      <c r="F2231" s="25">
        <v>10.97</v>
      </c>
      <c r="G2231" s="26">
        <v>-0.1739</v>
      </c>
      <c r="H2231" s="27">
        <v>0.26450000000000001</v>
      </c>
      <c r="I2231" s="26">
        <v>0.65759999999999996</v>
      </c>
      <c r="J2231" s="28">
        <v>6</v>
      </c>
      <c r="K2231" s="27">
        <v>0.66165300000000005</v>
      </c>
      <c r="L2231" s="29">
        <f t="shared" si="136"/>
        <v>0.17936971402740612</v>
      </c>
      <c r="M2231" s="29">
        <f t="shared" si="137"/>
        <v>-0.18000000000000202</v>
      </c>
      <c r="N2231" s="30">
        <f t="shared" si="138"/>
        <v>0.27150093627732602</v>
      </c>
      <c r="O2231" s="31">
        <f t="shared" si="139"/>
        <v>0.88270299629065363</v>
      </c>
    </row>
    <row r="2232" spans="1:15" x14ac:dyDescent="0.25">
      <c r="A2232" t="s">
        <v>7969</v>
      </c>
      <c r="B2232" t="s">
        <v>4443</v>
      </c>
      <c r="C2232" s="3" t="s">
        <v>4444</v>
      </c>
      <c r="D2232" s="24">
        <v>0.53517899999999996</v>
      </c>
      <c r="E2232" s="25">
        <v>10.79</v>
      </c>
      <c r="F2232" s="25">
        <v>10.97</v>
      </c>
      <c r="G2232" s="26">
        <v>-0.1739</v>
      </c>
      <c r="H2232" s="27">
        <v>0.26450000000000001</v>
      </c>
      <c r="I2232" s="26">
        <v>0.65759999999999996</v>
      </c>
      <c r="J2232" s="28">
        <v>6</v>
      </c>
      <c r="K2232" s="27">
        <v>0.66165300000000005</v>
      </c>
      <c r="L2232" s="29">
        <f t="shared" si="136"/>
        <v>0.17936971402740612</v>
      </c>
      <c r="M2232" s="29">
        <f t="shared" si="137"/>
        <v>-0.18000000000000202</v>
      </c>
      <c r="N2232" s="30">
        <f t="shared" si="138"/>
        <v>0.27150093627732602</v>
      </c>
      <c r="O2232" s="31">
        <f t="shared" si="139"/>
        <v>0.88270299629065363</v>
      </c>
    </row>
    <row r="2233" spans="1:15" x14ac:dyDescent="0.25">
      <c r="A2233" t="s">
        <v>7970</v>
      </c>
      <c r="B2233" t="s">
        <v>4453</v>
      </c>
      <c r="C2233" s="3" t="s">
        <v>4454</v>
      </c>
      <c r="D2233" s="24">
        <v>0.53517899999999996</v>
      </c>
      <c r="E2233" s="25">
        <v>10.79</v>
      </c>
      <c r="F2233" s="25">
        <v>10.97</v>
      </c>
      <c r="G2233" s="26">
        <v>-0.1739</v>
      </c>
      <c r="H2233" s="27">
        <v>0.26450000000000001</v>
      </c>
      <c r="I2233" s="26">
        <v>0.65759999999999996</v>
      </c>
      <c r="J2233" s="28">
        <v>6</v>
      </c>
      <c r="K2233" s="27">
        <v>0.66165300000000005</v>
      </c>
      <c r="L2233" s="29">
        <f t="shared" si="136"/>
        <v>0.17936971402740612</v>
      </c>
      <c r="M2233" s="29">
        <f t="shared" si="137"/>
        <v>-0.18000000000000202</v>
      </c>
      <c r="N2233" s="30">
        <f t="shared" si="138"/>
        <v>0.27150093627732602</v>
      </c>
      <c r="O2233" s="31">
        <f t="shared" si="139"/>
        <v>0.88270299629065363</v>
      </c>
    </row>
    <row r="2234" spans="1:15" x14ac:dyDescent="0.25">
      <c r="A2234" t="s">
        <v>7971</v>
      </c>
      <c r="B2234" t="s">
        <v>4455</v>
      </c>
      <c r="C2234" s="3" t="s">
        <v>4456</v>
      </c>
      <c r="D2234" s="24">
        <v>0.53517899999999996</v>
      </c>
      <c r="E2234" s="25">
        <v>10.79</v>
      </c>
      <c r="F2234" s="25">
        <v>10.97</v>
      </c>
      <c r="G2234" s="26">
        <v>-0.1739</v>
      </c>
      <c r="H2234" s="27">
        <v>0.26450000000000001</v>
      </c>
      <c r="I2234" s="26">
        <v>0.65759999999999996</v>
      </c>
      <c r="J2234" s="28">
        <v>6</v>
      </c>
      <c r="K2234" s="27">
        <v>0.66165300000000005</v>
      </c>
      <c r="L2234" s="29">
        <f t="shared" si="136"/>
        <v>0.17936971402740612</v>
      </c>
      <c r="M2234" s="29">
        <f t="shared" si="137"/>
        <v>-0.18000000000000202</v>
      </c>
      <c r="N2234" s="30">
        <f t="shared" si="138"/>
        <v>0.27150093627732602</v>
      </c>
      <c r="O2234" s="31">
        <f t="shared" si="139"/>
        <v>0.88270299629065363</v>
      </c>
    </row>
    <row r="2235" spans="1:15" x14ac:dyDescent="0.25">
      <c r="A2235" t="s">
        <v>7972</v>
      </c>
      <c r="B2235" t="s">
        <v>4419</v>
      </c>
      <c r="C2235" s="3" t="s">
        <v>4420</v>
      </c>
      <c r="D2235" s="24">
        <v>0.52984799999999999</v>
      </c>
      <c r="E2235" s="25">
        <v>10.88</v>
      </c>
      <c r="F2235" s="25">
        <v>10.76</v>
      </c>
      <c r="G2235" s="26">
        <v>0.1168</v>
      </c>
      <c r="H2235" s="27">
        <v>0.17519999999999999</v>
      </c>
      <c r="I2235" s="26">
        <v>0.66649999999999998</v>
      </c>
      <c r="J2235" s="28">
        <v>6</v>
      </c>
      <c r="K2235" s="27">
        <v>0.66165300000000005</v>
      </c>
      <c r="L2235" s="29">
        <f t="shared" si="136"/>
        <v>0.17936971402740612</v>
      </c>
      <c r="M2235" s="29">
        <f t="shared" si="137"/>
        <v>0.12000000000000074</v>
      </c>
      <c r="N2235" s="30">
        <f t="shared" si="138"/>
        <v>0.27584870064268335</v>
      </c>
      <c r="O2235" s="31">
        <f t="shared" si="139"/>
        <v>1.0867348625260587</v>
      </c>
    </row>
    <row r="2236" spans="1:15" x14ac:dyDescent="0.25">
      <c r="A2236" t="s">
        <v>7973</v>
      </c>
      <c r="B2236" t="s">
        <v>4475</v>
      </c>
      <c r="C2236" s="3" t="s">
        <v>4476</v>
      </c>
      <c r="D2236" s="24">
        <v>0.53581800000000002</v>
      </c>
      <c r="E2236" s="25">
        <v>9.67</v>
      </c>
      <c r="F2236" s="25">
        <v>9.702</v>
      </c>
      <c r="G2236" s="26">
        <v>-3.2710000000000003E-2</v>
      </c>
      <c r="H2236" s="27">
        <v>4.9820000000000003E-2</v>
      </c>
      <c r="I2236" s="26">
        <v>0.65659999999999996</v>
      </c>
      <c r="J2236" s="28">
        <v>6</v>
      </c>
      <c r="K2236" s="27">
        <v>0.66165300000000005</v>
      </c>
      <c r="L2236" s="29">
        <f t="shared" si="136"/>
        <v>0.17936971402740612</v>
      </c>
      <c r="M2236" s="29">
        <f t="shared" si="137"/>
        <v>-3.1999999999999369E-2</v>
      </c>
      <c r="N2236" s="30">
        <f t="shared" si="138"/>
        <v>0.27098270101267818</v>
      </c>
      <c r="O2236" s="31">
        <f t="shared" si="139"/>
        <v>0.97806347344733979</v>
      </c>
    </row>
    <row r="2237" spans="1:15" x14ac:dyDescent="0.25">
      <c r="A2237" t="s">
        <v>7974</v>
      </c>
      <c r="B2237" t="s">
        <v>4415</v>
      </c>
      <c r="C2237" s="3" t="s">
        <v>4416</v>
      </c>
      <c r="D2237" s="24">
        <v>0.52946400000000005</v>
      </c>
      <c r="E2237" s="25">
        <v>9.6750000000000007</v>
      </c>
      <c r="F2237" s="25">
        <v>9.7370000000000001</v>
      </c>
      <c r="G2237" s="26">
        <v>-6.1039999999999997E-2</v>
      </c>
      <c r="H2237" s="27">
        <v>9.1490000000000002E-2</v>
      </c>
      <c r="I2237" s="26">
        <v>0.66720000000000002</v>
      </c>
      <c r="J2237" s="28">
        <v>6</v>
      </c>
      <c r="K2237" s="27">
        <v>0.66165300000000005</v>
      </c>
      <c r="L2237" s="29">
        <f t="shared" si="136"/>
        <v>0.17936971402740612</v>
      </c>
      <c r="M2237" s="29">
        <f t="shared" si="137"/>
        <v>-6.1999999999999361E-2</v>
      </c>
      <c r="N2237" s="30">
        <f t="shared" si="138"/>
        <v>0.27616356366388134</v>
      </c>
      <c r="O2237" s="31">
        <f t="shared" si="139"/>
        <v>0.95793521822269689</v>
      </c>
    </row>
    <row r="2238" spans="1:15" x14ac:dyDescent="0.25">
      <c r="A2238" t="s">
        <v>7975</v>
      </c>
      <c r="B2238" t="s">
        <v>4477</v>
      </c>
      <c r="C2238" s="3" t="s">
        <v>4478</v>
      </c>
      <c r="D2238" s="24">
        <v>0.53671800000000003</v>
      </c>
      <c r="E2238" s="25">
        <v>8.2880000000000003</v>
      </c>
      <c r="F2238" s="25">
        <v>7.8440000000000003</v>
      </c>
      <c r="G2238" s="26">
        <v>0.44379999999999997</v>
      </c>
      <c r="H2238" s="27">
        <v>0.67749999999999999</v>
      </c>
      <c r="I2238" s="26">
        <v>0.65510000000000002</v>
      </c>
      <c r="J2238" s="28">
        <v>6</v>
      </c>
      <c r="K2238" s="27">
        <v>0.66233299999999995</v>
      </c>
      <c r="L2238" s="29">
        <f t="shared" si="136"/>
        <v>0.17892360617783482</v>
      </c>
      <c r="M2238" s="29">
        <f t="shared" si="137"/>
        <v>0.44399999999999962</v>
      </c>
      <c r="N2238" s="30">
        <f t="shared" si="138"/>
        <v>0.27025383946312714</v>
      </c>
      <c r="O2238" s="31">
        <f t="shared" si="139"/>
        <v>1.3603708524059546</v>
      </c>
    </row>
    <row r="2239" spans="1:15" x14ac:dyDescent="0.25">
      <c r="A2239" t="s">
        <v>7976</v>
      </c>
      <c r="B2239" t="s">
        <v>4483</v>
      </c>
      <c r="C2239" s="3" t="s">
        <v>4484</v>
      </c>
      <c r="D2239" s="24">
        <v>0.53768899999999997</v>
      </c>
      <c r="E2239" s="25">
        <v>7.976</v>
      </c>
      <c r="F2239" s="25">
        <v>7.69</v>
      </c>
      <c r="G2239" s="26">
        <v>0.2863</v>
      </c>
      <c r="H2239" s="27">
        <v>0.43809999999999999</v>
      </c>
      <c r="I2239" s="26">
        <v>0.65339999999999998</v>
      </c>
      <c r="J2239" s="28">
        <v>6</v>
      </c>
      <c r="K2239" s="27">
        <v>0.66233299999999995</v>
      </c>
      <c r="L2239" s="29">
        <f t="shared" si="136"/>
        <v>0.17892360617783482</v>
      </c>
      <c r="M2239" s="29">
        <f t="shared" si="137"/>
        <v>0.28599999999999914</v>
      </c>
      <c r="N2239" s="30">
        <f t="shared" si="138"/>
        <v>0.26946884819494105</v>
      </c>
      <c r="O2239" s="31">
        <f t="shared" si="139"/>
        <v>1.2192550940763025</v>
      </c>
    </row>
    <row r="2240" spans="1:15" x14ac:dyDescent="0.25">
      <c r="A2240" t="s">
        <v>7977</v>
      </c>
      <c r="B2240" t="s">
        <v>4479</v>
      </c>
      <c r="C2240" s="3" t="s">
        <v>4480</v>
      </c>
      <c r="D2240" s="24">
        <v>0.53689900000000002</v>
      </c>
      <c r="E2240" s="25">
        <v>8.27</v>
      </c>
      <c r="F2240" s="25">
        <v>8.1609999999999996</v>
      </c>
      <c r="G2240" s="26">
        <v>0.109</v>
      </c>
      <c r="H2240" s="27">
        <v>0.16650000000000001</v>
      </c>
      <c r="I2240" s="26">
        <v>0.65480000000000005</v>
      </c>
      <c r="J2240" s="28">
        <v>6</v>
      </c>
      <c r="K2240" s="27">
        <v>0.66233299999999995</v>
      </c>
      <c r="L2240" s="29">
        <f t="shared" si="136"/>
        <v>0.17892360617783482</v>
      </c>
      <c r="M2240" s="29">
        <f t="shared" si="137"/>
        <v>0.10899999999999987</v>
      </c>
      <c r="N2240" s="30">
        <f t="shared" si="138"/>
        <v>0.27010740493019919</v>
      </c>
      <c r="O2240" s="31">
        <f t="shared" si="139"/>
        <v>1.0784804316944516</v>
      </c>
    </row>
    <row r="2241" spans="1:15" x14ac:dyDescent="0.25">
      <c r="A2241" t="s">
        <v>7978</v>
      </c>
      <c r="B2241" t="s">
        <v>4481</v>
      </c>
      <c r="C2241" s="3" t="s">
        <v>4482</v>
      </c>
      <c r="D2241" s="24">
        <v>0.53728600000000004</v>
      </c>
      <c r="E2241" s="25">
        <v>12.15</v>
      </c>
      <c r="F2241" s="25">
        <v>12.26</v>
      </c>
      <c r="G2241" s="26">
        <v>-0.1048</v>
      </c>
      <c r="H2241" s="27">
        <v>0.16020000000000001</v>
      </c>
      <c r="I2241" s="26">
        <v>0.65410000000000001</v>
      </c>
      <c r="J2241" s="28">
        <v>6</v>
      </c>
      <c r="K2241" s="27">
        <v>0.66233299999999995</v>
      </c>
      <c r="L2241" s="29">
        <f t="shared" si="136"/>
        <v>0.17892360617783482</v>
      </c>
      <c r="M2241" s="29">
        <f t="shared" si="137"/>
        <v>-0.10999999999999788</v>
      </c>
      <c r="N2241" s="30">
        <f t="shared" si="138"/>
        <v>0.2697944756456378</v>
      </c>
      <c r="O2241" s="31">
        <f t="shared" si="139"/>
        <v>0.92658806189037224</v>
      </c>
    </row>
    <row r="2242" spans="1:15" x14ac:dyDescent="0.25">
      <c r="A2242" t="s">
        <v>7979</v>
      </c>
      <c r="B2242" t="s">
        <v>4487</v>
      </c>
      <c r="C2242" s="3" t="s">
        <v>4488</v>
      </c>
      <c r="D2242" s="24">
        <v>0.53780799999999995</v>
      </c>
      <c r="E2242" s="25">
        <v>7.9969999999999999</v>
      </c>
      <c r="F2242" s="25">
        <v>8.3789999999999996</v>
      </c>
      <c r="G2242" s="26">
        <v>-0.38200000000000001</v>
      </c>
      <c r="H2242" s="27">
        <v>0.58479999999999999</v>
      </c>
      <c r="I2242" s="26">
        <v>0.65329999999999999</v>
      </c>
      <c r="J2242" s="28">
        <v>6</v>
      </c>
      <c r="K2242" s="27">
        <v>0.66233299999999995</v>
      </c>
      <c r="L2242" s="29">
        <f t="shared" ref="L2242:L2305" si="140">-LOG(K2242,10)</f>
        <v>0.17892360617783482</v>
      </c>
      <c r="M2242" s="29">
        <f t="shared" ref="M2242:M2305" si="141">LOG(O2242,2)</f>
        <v>-0.38200000000000023</v>
      </c>
      <c r="N2242" s="30">
        <f t="shared" ref="N2242:N2305" si="142">-LOG(D2242,10)</f>
        <v>0.26937274184865206</v>
      </c>
      <c r="O2242" s="31">
        <f t="shared" ref="O2242:O2305" si="143">((2^E2242)/(2^F2242))</f>
        <v>0.76737304800044326</v>
      </c>
    </row>
    <row r="2243" spans="1:15" x14ac:dyDescent="0.25">
      <c r="A2243" t="s">
        <v>7980</v>
      </c>
      <c r="B2243" t="s">
        <v>4485</v>
      </c>
      <c r="C2243" s="3" t="s">
        <v>4486</v>
      </c>
      <c r="D2243" s="24">
        <v>0.53780700000000004</v>
      </c>
      <c r="E2243" s="25">
        <v>9.7530000000000001</v>
      </c>
      <c r="F2243" s="25">
        <v>9.8339999999999996</v>
      </c>
      <c r="G2243" s="26">
        <v>-8.1509999999999999E-2</v>
      </c>
      <c r="H2243" s="27">
        <v>0.12479999999999999</v>
      </c>
      <c r="I2243" s="26">
        <v>0.65329999999999999</v>
      </c>
      <c r="J2243" s="28">
        <v>6</v>
      </c>
      <c r="K2243" s="27">
        <v>0.66233299999999995</v>
      </c>
      <c r="L2243" s="29">
        <f t="shared" si="140"/>
        <v>0.17892360617783482</v>
      </c>
      <c r="M2243" s="29">
        <f t="shared" si="141"/>
        <v>-8.0999999999999572E-2</v>
      </c>
      <c r="N2243" s="30">
        <f t="shared" si="142"/>
        <v>0.26937354937640479</v>
      </c>
      <c r="O2243" s="31">
        <f t="shared" si="143"/>
        <v>0.94540211675074404</v>
      </c>
    </row>
    <row r="2244" spans="1:15" x14ac:dyDescent="0.25">
      <c r="A2244" t="s">
        <v>7981</v>
      </c>
      <c r="B2244" t="s">
        <v>4489</v>
      </c>
      <c r="C2244" s="3" t="s">
        <v>4490</v>
      </c>
      <c r="D2244" s="24">
        <v>0.53917599999999999</v>
      </c>
      <c r="E2244" s="25">
        <v>6.4349999999999996</v>
      </c>
      <c r="F2244" s="25">
        <v>6.673</v>
      </c>
      <c r="G2244" s="26">
        <v>-0.23769999999999999</v>
      </c>
      <c r="H2244" s="27">
        <v>0.36509999999999998</v>
      </c>
      <c r="I2244" s="26">
        <v>0.65100000000000002</v>
      </c>
      <c r="J2244" s="28">
        <v>6</v>
      </c>
      <c r="K2244" s="27">
        <v>0.66325500000000004</v>
      </c>
      <c r="L2244" s="29">
        <f t="shared" si="140"/>
        <v>0.17831946737017204</v>
      </c>
      <c r="M2244" s="29">
        <f t="shared" si="141"/>
        <v>-0.23800000000000066</v>
      </c>
      <c r="N2244" s="30">
        <f t="shared" si="142"/>
        <v>0.2682694475178774</v>
      </c>
      <c r="O2244" s="31">
        <f t="shared" si="143"/>
        <v>0.84791996463314745</v>
      </c>
    </row>
    <row r="2245" spans="1:15" x14ac:dyDescent="0.25">
      <c r="A2245" t="s">
        <v>7982</v>
      </c>
      <c r="B2245" t="s">
        <v>4511</v>
      </c>
      <c r="C2245" s="3" t="s">
        <v>4512</v>
      </c>
      <c r="D2245" s="24">
        <v>0.54182600000000003</v>
      </c>
      <c r="E2245" s="25">
        <v>9.3510000000000009</v>
      </c>
      <c r="F2245" s="25">
        <v>9.2539999999999996</v>
      </c>
      <c r="G2245" s="26">
        <v>9.6759999999999999E-2</v>
      </c>
      <c r="H2245" s="27">
        <v>0.14960000000000001</v>
      </c>
      <c r="I2245" s="26">
        <v>0.64659999999999995</v>
      </c>
      <c r="J2245" s="28">
        <v>6</v>
      </c>
      <c r="K2245" s="27">
        <v>0.66325500000000004</v>
      </c>
      <c r="L2245" s="29">
        <f t="shared" si="140"/>
        <v>0.17831946737017204</v>
      </c>
      <c r="M2245" s="29">
        <f t="shared" si="141"/>
        <v>9.7000000000001349E-2</v>
      </c>
      <c r="N2245" s="30">
        <f t="shared" si="142"/>
        <v>0.26614015879785774</v>
      </c>
      <c r="O2245" s="31">
        <f t="shared" si="143"/>
        <v>1.0695470878852458</v>
      </c>
    </row>
    <row r="2246" spans="1:15" x14ac:dyDescent="0.25">
      <c r="A2246" t="s">
        <v>7983</v>
      </c>
      <c r="B2246" t="s">
        <v>4497</v>
      </c>
      <c r="C2246" s="3" t="s">
        <v>4498</v>
      </c>
      <c r="D2246" s="24">
        <v>0.53995300000000002</v>
      </c>
      <c r="E2246" s="25">
        <v>8.9169999999999998</v>
      </c>
      <c r="F2246" s="25">
        <v>8.8019999999999996</v>
      </c>
      <c r="G2246" s="26">
        <v>0.1152</v>
      </c>
      <c r="H2246" s="27">
        <v>0.17730000000000001</v>
      </c>
      <c r="I2246" s="26">
        <v>0.64970000000000006</v>
      </c>
      <c r="J2246" s="28">
        <v>6</v>
      </c>
      <c r="K2246" s="27">
        <v>0.66325500000000004</v>
      </c>
      <c r="L2246" s="29">
        <f t="shared" si="140"/>
        <v>0.17831946737017204</v>
      </c>
      <c r="M2246" s="29">
        <f t="shared" si="141"/>
        <v>0.11500000000000009</v>
      </c>
      <c r="N2246" s="30">
        <f t="shared" si="142"/>
        <v>0.26764404152702048</v>
      </c>
      <c r="O2246" s="31">
        <f t="shared" si="143"/>
        <v>1.0829750455259248</v>
      </c>
    </row>
    <row r="2247" spans="1:15" x14ac:dyDescent="0.25">
      <c r="A2247" t="s">
        <v>7984</v>
      </c>
      <c r="B2247" t="s">
        <v>4515</v>
      </c>
      <c r="C2247" s="3" t="s">
        <v>4516</v>
      </c>
      <c r="D2247" s="24">
        <v>0.54243200000000003</v>
      </c>
      <c r="E2247" s="25">
        <v>10.050000000000001</v>
      </c>
      <c r="F2247" s="25">
        <v>9.9600000000000009</v>
      </c>
      <c r="G2247" s="26">
        <v>8.931E-2</v>
      </c>
      <c r="H2247" s="27">
        <v>0.13830000000000001</v>
      </c>
      <c r="I2247" s="26">
        <v>0.64559999999999995</v>
      </c>
      <c r="J2247" s="28">
        <v>6</v>
      </c>
      <c r="K2247" s="27">
        <v>0.66325500000000004</v>
      </c>
      <c r="L2247" s="29">
        <f t="shared" si="140"/>
        <v>0.17831946737017204</v>
      </c>
      <c r="M2247" s="29">
        <f t="shared" si="141"/>
        <v>8.9999999999999872E-2</v>
      </c>
      <c r="N2247" s="30">
        <f t="shared" si="142"/>
        <v>0.26565469780344964</v>
      </c>
      <c r="O2247" s="31">
        <f t="shared" si="143"/>
        <v>1.0643701824533598</v>
      </c>
    </row>
    <row r="2248" spans="1:15" x14ac:dyDescent="0.25">
      <c r="A2248" t="s">
        <v>7985</v>
      </c>
      <c r="B2248" t="s">
        <v>4501</v>
      </c>
      <c r="C2248" s="3" t="s">
        <v>4502</v>
      </c>
      <c r="D2248" s="24">
        <v>0.54063000000000005</v>
      </c>
      <c r="E2248" s="25">
        <v>7.8040000000000003</v>
      </c>
      <c r="F2248" s="25">
        <v>7.7110000000000003</v>
      </c>
      <c r="G2248" s="26">
        <v>9.2380000000000004E-2</v>
      </c>
      <c r="H2248" s="27">
        <v>0.1424</v>
      </c>
      <c r="I2248" s="26">
        <v>0.64859999999999995</v>
      </c>
      <c r="J2248" s="28">
        <v>6</v>
      </c>
      <c r="K2248" s="27">
        <v>0.66325500000000004</v>
      </c>
      <c r="L2248" s="29">
        <f t="shared" si="140"/>
        <v>0.17831946737017204</v>
      </c>
      <c r="M2248" s="29">
        <f t="shared" si="141"/>
        <v>9.299999999999968E-2</v>
      </c>
      <c r="N2248" s="30">
        <f t="shared" si="142"/>
        <v>0.26709985861331981</v>
      </c>
      <c r="O2248" s="31">
        <f t="shared" si="143"/>
        <v>1.0665857808317643</v>
      </c>
    </row>
    <row r="2249" spans="1:15" x14ac:dyDescent="0.25">
      <c r="A2249" t="s">
        <v>7986</v>
      </c>
      <c r="B2249" t="s">
        <v>4493</v>
      </c>
      <c r="C2249" s="3" t="s">
        <v>4494</v>
      </c>
      <c r="D2249" s="24">
        <v>0.53956800000000005</v>
      </c>
      <c r="E2249" s="25">
        <v>11.58</v>
      </c>
      <c r="F2249" s="25">
        <v>11.62</v>
      </c>
      <c r="G2249" s="26">
        <v>-3.9E-2</v>
      </c>
      <c r="H2249" s="27">
        <v>5.9979999999999999E-2</v>
      </c>
      <c r="I2249" s="26">
        <v>0.65029999999999999</v>
      </c>
      <c r="J2249" s="28">
        <v>6</v>
      </c>
      <c r="K2249" s="27">
        <v>0.66325500000000004</v>
      </c>
      <c r="L2249" s="29">
        <f t="shared" si="140"/>
        <v>0.17831946737017204</v>
      </c>
      <c r="M2249" s="29">
        <f t="shared" si="141"/>
        <v>-3.9999999999998828E-2</v>
      </c>
      <c r="N2249" s="30">
        <f t="shared" si="142"/>
        <v>0.26795381481095232</v>
      </c>
      <c r="O2249" s="31">
        <f t="shared" si="143"/>
        <v>0.97265494741228631</v>
      </c>
    </row>
    <row r="2250" spans="1:15" x14ac:dyDescent="0.25">
      <c r="A2250" t="s">
        <v>7987</v>
      </c>
      <c r="B2250" t="s">
        <v>4513</v>
      </c>
      <c r="C2250" s="3" t="s">
        <v>4514</v>
      </c>
      <c r="D2250" s="24">
        <v>0.542323</v>
      </c>
      <c r="E2250" s="25">
        <v>9.1519999999999992</v>
      </c>
      <c r="F2250" s="25">
        <v>9.2170000000000005</v>
      </c>
      <c r="G2250" s="26">
        <v>-6.5199999999999994E-2</v>
      </c>
      <c r="H2250" s="27">
        <v>0.10100000000000001</v>
      </c>
      <c r="I2250" s="26">
        <v>0.64580000000000004</v>
      </c>
      <c r="J2250" s="28">
        <v>6</v>
      </c>
      <c r="K2250" s="27">
        <v>0.66325500000000004</v>
      </c>
      <c r="L2250" s="29">
        <f t="shared" si="140"/>
        <v>0.17831946737017204</v>
      </c>
      <c r="M2250" s="29">
        <f t="shared" si="141"/>
        <v>-6.5000000000001876E-2</v>
      </c>
      <c r="N2250" s="30">
        <f t="shared" si="142"/>
        <v>0.2657419766796692</v>
      </c>
      <c r="O2250" s="31">
        <f t="shared" si="143"/>
        <v>0.95594531759374091</v>
      </c>
    </row>
    <row r="2251" spans="1:15" x14ac:dyDescent="0.25">
      <c r="A2251" t="s">
        <v>7988</v>
      </c>
      <c r="B2251" t="s">
        <v>4509</v>
      </c>
      <c r="C2251" s="3" t="s">
        <v>4510</v>
      </c>
      <c r="D2251" s="24">
        <v>0.54166800000000004</v>
      </c>
      <c r="E2251" s="25">
        <v>7.3259999999999996</v>
      </c>
      <c r="F2251" s="25">
        <v>7.3890000000000002</v>
      </c>
      <c r="G2251" s="26">
        <v>-6.2440000000000002E-2</v>
      </c>
      <c r="H2251" s="27">
        <v>9.6530000000000005E-2</v>
      </c>
      <c r="I2251" s="26">
        <v>0.64690000000000003</v>
      </c>
      <c r="J2251" s="28">
        <v>6</v>
      </c>
      <c r="K2251" s="27">
        <v>0.66325500000000004</v>
      </c>
      <c r="L2251" s="29">
        <f t="shared" si="140"/>
        <v>0.17831946737017204</v>
      </c>
      <c r="M2251" s="29">
        <f t="shared" si="141"/>
        <v>-6.3000000000000986E-2</v>
      </c>
      <c r="N2251" s="30">
        <f t="shared" si="142"/>
        <v>0.26626682037351407</v>
      </c>
      <c r="O2251" s="31">
        <f t="shared" si="143"/>
        <v>0.95727145819529691</v>
      </c>
    </row>
    <row r="2252" spans="1:15" x14ac:dyDescent="0.25">
      <c r="A2252" t="s">
        <v>7989</v>
      </c>
      <c r="B2252" t="s">
        <v>4517</v>
      </c>
      <c r="C2252" s="3" t="s">
        <v>4518</v>
      </c>
      <c r="D2252" s="24">
        <v>0.54247800000000002</v>
      </c>
      <c r="E2252" s="25">
        <v>7.601</v>
      </c>
      <c r="F2252" s="25">
        <v>7.7430000000000003</v>
      </c>
      <c r="G2252" s="26">
        <v>-0.14180000000000001</v>
      </c>
      <c r="H2252" s="27">
        <v>0.21959999999999999</v>
      </c>
      <c r="I2252" s="26">
        <v>0.64549999999999996</v>
      </c>
      <c r="J2252" s="28">
        <v>6</v>
      </c>
      <c r="K2252" s="27">
        <v>0.66325500000000004</v>
      </c>
      <c r="L2252" s="29">
        <f t="shared" si="140"/>
        <v>0.17831946737017204</v>
      </c>
      <c r="M2252" s="29">
        <f t="shared" si="141"/>
        <v>-0.14199999999999988</v>
      </c>
      <c r="N2252" s="30">
        <f t="shared" si="142"/>
        <v>0.26561786977867424</v>
      </c>
      <c r="O2252" s="31">
        <f t="shared" si="143"/>
        <v>0.90626193826733448</v>
      </c>
    </row>
    <row r="2253" spans="1:15" x14ac:dyDescent="0.25">
      <c r="A2253" t="s">
        <v>7990</v>
      </c>
      <c r="B2253" t="s">
        <v>4507</v>
      </c>
      <c r="C2253" s="3" t="s">
        <v>4508</v>
      </c>
      <c r="D2253" s="24">
        <v>0.54138500000000001</v>
      </c>
      <c r="E2253" s="25">
        <v>10.49</v>
      </c>
      <c r="F2253" s="25">
        <v>10.44</v>
      </c>
      <c r="G2253" s="26">
        <v>5.1110000000000003E-2</v>
      </c>
      <c r="H2253" s="27">
        <v>7.8960000000000002E-2</v>
      </c>
      <c r="I2253" s="26">
        <v>0.64729999999999999</v>
      </c>
      <c r="J2253" s="28">
        <v>6</v>
      </c>
      <c r="K2253" s="27">
        <v>0.66325500000000004</v>
      </c>
      <c r="L2253" s="29">
        <f t="shared" si="140"/>
        <v>0.17831946737017204</v>
      </c>
      <c r="M2253" s="29">
        <f t="shared" si="141"/>
        <v>5.0000000000000731E-2</v>
      </c>
      <c r="N2253" s="30">
        <f t="shared" si="142"/>
        <v>0.26649378127233586</v>
      </c>
      <c r="O2253" s="31">
        <f t="shared" si="143"/>
        <v>1.035264923841378</v>
      </c>
    </row>
    <row r="2254" spans="1:15" x14ac:dyDescent="0.25">
      <c r="A2254" t="s">
        <v>7991</v>
      </c>
      <c r="B2254" t="s">
        <v>4503</v>
      </c>
      <c r="C2254" s="3" t="s">
        <v>4504</v>
      </c>
      <c r="D2254" s="24">
        <v>0.54069900000000004</v>
      </c>
      <c r="E2254" s="25">
        <v>9.2460000000000004</v>
      </c>
      <c r="F2254" s="25">
        <v>9.2970000000000006</v>
      </c>
      <c r="G2254" s="26">
        <v>-5.1189999999999999E-2</v>
      </c>
      <c r="H2254" s="27">
        <v>7.8939999999999996E-2</v>
      </c>
      <c r="I2254" s="26">
        <v>0.64849999999999997</v>
      </c>
      <c r="J2254" s="28">
        <v>6</v>
      </c>
      <c r="K2254" s="27">
        <v>0.66325500000000004</v>
      </c>
      <c r="L2254" s="29">
        <f t="shared" si="140"/>
        <v>0.17831946737017204</v>
      </c>
      <c r="M2254" s="29">
        <f t="shared" si="141"/>
        <v>-5.0999999999999664E-2</v>
      </c>
      <c r="N2254" s="30">
        <f t="shared" si="142"/>
        <v>0.26704443363296326</v>
      </c>
      <c r="O2254" s="31">
        <f t="shared" si="143"/>
        <v>0.9652670248717572</v>
      </c>
    </row>
    <row r="2255" spans="1:15" x14ac:dyDescent="0.25">
      <c r="A2255" t="s">
        <v>7992</v>
      </c>
      <c r="B2255" t="s">
        <v>4491</v>
      </c>
      <c r="C2255" s="3" t="s">
        <v>4492</v>
      </c>
      <c r="D2255" s="24">
        <v>0.53947400000000001</v>
      </c>
      <c r="E2255" s="25">
        <v>7.5010000000000003</v>
      </c>
      <c r="F2255" s="25">
        <v>7.7850000000000001</v>
      </c>
      <c r="G2255" s="26">
        <v>-0.28439999999999999</v>
      </c>
      <c r="H2255" s="27">
        <v>0.43730000000000002</v>
      </c>
      <c r="I2255" s="26">
        <v>0.65049999999999997</v>
      </c>
      <c r="J2255" s="28">
        <v>6</v>
      </c>
      <c r="K2255" s="27">
        <v>0.66325500000000004</v>
      </c>
      <c r="L2255" s="29">
        <f t="shared" si="140"/>
        <v>0.17831946737017204</v>
      </c>
      <c r="M2255" s="29">
        <f t="shared" si="141"/>
        <v>-0.28399999999999942</v>
      </c>
      <c r="N2255" s="30">
        <f t="shared" si="142"/>
        <v>0.26802948133997012</v>
      </c>
      <c r="O2255" s="31">
        <f t="shared" si="143"/>
        <v>0.82131070075206614</v>
      </c>
    </row>
    <row r="2256" spans="1:15" x14ac:dyDescent="0.25">
      <c r="A2256" t="s">
        <v>7993</v>
      </c>
      <c r="B2256" t="s">
        <v>4505</v>
      </c>
      <c r="C2256" s="3" t="s">
        <v>4506</v>
      </c>
      <c r="D2256" s="24">
        <v>0.54082600000000003</v>
      </c>
      <c r="E2256" s="25">
        <v>10.72</v>
      </c>
      <c r="F2256" s="25">
        <v>10.93</v>
      </c>
      <c r="G2256" s="26">
        <v>-0.2162</v>
      </c>
      <c r="H2256" s="27">
        <v>0.33360000000000001</v>
      </c>
      <c r="I2256" s="26">
        <v>0.6482</v>
      </c>
      <c r="J2256" s="28">
        <v>6</v>
      </c>
      <c r="K2256" s="27">
        <v>0.66325500000000004</v>
      </c>
      <c r="L2256" s="29">
        <f t="shared" si="140"/>
        <v>0.17831946737017204</v>
      </c>
      <c r="M2256" s="29">
        <f t="shared" si="141"/>
        <v>-0.2099999999999991</v>
      </c>
      <c r="N2256" s="30">
        <f t="shared" si="142"/>
        <v>0.26694243802591722</v>
      </c>
      <c r="O2256" s="31">
        <f t="shared" si="143"/>
        <v>0.86453723130786575</v>
      </c>
    </row>
    <row r="2257" spans="1:15" x14ac:dyDescent="0.25">
      <c r="A2257" t="s">
        <v>7994</v>
      </c>
      <c r="B2257" t="s">
        <v>4519</v>
      </c>
      <c r="C2257" s="3" t="s">
        <v>4520</v>
      </c>
      <c r="D2257" s="24">
        <v>0.54260399999999998</v>
      </c>
      <c r="E2257" s="25">
        <v>10.69</v>
      </c>
      <c r="F2257" s="25">
        <v>10.75</v>
      </c>
      <c r="G2257" s="26">
        <v>-6.343E-2</v>
      </c>
      <c r="H2257" s="27">
        <v>9.8290000000000002E-2</v>
      </c>
      <c r="I2257" s="26">
        <v>0.64529999999999998</v>
      </c>
      <c r="J2257" s="28">
        <v>6</v>
      </c>
      <c r="K2257" s="27">
        <v>0.66325500000000004</v>
      </c>
      <c r="L2257" s="29">
        <f t="shared" si="140"/>
        <v>0.17831946737017204</v>
      </c>
      <c r="M2257" s="29">
        <f t="shared" si="141"/>
        <v>-5.9999999999999741E-2</v>
      </c>
      <c r="N2257" s="30">
        <f t="shared" si="142"/>
        <v>0.26551700900508157</v>
      </c>
      <c r="O2257" s="31">
        <f t="shared" si="143"/>
        <v>0.95926411932526456</v>
      </c>
    </row>
    <row r="2258" spans="1:15" x14ac:dyDescent="0.25">
      <c r="A2258" t="s">
        <v>7995</v>
      </c>
      <c r="B2258" t="s">
        <v>4521</v>
      </c>
      <c r="C2258" s="3" t="s">
        <v>4522</v>
      </c>
      <c r="D2258" s="24">
        <v>0.54263799999999995</v>
      </c>
      <c r="E2258" s="25">
        <v>9.9689999999999994</v>
      </c>
      <c r="F2258" s="25">
        <v>9.8940000000000001</v>
      </c>
      <c r="G2258" s="26">
        <v>7.5190000000000007E-2</v>
      </c>
      <c r="H2258" s="27">
        <v>0.11650000000000001</v>
      </c>
      <c r="I2258" s="26">
        <v>0.6452</v>
      </c>
      <c r="J2258" s="28">
        <v>6</v>
      </c>
      <c r="K2258" s="27">
        <v>0.66325500000000004</v>
      </c>
      <c r="L2258" s="29">
        <f t="shared" si="140"/>
        <v>0.17831946737017204</v>
      </c>
      <c r="M2258" s="29">
        <f t="shared" si="141"/>
        <v>7.4999999999999567E-2</v>
      </c>
      <c r="N2258" s="30">
        <f t="shared" si="142"/>
        <v>0.26548979661855487</v>
      </c>
      <c r="O2258" s="31">
        <f t="shared" si="143"/>
        <v>1.0533610359548355</v>
      </c>
    </row>
    <row r="2259" spans="1:15" x14ac:dyDescent="0.25">
      <c r="A2259" t="s">
        <v>7996</v>
      </c>
      <c r="B2259" t="s">
        <v>4495</v>
      </c>
      <c r="C2259" s="3" t="s">
        <v>4496</v>
      </c>
      <c r="D2259" s="24">
        <v>0.53976299999999999</v>
      </c>
      <c r="E2259" s="25">
        <v>10.35</v>
      </c>
      <c r="F2259" s="25">
        <v>10.4</v>
      </c>
      <c r="G2259" s="26">
        <v>-4.3749999999999997E-2</v>
      </c>
      <c r="H2259" s="27">
        <v>6.7309999999999995E-2</v>
      </c>
      <c r="I2259" s="26">
        <v>0.65</v>
      </c>
      <c r="J2259" s="28">
        <v>6</v>
      </c>
      <c r="K2259" s="27">
        <v>0.66325500000000004</v>
      </c>
      <c r="L2259" s="29">
        <f t="shared" si="140"/>
        <v>0.17831946737017204</v>
      </c>
      <c r="M2259" s="29">
        <f t="shared" si="141"/>
        <v>-5.0000000000000586E-2</v>
      </c>
      <c r="N2259" s="30">
        <f t="shared" si="142"/>
        <v>0.26779688903953924</v>
      </c>
      <c r="O2259" s="31">
        <f t="shared" si="143"/>
        <v>0.96593632892484516</v>
      </c>
    </row>
    <row r="2260" spans="1:15" x14ac:dyDescent="0.25">
      <c r="A2260" t="s">
        <v>7997</v>
      </c>
      <c r="B2260" t="s">
        <v>4499</v>
      </c>
      <c r="C2260" s="3" t="s">
        <v>4500</v>
      </c>
      <c r="D2260" s="24">
        <v>0.54021300000000005</v>
      </c>
      <c r="E2260" s="25">
        <v>9.4459999999999997</v>
      </c>
      <c r="F2260" s="25">
        <v>9.3659999999999997</v>
      </c>
      <c r="G2260" s="26">
        <v>7.9990000000000006E-2</v>
      </c>
      <c r="H2260" s="27">
        <v>0.1232</v>
      </c>
      <c r="I2260" s="26">
        <v>0.64929999999999999</v>
      </c>
      <c r="J2260" s="28">
        <v>6</v>
      </c>
      <c r="K2260" s="27">
        <v>0.66325500000000004</v>
      </c>
      <c r="L2260" s="29">
        <f t="shared" si="140"/>
        <v>0.17831946737017204</v>
      </c>
      <c r="M2260" s="29">
        <f t="shared" si="141"/>
        <v>7.9999999999999252E-2</v>
      </c>
      <c r="N2260" s="30">
        <f t="shared" si="142"/>
        <v>0.26743496890767193</v>
      </c>
      <c r="O2260" s="31">
        <f t="shared" si="143"/>
        <v>1.0570180405613798</v>
      </c>
    </row>
    <row r="2261" spans="1:15" x14ac:dyDescent="0.25">
      <c r="A2261" t="s">
        <v>7998</v>
      </c>
      <c r="B2261" t="s">
        <v>4523</v>
      </c>
      <c r="C2261" s="3" t="s">
        <v>4524</v>
      </c>
      <c r="D2261" s="24">
        <v>0.54318200000000005</v>
      </c>
      <c r="E2261" s="25">
        <v>10.47</v>
      </c>
      <c r="F2261" s="25">
        <v>10.38</v>
      </c>
      <c r="G2261" s="26">
        <v>8.7919999999999998E-2</v>
      </c>
      <c r="H2261" s="27">
        <v>0.13639999999999999</v>
      </c>
      <c r="I2261" s="26">
        <v>0.64429999999999998</v>
      </c>
      <c r="J2261" s="28">
        <v>6</v>
      </c>
      <c r="K2261" s="27">
        <v>0.66362699999999997</v>
      </c>
      <c r="L2261" s="29">
        <f t="shared" si="140"/>
        <v>0.17807595279766178</v>
      </c>
      <c r="M2261" s="29">
        <f t="shared" si="141"/>
        <v>8.9999999999999566E-2</v>
      </c>
      <c r="N2261" s="30">
        <f t="shared" si="142"/>
        <v>0.26505463016753616</v>
      </c>
      <c r="O2261" s="31">
        <f t="shared" si="143"/>
        <v>1.0643701824533596</v>
      </c>
    </row>
    <row r="2262" spans="1:15" x14ac:dyDescent="0.25">
      <c r="A2262" t="s">
        <v>7999</v>
      </c>
      <c r="B2262" t="s">
        <v>4525</v>
      </c>
      <c r="C2262" s="3" t="s">
        <v>4526</v>
      </c>
      <c r="D2262" s="24">
        <v>0.54347900000000005</v>
      </c>
      <c r="E2262" s="25">
        <v>9.0839999999999996</v>
      </c>
      <c r="F2262" s="25">
        <v>8.9819999999999993</v>
      </c>
      <c r="G2262" s="26">
        <v>0.1012</v>
      </c>
      <c r="H2262" s="27">
        <v>0.15720000000000001</v>
      </c>
      <c r="I2262" s="26">
        <v>0.64390000000000003</v>
      </c>
      <c r="J2262" s="28">
        <v>6</v>
      </c>
      <c r="K2262" s="27">
        <v>0.66369500000000003</v>
      </c>
      <c r="L2262" s="29">
        <f t="shared" si="140"/>
        <v>0.17803145413826296</v>
      </c>
      <c r="M2262" s="29">
        <f t="shared" si="141"/>
        <v>0.10200000000000101</v>
      </c>
      <c r="N2262" s="30">
        <f t="shared" si="142"/>
        <v>0.26481723236944266</v>
      </c>
      <c r="O2262" s="31">
        <f t="shared" si="143"/>
        <v>1.0732602863934542</v>
      </c>
    </row>
    <row r="2263" spans="1:15" x14ac:dyDescent="0.25">
      <c r="A2263" t="s">
        <v>8000</v>
      </c>
      <c r="B2263" t="s">
        <v>4527</v>
      </c>
      <c r="C2263" s="3" t="s">
        <v>4528</v>
      </c>
      <c r="D2263" s="24">
        <v>0.54405999999999999</v>
      </c>
      <c r="E2263" s="25">
        <v>9.3650000000000002</v>
      </c>
      <c r="F2263" s="25">
        <v>9.2880000000000003</v>
      </c>
      <c r="G2263" s="26">
        <v>7.7160000000000006E-2</v>
      </c>
      <c r="H2263" s="27">
        <v>0.12</v>
      </c>
      <c r="I2263" s="26">
        <v>0.64290000000000003</v>
      </c>
      <c r="J2263" s="28">
        <v>6</v>
      </c>
      <c r="K2263" s="27">
        <v>0.66411100000000001</v>
      </c>
      <c r="L2263" s="29">
        <f t="shared" si="140"/>
        <v>0.1777593262665966</v>
      </c>
      <c r="M2263" s="29">
        <f t="shared" si="141"/>
        <v>7.7000000000000374E-2</v>
      </c>
      <c r="N2263" s="30">
        <f t="shared" si="142"/>
        <v>0.26435320281649649</v>
      </c>
      <c r="O2263" s="31">
        <f t="shared" si="143"/>
        <v>1.0548223170680617</v>
      </c>
    </row>
    <row r="2264" spans="1:15" x14ac:dyDescent="0.25">
      <c r="A2264" t="s">
        <v>8001</v>
      </c>
      <c r="B2264" t="s">
        <v>4529</v>
      </c>
      <c r="C2264" s="3" t="s">
        <v>4530</v>
      </c>
      <c r="D2264" s="24">
        <v>0.545628</v>
      </c>
      <c r="E2264" s="25">
        <v>11</v>
      </c>
      <c r="F2264" s="25">
        <v>11.06</v>
      </c>
      <c r="G2264" s="26">
        <v>-5.6730000000000003E-2</v>
      </c>
      <c r="H2264" s="27">
        <v>8.8590000000000002E-2</v>
      </c>
      <c r="I2264" s="26">
        <v>0.64029999999999998</v>
      </c>
      <c r="J2264" s="28">
        <v>6</v>
      </c>
      <c r="K2264" s="27">
        <v>0.66573099999999996</v>
      </c>
      <c r="L2264" s="29">
        <f t="shared" si="140"/>
        <v>0.1767012195009709</v>
      </c>
      <c r="M2264" s="29">
        <f t="shared" si="141"/>
        <v>-5.9999999999999741E-2</v>
      </c>
      <c r="N2264" s="30">
        <f t="shared" si="142"/>
        <v>0.2631033510834796</v>
      </c>
      <c r="O2264" s="31">
        <f t="shared" si="143"/>
        <v>0.95926411932526456</v>
      </c>
    </row>
    <row r="2265" spans="1:15" x14ac:dyDescent="0.25">
      <c r="A2265" t="s">
        <v>8002</v>
      </c>
      <c r="B2265" t="s">
        <v>4531</v>
      </c>
      <c r="C2265" s="3" t="s">
        <v>4532</v>
      </c>
      <c r="D2265" s="24">
        <v>0.547234</v>
      </c>
      <c r="E2265" s="25">
        <v>11.02</v>
      </c>
      <c r="F2265" s="25">
        <v>10.96</v>
      </c>
      <c r="G2265" s="26">
        <v>6.0589999999999998E-2</v>
      </c>
      <c r="H2265" s="27">
        <v>9.5009999999999997E-2</v>
      </c>
      <c r="I2265" s="26">
        <v>0.63770000000000004</v>
      </c>
      <c r="J2265" s="28">
        <v>6</v>
      </c>
      <c r="K2265" s="27">
        <v>0.66693000000000002</v>
      </c>
      <c r="L2265" s="29">
        <f t="shared" si="140"/>
        <v>0.17591974660680851</v>
      </c>
      <c r="M2265" s="29">
        <f t="shared" si="141"/>
        <v>5.999999999999972E-2</v>
      </c>
      <c r="N2265" s="30">
        <f t="shared" si="142"/>
        <v>0.26182692745448932</v>
      </c>
      <c r="O2265" s="31">
        <f t="shared" si="143"/>
        <v>1.0424657608411212</v>
      </c>
    </row>
    <row r="2266" spans="1:15" x14ac:dyDescent="0.25">
      <c r="A2266" t="s">
        <v>8003</v>
      </c>
      <c r="B2266" t="s">
        <v>4533</v>
      </c>
      <c r="C2266" s="3" t="s">
        <v>4534</v>
      </c>
      <c r="D2266" s="24">
        <v>0.54733500000000002</v>
      </c>
      <c r="E2266" s="25">
        <v>7.9409999999999998</v>
      </c>
      <c r="F2266" s="25">
        <v>7.6429999999999998</v>
      </c>
      <c r="G2266" s="26">
        <v>0.29799999999999999</v>
      </c>
      <c r="H2266" s="27">
        <v>0.46750000000000003</v>
      </c>
      <c r="I2266" s="26">
        <v>0.63749999999999996</v>
      </c>
      <c r="J2266" s="28">
        <v>6</v>
      </c>
      <c r="K2266" s="27">
        <v>0.66693000000000002</v>
      </c>
      <c r="L2266" s="29">
        <f t="shared" si="140"/>
        <v>0.17591974660680851</v>
      </c>
      <c r="M2266" s="29">
        <f t="shared" si="141"/>
        <v>0.2979999999999991</v>
      </c>
      <c r="N2266" s="30">
        <f t="shared" si="142"/>
        <v>0.2617467794824625</v>
      </c>
      <c r="O2266" s="31">
        <f t="shared" si="143"/>
        <v>1.22943886725458</v>
      </c>
    </row>
    <row r="2267" spans="1:15" x14ac:dyDescent="0.25">
      <c r="A2267" t="s">
        <v>8004</v>
      </c>
      <c r="B2267" t="s">
        <v>4537</v>
      </c>
      <c r="C2267" s="3" t="s">
        <v>4538</v>
      </c>
      <c r="D2267" s="24">
        <v>0.55096299999999998</v>
      </c>
      <c r="E2267" s="25">
        <v>8.6240000000000006</v>
      </c>
      <c r="F2267" s="25">
        <v>8.6999999999999993</v>
      </c>
      <c r="G2267" s="26">
        <v>-7.6160000000000005E-2</v>
      </c>
      <c r="H2267" s="27">
        <v>0.1206</v>
      </c>
      <c r="I2267" s="26">
        <v>0.63160000000000005</v>
      </c>
      <c r="J2267" s="28">
        <v>6</v>
      </c>
      <c r="K2267" s="27">
        <v>0.67075899999999999</v>
      </c>
      <c r="L2267" s="29">
        <f t="shared" si="140"/>
        <v>0.17343349141172282</v>
      </c>
      <c r="M2267" s="29">
        <f t="shared" si="141"/>
        <v>-7.5999999999998819E-2</v>
      </c>
      <c r="N2267" s="30">
        <f t="shared" si="142"/>
        <v>0.25887756527774824</v>
      </c>
      <c r="O2267" s="31">
        <f t="shared" si="143"/>
        <v>0.9486843151404547</v>
      </c>
    </row>
    <row r="2268" spans="1:15" x14ac:dyDescent="0.25">
      <c r="A2268" t="s">
        <v>8005</v>
      </c>
      <c r="B2268" t="s">
        <v>4535</v>
      </c>
      <c r="C2268" s="3" t="s">
        <v>4536</v>
      </c>
      <c r="D2268" s="24">
        <v>0.55095099999999997</v>
      </c>
      <c r="E2268" s="25">
        <v>9.6189999999999998</v>
      </c>
      <c r="F2268" s="25">
        <v>9.6859999999999999</v>
      </c>
      <c r="G2268" s="26">
        <v>-6.7030000000000006E-2</v>
      </c>
      <c r="H2268" s="27">
        <v>0.1061</v>
      </c>
      <c r="I2268" s="26">
        <v>0.63160000000000005</v>
      </c>
      <c r="J2268" s="28">
        <v>6</v>
      </c>
      <c r="K2268" s="27">
        <v>0.67075899999999999</v>
      </c>
      <c r="L2268" s="29">
        <f t="shared" si="140"/>
        <v>0.17343349141172282</v>
      </c>
      <c r="M2268" s="29">
        <f t="shared" si="141"/>
        <v>-6.7000000000000295E-2</v>
      </c>
      <c r="N2268" s="30">
        <f t="shared" si="142"/>
        <v>0.25888702433495792</v>
      </c>
      <c r="O2268" s="31">
        <f t="shared" si="143"/>
        <v>0.95462101413971667</v>
      </c>
    </row>
    <row r="2269" spans="1:15" x14ac:dyDescent="0.25">
      <c r="A2269" t="s">
        <v>8006</v>
      </c>
      <c r="B2269" t="s">
        <v>4539</v>
      </c>
      <c r="C2269" s="3" t="s">
        <v>4540</v>
      </c>
      <c r="D2269" s="24">
        <v>0.55146099999999998</v>
      </c>
      <c r="E2269" s="25">
        <v>10.75</v>
      </c>
      <c r="F2269" s="25">
        <v>10.68</v>
      </c>
      <c r="G2269" s="26">
        <v>6.83E-2</v>
      </c>
      <c r="H2269" s="27">
        <v>0.10829999999999999</v>
      </c>
      <c r="I2269" s="26">
        <v>0.63070000000000004</v>
      </c>
      <c r="J2269" s="28">
        <v>6</v>
      </c>
      <c r="K2269" s="27">
        <v>0.67107000000000006</v>
      </c>
      <c r="L2269" s="29">
        <f t="shared" si="140"/>
        <v>0.17323217576525751</v>
      </c>
      <c r="M2269" s="29">
        <f t="shared" si="141"/>
        <v>7.0000000000000132E-2</v>
      </c>
      <c r="N2269" s="30">
        <f t="shared" si="142"/>
        <v>0.25848519597755304</v>
      </c>
      <c r="O2269" s="31">
        <f t="shared" si="143"/>
        <v>1.0497166836230674</v>
      </c>
    </row>
    <row r="2270" spans="1:15" x14ac:dyDescent="0.25">
      <c r="A2270" t="s">
        <v>8007</v>
      </c>
      <c r="B2270" t="s">
        <v>4541</v>
      </c>
      <c r="C2270" s="3" t="s">
        <v>4542</v>
      </c>
      <c r="D2270" s="24">
        <v>0.55197200000000002</v>
      </c>
      <c r="E2270" s="25">
        <v>9.2439999999999998</v>
      </c>
      <c r="F2270" s="25">
        <v>9.3360000000000003</v>
      </c>
      <c r="G2270" s="26">
        <v>-9.2469999999999997E-2</v>
      </c>
      <c r="H2270" s="27">
        <v>0.14680000000000001</v>
      </c>
      <c r="I2270" s="26">
        <v>0.62990000000000002</v>
      </c>
      <c r="J2270" s="28">
        <v>6</v>
      </c>
      <c r="K2270" s="27">
        <v>0.67139599999999999</v>
      </c>
      <c r="L2270" s="29">
        <f t="shared" si="140"/>
        <v>0.17302125049209097</v>
      </c>
      <c r="M2270" s="29">
        <f t="shared" si="141"/>
        <v>-9.2000000000000443E-2</v>
      </c>
      <c r="N2270" s="30">
        <f t="shared" si="142"/>
        <v>0.25808295225977884</v>
      </c>
      <c r="O2270" s="31">
        <f t="shared" si="143"/>
        <v>0.93822119650067082</v>
      </c>
    </row>
    <row r="2271" spans="1:15" x14ac:dyDescent="0.25">
      <c r="A2271" t="s">
        <v>8008</v>
      </c>
      <c r="B2271" t="s">
        <v>4543</v>
      </c>
      <c r="C2271" s="3" t="s">
        <v>4544</v>
      </c>
      <c r="D2271" s="24">
        <v>0.55457100000000004</v>
      </c>
      <c r="E2271" s="25">
        <v>12.46</v>
      </c>
      <c r="F2271" s="25">
        <v>12.58</v>
      </c>
      <c r="G2271" s="26">
        <v>-0.12180000000000001</v>
      </c>
      <c r="H2271" s="27">
        <v>0.1946</v>
      </c>
      <c r="I2271" s="26">
        <v>0.62570000000000003</v>
      </c>
      <c r="J2271" s="28">
        <v>6</v>
      </c>
      <c r="K2271" s="27">
        <v>0.67425999999999997</v>
      </c>
      <c r="L2271" s="29">
        <f t="shared" si="140"/>
        <v>0.17117260377367913</v>
      </c>
      <c r="M2271" s="29">
        <f t="shared" si="141"/>
        <v>-0.11999999999999951</v>
      </c>
      <c r="N2271" s="30">
        <f t="shared" si="142"/>
        <v>0.25604284458374404</v>
      </c>
      <c r="O2271" s="31">
        <f t="shared" si="143"/>
        <v>0.9201876506248754</v>
      </c>
    </row>
    <row r="2272" spans="1:15" x14ac:dyDescent="0.25">
      <c r="A2272" t="s">
        <v>8009</v>
      </c>
      <c r="B2272" t="s">
        <v>4545</v>
      </c>
      <c r="C2272" s="3" t="s">
        <v>4546</v>
      </c>
      <c r="D2272" s="24">
        <v>0.55521500000000001</v>
      </c>
      <c r="E2272" s="25">
        <v>9.5020000000000007</v>
      </c>
      <c r="F2272" s="25">
        <v>9.5709999999999997</v>
      </c>
      <c r="G2272" s="26">
        <v>-6.8830000000000002E-2</v>
      </c>
      <c r="H2272" s="27">
        <v>0.11020000000000001</v>
      </c>
      <c r="I2272" s="26">
        <v>0.62460000000000004</v>
      </c>
      <c r="J2272" s="28">
        <v>6</v>
      </c>
      <c r="K2272" s="27">
        <v>0.67474599999999996</v>
      </c>
      <c r="L2272" s="29">
        <f t="shared" si="140"/>
        <v>0.17085968132954393</v>
      </c>
      <c r="M2272" s="29">
        <f t="shared" si="141"/>
        <v>-6.8999999999998535E-2</v>
      </c>
      <c r="N2272" s="30">
        <f t="shared" si="142"/>
        <v>0.2555388092512757</v>
      </c>
      <c r="O2272" s="31">
        <f t="shared" si="143"/>
        <v>0.95329854528815994</v>
      </c>
    </row>
    <row r="2273" spans="1:15" x14ac:dyDescent="0.25">
      <c r="A2273" t="s">
        <v>8010</v>
      </c>
      <c r="B2273" t="s">
        <v>4547</v>
      </c>
      <c r="C2273" s="3" t="s">
        <v>4548</v>
      </c>
      <c r="D2273" s="24">
        <v>0.55582600000000004</v>
      </c>
      <c r="E2273" s="25">
        <v>8.9969999999999999</v>
      </c>
      <c r="F2273" s="25">
        <v>8.7609999999999992</v>
      </c>
      <c r="G2273" s="26">
        <v>0.23649999999999999</v>
      </c>
      <c r="H2273" s="27">
        <v>0.37930000000000003</v>
      </c>
      <c r="I2273" s="26">
        <v>0.62360000000000004</v>
      </c>
      <c r="J2273" s="28">
        <v>6</v>
      </c>
      <c r="K2273" s="27">
        <v>0.67519200000000001</v>
      </c>
      <c r="L2273" s="29">
        <f t="shared" si="140"/>
        <v>0.17057271208210226</v>
      </c>
      <c r="M2273" s="29">
        <f t="shared" si="141"/>
        <v>0.23600000000000113</v>
      </c>
      <c r="N2273" s="30">
        <f t="shared" si="142"/>
        <v>0.25506114199112406</v>
      </c>
      <c r="O2273" s="31">
        <f t="shared" si="143"/>
        <v>1.1777227895949824</v>
      </c>
    </row>
    <row r="2274" spans="1:15" x14ac:dyDescent="0.25">
      <c r="A2274" t="s">
        <v>8011</v>
      </c>
      <c r="B2274" t="s">
        <v>4549</v>
      </c>
      <c r="C2274" s="3" t="s">
        <v>4550</v>
      </c>
      <c r="D2274" s="24">
        <v>0.55633299999999997</v>
      </c>
      <c r="E2274" s="25">
        <v>7.6479999999999997</v>
      </c>
      <c r="F2274" s="25">
        <v>7.9660000000000002</v>
      </c>
      <c r="G2274" s="26">
        <v>-0.31809999999999999</v>
      </c>
      <c r="H2274" s="27">
        <v>0.51080000000000003</v>
      </c>
      <c r="I2274" s="26">
        <v>0.62280000000000002</v>
      </c>
      <c r="J2274" s="28">
        <v>6</v>
      </c>
      <c r="K2274" s="27">
        <v>0.67551099999999997</v>
      </c>
      <c r="L2274" s="29">
        <f t="shared" si="140"/>
        <v>0.17036757454660714</v>
      </c>
      <c r="M2274" s="29">
        <f t="shared" si="141"/>
        <v>-0.31799999999999995</v>
      </c>
      <c r="N2274" s="30">
        <f t="shared" si="142"/>
        <v>0.25466517825288548</v>
      </c>
      <c r="O2274" s="31">
        <f t="shared" si="143"/>
        <v>0.80218116635248637</v>
      </c>
    </row>
    <row r="2275" spans="1:15" x14ac:dyDescent="0.25">
      <c r="A2275" t="s">
        <v>8012</v>
      </c>
      <c r="B2275" t="s">
        <v>4551</v>
      </c>
      <c r="C2275" s="3" t="s">
        <v>4552</v>
      </c>
      <c r="D2275" s="24">
        <v>0.55724600000000002</v>
      </c>
      <c r="E2275" s="25">
        <v>11.91</v>
      </c>
      <c r="F2275" s="25">
        <v>11.84</v>
      </c>
      <c r="G2275" s="26">
        <v>7.3109999999999994E-2</v>
      </c>
      <c r="H2275" s="27">
        <v>0.1177</v>
      </c>
      <c r="I2275" s="26">
        <v>0.62129999999999996</v>
      </c>
      <c r="J2275" s="28">
        <v>6</v>
      </c>
      <c r="K2275" s="27">
        <v>0.67632099999999995</v>
      </c>
      <c r="L2275" s="29">
        <f t="shared" si="140"/>
        <v>0.16984712737204591</v>
      </c>
      <c r="M2275" s="29">
        <f t="shared" si="141"/>
        <v>6.999999999999891E-2</v>
      </c>
      <c r="N2275" s="30">
        <f t="shared" si="142"/>
        <v>0.25395304027107585</v>
      </c>
      <c r="O2275" s="31">
        <f t="shared" si="143"/>
        <v>1.0497166836230665</v>
      </c>
    </row>
    <row r="2276" spans="1:15" x14ac:dyDescent="0.25">
      <c r="A2276" t="s">
        <v>8013</v>
      </c>
      <c r="B2276" t="s">
        <v>4553</v>
      </c>
      <c r="C2276" s="3" t="s">
        <v>4554</v>
      </c>
      <c r="D2276" s="24">
        <v>0.557921</v>
      </c>
      <c r="E2276" s="25">
        <v>12.89</v>
      </c>
      <c r="F2276" s="25">
        <v>13.02</v>
      </c>
      <c r="G2276" s="26">
        <v>-0.1346</v>
      </c>
      <c r="H2276" s="27">
        <v>0.217</v>
      </c>
      <c r="I2276" s="26">
        <v>0.62019999999999997</v>
      </c>
      <c r="J2276" s="28">
        <v>6</v>
      </c>
      <c r="K2276" s="27">
        <v>0.676844</v>
      </c>
      <c r="L2276" s="29">
        <f t="shared" si="140"/>
        <v>0.16951141661194566</v>
      </c>
      <c r="M2276" s="29">
        <f t="shared" si="141"/>
        <v>-0.1299999999999987</v>
      </c>
      <c r="N2276" s="30">
        <f t="shared" si="142"/>
        <v>0.2534272915516721</v>
      </c>
      <c r="O2276" s="31">
        <f t="shared" si="143"/>
        <v>0.91383145022940138</v>
      </c>
    </row>
    <row r="2277" spans="1:15" x14ac:dyDescent="0.25">
      <c r="A2277" t="s">
        <v>8014</v>
      </c>
      <c r="B2277" t="s">
        <v>4555</v>
      </c>
      <c r="C2277" s="3" t="s">
        <v>4556</v>
      </c>
      <c r="D2277" s="24">
        <v>0.55832999999999999</v>
      </c>
      <c r="E2277" s="25">
        <v>10.84</v>
      </c>
      <c r="F2277" s="25">
        <v>10.72</v>
      </c>
      <c r="G2277" s="26">
        <v>0.12590000000000001</v>
      </c>
      <c r="H2277" s="27">
        <v>0.20319999999999999</v>
      </c>
      <c r="I2277" s="26">
        <v>0.61960000000000004</v>
      </c>
      <c r="J2277" s="28">
        <v>6</v>
      </c>
      <c r="K2277" s="27">
        <v>0.67704299999999995</v>
      </c>
      <c r="L2277" s="29">
        <f t="shared" si="140"/>
        <v>0.1693837477555033</v>
      </c>
      <c r="M2277" s="29">
        <f t="shared" si="141"/>
        <v>0.11999999999999811</v>
      </c>
      <c r="N2277" s="30">
        <f t="shared" si="142"/>
        <v>0.25310903615741515</v>
      </c>
      <c r="O2277" s="31">
        <f t="shared" si="143"/>
        <v>1.0867348625260567</v>
      </c>
    </row>
    <row r="2278" spans="1:15" x14ac:dyDescent="0.25">
      <c r="A2278" t="s">
        <v>8015</v>
      </c>
      <c r="B2278" t="s">
        <v>4557</v>
      </c>
      <c r="C2278" s="3" t="s">
        <v>4558</v>
      </c>
      <c r="D2278" s="24">
        <v>0.55948600000000004</v>
      </c>
      <c r="E2278" s="25">
        <v>13.05</v>
      </c>
      <c r="F2278" s="25">
        <v>13.21</v>
      </c>
      <c r="G2278" s="26">
        <v>-0.15920000000000001</v>
      </c>
      <c r="H2278" s="27">
        <v>0.25779999999999997</v>
      </c>
      <c r="I2278" s="26">
        <v>0.61770000000000003</v>
      </c>
      <c r="J2278" s="28">
        <v>6</v>
      </c>
      <c r="K2278" s="27">
        <v>0.67814600000000003</v>
      </c>
      <c r="L2278" s="29">
        <f t="shared" si="140"/>
        <v>0.16867679556017698</v>
      </c>
      <c r="M2278" s="29">
        <f t="shared" si="141"/>
        <v>-0.16000000000000103</v>
      </c>
      <c r="N2278" s="30">
        <f t="shared" si="142"/>
        <v>0.25221077633637706</v>
      </c>
      <c r="O2278" s="31">
        <f t="shared" si="143"/>
        <v>0.89502507092797179</v>
      </c>
    </row>
    <row r="2279" spans="1:15" x14ac:dyDescent="0.25">
      <c r="A2279" t="s">
        <v>8016</v>
      </c>
      <c r="B2279" t="s">
        <v>4559</v>
      </c>
      <c r="C2279" s="3" t="s">
        <v>4560</v>
      </c>
      <c r="D2279" s="24">
        <v>0.55992200000000003</v>
      </c>
      <c r="E2279" s="25">
        <v>7.0090000000000003</v>
      </c>
      <c r="F2279" s="25">
        <v>6.5869999999999997</v>
      </c>
      <c r="G2279" s="26">
        <v>0.42280000000000001</v>
      </c>
      <c r="H2279" s="27">
        <v>0.67749999999999999</v>
      </c>
      <c r="I2279" s="26">
        <v>0.62409999999999999</v>
      </c>
      <c r="J2279" s="28">
        <v>5</v>
      </c>
      <c r="K2279" s="27">
        <v>0.67835500000000004</v>
      </c>
      <c r="L2279" s="29">
        <f t="shared" si="140"/>
        <v>0.16854296956604056</v>
      </c>
      <c r="M2279" s="29">
        <f t="shared" si="141"/>
        <v>0.42200000000000049</v>
      </c>
      <c r="N2279" s="30">
        <f t="shared" si="142"/>
        <v>0.25187246822408027</v>
      </c>
      <c r="O2279" s="31">
        <f t="shared" si="143"/>
        <v>1.3397836024278413</v>
      </c>
    </row>
    <row r="2280" spans="1:15" x14ac:dyDescent="0.25">
      <c r="A2280" t="s">
        <v>8017</v>
      </c>
      <c r="B2280" t="s">
        <v>4561</v>
      </c>
      <c r="C2280" s="3" t="s">
        <v>4562</v>
      </c>
      <c r="D2280" s="24">
        <v>0.56196699999999999</v>
      </c>
      <c r="E2280" s="25">
        <v>10.85</v>
      </c>
      <c r="F2280" s="25">
        <v>10.89</v>
      </c>
      <c r="G2280" s="26">
        <v>-4.2549999999999998E-2</v>
      </c>
      <c r="H2280" s="27">
        <v>6.9339999999999999E-2</v>
      </c>
      <c r="I2280" s="26">
        <v>0.61370000000000002</v>
      </c>
      <c r="J2280" s="28">
        <v>6</v>
      </c>
      <c r="K2280" s="27">
        <v>0.68025800000000003</v>
      </c>
      <c r="L2280" s="29">
        <f t="shared" si="140"/>
        <v>0.16732634210913738</v>
      </c>
      <c r="M2280" s="29">
        <f t="shared" si="141"/>
        <v>-4.0000000000000313E-2</v>
      </c>
      <c r="N2280" s="30">
        <f t="shared" si="142"/>
        <v>0.25028918645707832</v>
      </c>
      <c r="O2280" s="31">
        <f t="shared" si="143"/>
        <v>0.97265494741228531</v>
      </c>
    </row>
    <row r="2281" spans="1:15" x14ac:dyDescent="0.25">
      <c r="A2281" t="s">
        <v>8018</v>
      </c>
      <c r="B2281" t="s">
        <v>4563</v>
      </c>
      <c r="C2281" s="3" t="s">
        <v>4564</v>
      </c>
      <c r="D2281" s="24">
        <v>0.56237800000000004</v>
      </c>
      <c r="E2281" s="25">
        <v>8.4250000000000007</v>
      </c>
      <c r="F2281" s="25">
        <v>8.3360000000000003</v>
      </c>
      <c r="G2281" s="26">
        <v>8.9169999999999999E-2</v>
      </c>
      <c r="H2281" s="27">
        <v>0.14549999999999999</v>
      </c>
      <c r="I2281" s="26">
        <v>0.61299999999999999</v>
      </c>
      <c r="J2281" s="28">
        <v>6</v>
      </c>
      <c r="K2281" s="27">
        <v>0.68034300000000003</v>
      </c>
      <c r="L2281" s="29">
        <f t="shared" si="140"/>
        <v>0.16727207927821225</v>
      </c>
      <c r="M2281" s="29">
        <f t="shared" si="141"/>
        <v>8.9000000000000315E-2</v>
      </c>
      <c r="N2281" s="30">
        <f t="shared" si="142"/>
        <v>0.24997167708048545</v>
      </c>
      <c r="O2281" s="31">
        <f t="shared" si="143"/>
        <v>1.0636326728931849</v>
      </c>
    </row>
    <row r="2282" spans="1:15" x14ac:dyDescent="0.25">
      <c r="A2282" t="s">
        <v>8019</v>
      </c>
      <c r="B2282" t="s">
        <v>4565</v>
      </c>
      <c r="C2282" s="3" t="s">
        <v>4566</v>
      </c>
      <c r="D2282" s="24">
        <v>0.56252899999999995</v>
      </c>
      <c r="E2282" s="25">
        <v>8.1110000000000007</v>
      </c>
      <c r="F2282" s="25">
        <v>8.0190000000000001</v>
      </c>
      <c r="G2282" s="26">
        <v>9.2280000000000001E-2</v>
      </c>
      <c r="H2282" s="27">
        <v>0.15060000000000001</v>
      </c>
      <c r="I2282" s="26">
        <v>0.61280000000000001</v>
      </c>
      <c r="J2282" s="28">
        <v>6</v>
      </c>
      <c r="K2282" s="27">
        <v>0.68034300000000003</v>
      </c>
      <c r="L2282" s="29">
        <f t="shared" si="140"/>
        <v>0.16727207927821225</v>
      </c>
      <c r="M2282" s="29">
        <f t="shared" si="141"/>
        <v>9.2000000000000262E-2</v>
      </c>
      <c r="N2282" s="30">
        <f t="shared" si="142"/>
        <v>0.24985508350046287</v>
      </c>
      <c r="O2282" s="31">
        <f t="shared" si="143"/>
        <v>1.0658467360679427</v>
      </c>
    </row>
    <row r="2283" spans="1:15" x14ac:dyDescent="0.25">
      <c r="A2283" t="s">
        <v>8020</v>
      </c>
      <c r="B2283" t="s">
        <v>4567</v>
      </c>
      <c r="C2283" s="3" t="s">
        <v>4568</v>
      </c>
      <c r="D2283" s="24">
        <v>0.56288499999999997</v>
      </c>
      <c r="E2283" s="25">
        <v>10.72</v>
      </c>
      <c r="F2283" s="25">
        <v>10.77</v>
      </c>
      <c r="G2283" s="26">
        <v>-4.3889999999999998E-2</v>
      </c>
      <c r="H2283" s="27">
        <v>7.1690000000000004E-2</v>
      </c>
      <c r="I2283" s="26">
        <v>0.61219999999999997</v>
      </c>
      <c r="J2283" s="28">
        <v>6</v>
      </c>
      <c r="K2283" s="27">
        <v>0.68047500000000005</v>
      </c>
      <c r="L2283" s="29">
        <f t="shared" si="140"/>
        <v>0.1671878257310207</v>
      </c>
      <c r="M2283" s="29">
        <f t="shared" si="141"/>
        <v>-4.9999999999997935E-2</v>
      </c>
      <c r="N2283" s="30">
        <f t="shared" si="142"/>
        <v>0.24958032445052308</v>
      </c>
      <c r="O2283" s="31">
        <f t="shared" si="143"/>
        <v>0.96593632892484693</v>
      </c>
    </row>
    <row r="2284" spans="1:15" x14ac:dyDescent="0.25">
      <c r="A2284" t="s">
        <v>8021</v>
      </c>
      <c r="B2284" t="s">
        <v>4569</v>
      </c>
      <c r="C2284" s="3" t="s">
        <v>4570</v>
      </c>
      <c r="D2284" s="24">
        <v>0.56400499999999998</v>
      </c>
      <c r="E2284" s="25">
        <v>9.5649999999999995</v>
      </c>
      <c r="F2284" s="25">
        <v>9.4629999999999992</v>
      </c>
      <c r="G2284" s="26">
        <v>0.1014</v>
      </c>
      <c r="H2284" s="27">
        <v>0.1661</v>
      </c>
      <c r="I2284" s="26">
        <v>0.61040000000000005</v>
      </c>
      <c r="J2284" s="28">
        <v>6</v>
      </c>
      <c r="K2284" s="27">
        <v>0.681531</v>
      </c>
      <c r="L2284" s="29">
        <f t="shared" si="140"/>
        <v>0.16651438513709399</v>
      </c>
      <c r="M2284" s="29">
        <f t="shared" si="141"/>
        <v>0.10200000000000101</v>
      </c>
      <c r="N2284" s="30">
        <f t="shared" si="142"/>
        <v>0.24871704590533811</v>
      </c>
      <c r="O2284" s="31">
        <f t="shared" si="143"/>
        <v>1.0732602863934542</v>
      </c>
    </row>
    <row r="2285" spans="1:15" x14ac:dyDescent="0.25">
      <c r="A2285" t="s">
        <v>8022</v>
      </c>
      <c r="B2285" t="s">
        <v>4571</v>
      </c>
      <c r="C2285" s="3" t="s">
        <v>4572</v>
      </c>
      <c r="D2285" s="24">
        <v>0.56425899999999996</v>
      </c>
      <c r="E2285" s="25">
        <v>9.25</v>
      </c>
      <c r="F2285" s="25">
        <v>9.39</v>
      </c>
      <c r="G2285" s="26">
        <v>-0.13980000000000001</v>
      </c>
      <c r="H2285" s="27">
        <v>0.22919999999999999</v>
      </c>
      <c r="I2285" s="26">
        <v>0.61</v>
      </c>
      <c r="J2285" s="28">
        <v>6</v>
      </c>
      <c r="K2285" s="27">
        <v>0.68153900000000001</v>
      </c>
      <c r="L2285" s="29">
        <f t="shared" si="140"/>
        <v>0.16650928729787037</v>
      </c>
      <c r="M2285" s="29">
        <f t="shared" si="141"/>
        <v>-0.14000000000000173</v>
      </c>
      <c r="N2285" s="30">
        <f t="shared" si="142"/>
        <v>0.24852150514490087</v>
      </c>
      <c r="O2285" s="31">
        <f t="shared" si="143"/>
        <v>0.90751915531715976</v>
      </c>
    </row>
    <row r="2286" spans="1:15" x14ac:dyDescent="0.25">
      <c r="A2286" t="s">
        <v>8023</v>
      </c>
      <c r="B2286" t="s">
        <v>4573</v>
      </c>
      <c r="C2286" s="3" t="s">
        <v>4574</v>
      </c>
      <c r="D2286" s="24">
        <v>0.56475200000000003</v>
      </c>
      <c r="E2286" s="25">
        <v>11.58</v>
      </c>
      <c r="F2286" s="25">
        <v>11.53</v>
      </c>
      <c r="G2286" s="26">
        <v>5.5079999999999997E-2</v>
      </c>
      <c r="H2286" s="27">
        <v>9.042E-2</v>
      </c>
      <c r="I2286" s="26">
        <v>0.60919999999999996</v>
      </c>
      <c r="J2286" s="28">
        <v>6</v>
      </c>
      <c r="K2286" s="27">
        <v>0.68183700000000003</v>
      </c>
      <c r="L2286" s="29">
        <f t="shared" si="140"/>
        <v>0.16631943540423549</v>
      </c>
      <c r="M2286" s="29">
        <f t="shared" si="141"/>
        <v>5.0000000000001973E-2</v>
      </c>
      <c r="N2286" s="30">
        <f t="shared" si="142"/>
        <v>0.24814222240418934</v>
      </c>
      <c r="O2286" s="31">
        <f t="shared" si="143"/>
        <v>1.0352649238413789</v>
      </c>
    </row>
    <row r="2287" spans="1:15" x14ac:dyDescent="0.25">
      <c r="A2287" t="s">
        <v>8024</v>
      </c>
      <c r="B2287" t="s">
        <v>4575</v>
      </c>
      <c r="C2287" s="3" t="s">
        <v>4576</v>
      </c>
      <c r="D2287" s="24">
        <v>0.56504699999999997</v>
      </c>
      <c r="E2287" s="25">
        <v>8.6069999999999993</v>
      </c>
      <c r="F2287" s="25">
        <v>8.5229999999999997</v>
      </c>
      <c r="G2287" s="26">
        <v>8.3659999999999998E-2</v>
      </c>
      <c r="H2287" s="27">
        <v>0.13739999999999999</v>
      </c>
      <c r="I2287" s="26">
        <v>0.60870000000000002</v>
      </c>
      <c r="J2287" s="28">
        <v>6</v>
      </c>
      <c r="K2287" s="27">
        <v>0.68189500000000003</v>
      </c>
      <c r="L2287" s="29">
        <f t="shared" si="140"/>
        <v>0.16628249401110901</v>
      </c>
      <c r="M2287" s="29">
        <f t="shared" si="141"/>
        <v>8.3999999999999617E-2</v>
      </c>
      <c r="N2287" s="30">
        <f t="shared" si="142"/>
        <v>0.24791542653151996</v>
      </c>
      <c r="O2287" s="31">
        <f t="shared" si="143"/>
        <v>1.0599527833972815</v>
      </c>
    </row>
    <row r="2288" spans="1:15" x14ac:dyDescent="0.25">
      <c r="A2288" t="s">
        <v>8025</v>
      </c>
      <c r="B2288" t="s">
        <v>4577</v>
      </c>
      <c r="C2288" s="3" t="s">
        <v>4578</v>
      </c>
      <c r="D2288" s="24">
        <v>0.56626799999999999</v>
      </c>
      <c r="E2288" s="25">
        <v>9.86</v>
      </c>
      <c r="F2288" s="25">
        <v>9.9469999999999992</v>
      </c>
      <c r="G2288" s="26">
        <v>-8.7040000000000006E-2</v>
      </c>
      <c r="H2288" s="27">
        <v>0.14349999999999999</v>
      </c>
      <c r="I2288" s="26">
        <v>0.60670000000000002</v>
      </c>
      <c r="J2288" s="28">
        <v>6</v>
      </c>
      <c r="K2288" s="27">
        <v>0.68306999999999995</v>
      </c>
      <c r="L2288" s="29">
        <f t="shared" si="140"/>
        <v>0.16553478818380402</v>
      </c>
      <c r="M2288" s="29">
        <f t="shared" si="141"/>
        <v>-8.6999999999999703E-2</v>
      </c>
      <c r="N2288" s="30">
        <f t="shared" si="142"/>
        <v>0.24697797981102623</v>
      </c>
      <c r="O2288" s="31">
        <f t="shared" si="143"/>
        <v>0.94147846454120643</v>
      </c>
    </row>
    <row r="2289" spans="1:15" x14ac:dyDescent="0.25">
      <c r="A2289" t="s">
        <v>8026</v>
      </c>
      <c r="B2289" t="s">
        <v>4579</v>
      </c>
      <c r="C2289" s="3" t="s">
        <v>4580</v>
      </c>
      <c r="D2289" s="24">
        <v>0.56920999999999999</v>
      </c>
      <c r="E2289" s="25">
        <v>9.2629999999999999</v>
      </c>
      <c r="F2289" s="25">
        <v>9.2279999999999998</v>
      </c>
      <c r="G2289" s="26">
        <v>3.4700000000000002E-2</v>
      </c>
      <c r="H2289" s="27">
        <v>5.765E-2</v>
      </c>
      <c r="I2289" s="26">
        <v>0.60199999999999998</v>
      </c>
      <c r="J2289" s="28">
        <v>6</v>
      </c>
      <c r="K2289" s="27">
        <v>0.68631900000000001</v>
      </c>
      <c r="L2289" s="29">
        <f t="shared" si="140"/>
        <v>0.16347397796939436</v>
      </c>
      <c r="M2289" s="29">
        <f t="shared" si="141"/>
        <v>3.5000000000000656E-2</v>
      </c>
      <c r="N2289" s="30">
        <f t="shared" si="142"/>
        <v>0.24472747874469297</v>
      </c>
      <c r="O2289" s="31">
        <f t="shared" si="143"/>
        <v>1.0245568230328019</v>
      </c>
    </row>
    <row r="2290" spans="1:15" x14ac:dyDescent="0.25">
      <c r="A2290" t="s">
        <v>8027</v>
      </c>
      <c r="B2290" t="s">
        <v>4581</v>
      </c>
      <c r="C2290" s="3" t="s">
        <v>4582</v>
      </c>
      <c r="D2290" s="24">
        <v>0.56957599999999997</v>
      </c>
      <c r="E2290" s="25">
        <v>9.2550000000000008</v>
      </c>
      <c r="F2290" s="25">
        <v>9.3620000000000001</v>
      </c>
      <c r="G2290" s="26">
        <v>-0.1065</v>
      </c>
      <c r="H2290" s="27">
        <v>0.17710000000000001</v>
      </c>
      <c r="I2290" s="26">
        <v>0.60140000000000005</v>
      </c>
      <c r="J2290" s="28">
        <v>6</v>
      </c>
      <c r="K2290" s="27">
        <v>0.68646099999999999</v>
      </c>
      <c r="L2290" s="29">
        <f t="shared" si="140"/>
        <v>0.16338413135646265</v>
      </c>
      <c r="M2290" s="29">
        <f t="shared" si="141"/>
        <v>-0.10699999999999914</v>
      </c>
      <c r="N2290" s="30">
        <f t="shared" si="142"/>
        <v>0.24444831868152123</v>
      </c>
      <c r="O2290" s="31">
        <f t="shared" si="143"/>
        <v>0.92851685230672953</v>
      </c>
    </row>
    <row r="2291" spans="1:15" x14ac:dyDescent="0.25">
      <c r="A2291" t="s">
        <v>8028</v>
      </c>
      <c r="B2291" t="s">
        <v>4583</v>
      </c>
      <c r="C2291" s="3" t="s">
        <v>4584</v>
      </c>
      <c r="D2291" s="24">
        <v>0.57026500000000002</v>
      </c>
      <c r="E2291" s="25">
        <v>7.4210000000000003</v>
      </c>
      <c r="F2291" s="25">
        <v>7.5140000000000002</v>
      </c>
      <c r="G2291" s="26">
        <v>-9.3149999999999997E-2</v>
      </c>
      <c r="H2291" s="27">
        <v>0.1552</v>
      </c>
      <c r="I2291" s="26">
        <v>0.60029999999999994</v>
      </c>
      <c r="J2291" s="28">
        <v>6</v>
      </c>
      <c r="K2291" s="27">
        <v>0.68699100000000002</v>
      </c>
      <c r="L2291" s="29">
        <f t="shared" si="140"/>
        <v>0.16304895242507816</v>
      </c>
      <c r="M2291" s="29">
        <f t="shared" si="141"/>
        <v>-9.3000000000000818E-2</v>
      </c>
      <c r="N2291" s="30">
        <f t="shared" si="142"/>
        <v>0.2439232824098379</v>
      </c>
      <c r="O2291" s="31">
        <f t="shared" si="143"/>
        <v>0.93757109645710923</v>
      </c>
    </row>
    <row r="2292" spans="1:15" x14ac:dyDescent="0.25">
      <c r="A2292" t="s">
        <v>8029</v>
      </c>
      <c r="B2292" t="s">
        <v>4585</v>
      </c>
      <c r="C2292" s="3" t="s">
        <v>4586</v>
      </c>
      <c r="D2292" s="24">
        <v>0.57146399999999997</v>
      </c>
      <c r="E2292" s="25">
        <v>8.3469999999999995</v>
      </c>
      <c r="F2292" s="25">
        <v>8.4139999999999997</v>
      </c>
      <c r="G2292" s="26">
        <v>-6.7720000000000002E-2</v>
      </c>
      <c r="H2292" s="27">
        <v>0.1132</v>
      </c>
      <c r="I2292" s="26">
        <v>0.59840000000000004</v>
      </c>
      <c r="J2292" s="28">
        <v>6</v>
      </c>
      <c r="K2292" s="27">
        <v>0.68813599999999997</v>
      </c>
      <c r="L2292" s="29">
        <f t="shared" si="140"/>
        <v>0.16232572133922385</v>
      </c>
      <c r="M2292" s="29">
        <f t="shared" si="141"/>
        <v>-6.7000000000000115E-2</v>
      </c>
      <c r="N2292" s="30">
        <f t="shared" si="142"/>
        <v>0.24301112326309593</v>
      </c>
      <c r="O2292" s="31">
        <f t="shared" si="143"/>
        <v>0.95462101413971678</v>
      </c>
    </row>
    <row r="2293" spans="1:15" x14ac:dyDescent="0.25">
      <c r="A2293" t="s">
        <v>8030</v>
      </c>
      <c r="B2293" t="s">
        <v>4591</v>
      </c>
      <c r="C2293" s="3" t="s">
        <v>4592</v>
      </c>
      <c r="D2293" s="24">
        <v>0.57333100000000004</v>
      </c>
      <c r="E2293" s="25">
        <v>7.9169999999999998</v>
      </c>
      <c r="F2293" s="25">
        <v>8.0269999999999992</v>
      </c>
      <c r="G2293" s="26">
        <v>-0.11</v>
      </c>
      <c r="H2293" s="27">
        <v>0.18479999999999999</v>
      </c>
      <c r="I2293" s="26">
        <v>0.59540000000000004</v>
      </c>
      <c r="J2293" s="28">
        <v>6</v>
      </c>
      <c r="K2293" s="27">
        <v>0.68906599999999996</v>
      </c>
      <c r="L2293" s="29">
        <f t="shared" si="140"/>
        <v>0.16173917858142547</v>
      </c>
      <c r="M2293" s="29">
        <f t="shared" si="141"/>
        <v>-0.1099999999999991</v>
      </c>
      <c r="N2293" s="30">
        <f t="shared" si="142"/>
        <v>0.24159457529325273</v>
      </c>
      <c r="O2293" s="31">
        <f t="shared" si="143"/>
        <v>0.92658806189037146</v>
      </c>
    </row>
    <row r="2294" spans="1:15" x14ac:dyDescent="0.25">
      <c r="A2294" t="s">
        <v>8031</v>
      </c>
      <c r="B2294" t="s">
        <v>4589</v>
      </c>
      <c r="C2294" s="3" t="s">
        <v>4590</v>
      </c>
      <c r="D2294" s="24">
        <v>0.57316400000000001</v>
      </c>
      <c r="E2294" s="25">
        <v>9.4640000000000004</v>
      </c>
      <c r="F2294" s="25">
        <v>9.1780000000000008</v>
      </c>
      <c r="G2294" s="26">
        <v>0.28639999999999999</v>
      </c>
      <c r="H2294" s="27">
        <v>0.48070000000000002</v>
      </c>
      <c r="I2294" s="26">
        <v>0.59570000000000001</v>
      </c>
      <c r="J2294" s="28">
        <v>6</v>
      </c>
      <c r="K2294" s="27">
        <v>0.68906599999999996</v>
      </c>
      <c r="L2294" s="29">
        <f t="shared" si="140"/>
        <v>0.16173917858142547</v>
      </c>
      <c r="M2294" s="29">
        <f t="shared" si="141"/>
        <v>0.28599999999999914</v>
      </c>
      <c r="N2294" s="30">
        <f t="shared" si="142"/>
        <v>0.24172109512803755</v>
      </c>
      <c r="O2294" s="31">
        <f t="shared" si="143"/>
        <v>1.2192550940763025</v>
      </c>
    </row>
    <row r="2295" spans="1:15" x14ac:dyDescent="0.25">
      <c r="A2295" t="s">
        <v>8032</v>
      </c>
      <c r="B2295" t="s">
        <v>4595</v>
      </c>
      <c r="C2295" s="3" t="s">
        <v>4596</v>
      </c>
      <c r="D2295" s="24">
        <v>0.57361200000000001</v>
      </c>
      <c r="E2295" s="25">
        <v>9.3789999999999996</v>
      </c>
      <c r="F2295" s="25">
        <v>9.4559999999999995</v>
      </c>
      <c r="G2295" s="26">
        <v>-7.7030000000000001E-2</v>
      </c>
      <c r="H2295" s="27">
        <v>0.1295</v>
      </c>
      <c r="I2295" s="26">
        <v>0.59499999999999997</v>
      </c>
      <c r="J2295" s="28">
        <v>6</v>
      </c>
      <c r="K2295" s="27">
        <v>0.68906599999999996</v>
      </c>
      <c r="L2295" s="29">
        <f t="shared" si="140"/>
        <v>0.16173917858142547</v>
      </c>
      <c r="M2295" s="29">
        <f t="shared" si="141"/>
        <v>-7.7000000000000485E-2</v>
      </c>
      <c r="N2295" s="30">
        <f t="shared" si="142"/>
        <v>0.24138177177667597</v>
      </c>
      <c r="O2295" s="31">
        <f t="shared" si="143"/>
        <v>0.94802696512864504</v>
      </c>
    </row>
    <row r="2296" spans="1:15" x14ac:dyDescent="0.25">
      <c r="A2296" t="s">
        <v>8033</v>
      </c>
      <c r="B2296" t="s">
        <v>4593</v>
      </c>
      <c r="C2296" s="3" t="s">
        <v>4594</v>
      </c>
      <c r="D2296" s="24">
        <v>0.57342899999999997</v>
      </c>
      <c r="E2296" s="25">
        <v>7.7590000000000003</v>
      </c>
      <c r="F2296" s="25">
        <v>7.8879999999999999</v>
      </c>
      <c r="G2296" s="26">
        <v>-0.1283</v>
      </c>
      <c r="H2296" s="27">
        <v>0.21560000000000001</v>
      </c>
      <c r="I2296" s="26">
        <v>0.59519999999999995</v>
      </c>
      <c r="J2296" s="28">
        <v>6</v>
      </c>
      <c r="K2296" s="27">
        <v>0.68906599999999996</v>
      </c>
      <c r="L2296" s="29">
        <f t="shared" si="140"/>
        <v>0.16173917858142547</v>
      </c>
      <c r="M2296" s="29">
        <f t="shared" si="141"/>
        <v>-0.12899999999999934</v>
      </c>
      <c r="N2296" s="30">
        <f t="shared" si="142"/>
        <v>0.24152034727809679</v>
      </c>
      <c r="O2296" s="31">
        <f t="shared" si="143"/>
        <v>0.91446508949990191</v>
      </c>
    </row>
    <row r="2297" spans="1:15" x14ac:dyDescent="0.25">
      <c r="A2297" t="s">
        <v>8034</v>
      </c>
      <c r="B2297" t="s">
        <v>4587</v>
      </c>
      <c r="C2297" s="3" t="s">
        <v>4588</v>
      </c>
      <c r="D2297" s="24">
        <v>0.57263500000000001</v>
      </c>
      <c r="E2297" s="25">
        <v>8.1609999999999996</v>
      </c>
      <c r="F2297" s="25">
        <v>7.9740000000000002</v>
      </c>
      <c r="G2297" s="26">
        <v>0.18629999999999999</v>
      </c>
      <c r="H2297" s="27">
        <v>0.31230000000000002</v>
      </c>
      <c r="I2297" s="26">
        <v>0.59650000000000003</v>
      </c>
      <c r="J2297" s="28">
        <v>6</v>
      </c>
      <c r="K2297" s="27">
        <v>0.68906599999999996</v>
      </c>
      <c r="L2297" s="29">
        <f t="shared" si="140"/>
        <v>0.16173917858142547</v>
      </c>
      <c r="M2297" s="29">
        <f t="shared" si="141"/>
        <v>0.18699999999999975</v>
      </c>
      <c r="N2297" s="30">
        <f t="shared" si="142"/>
        <v>0.24212211100822301</v>
      </c>
      <c r="O2297" s="31">
        <f t="shared" si="143"/>
        <v>1.1383940290748775</v>
      </c>
    </row>
    <row r="2298" spans="1:15" x14ac:dyDescent="0.25">
      <c r="A2298" t="s">
        <v>8035</v>
      </c>
      <c r="B2298" t="s">
        <v>4597</v>
      </c>
      <c r="C2298" s="3" t="s">
        <v>4598</v>
      </c>
      <c r="D2298" s="24">
        <v>0.57373300000000005</v>
      </c>
      <c r="E2298" s="25">
        <v>9.8290000000000006</v>
      </c>
      <c r="F2298" s="25">
        <v>9.782</v>
      </c>
      <c r="G2298" s="26">
        <v>4.6969999999999998E-2</v>
      </c>
      <c r="H2298" s="27">
        <v>7.8969999999999999E-2</v>
      </c>
      <c r="I2298" s="26">
        <v>0.5948</v>
      </c>
      <c r="J2298" s="28">
        <v>6</v>
      </c>
      <c r="K2298" s="27">
        <v>0.68906599999999996</v>
      </c>
      <c r="L2298" s="29">
        <f t="shared" si="140"/>
        <v>0.16173917858142547</v>
      </c>
      <c r="M2298" s="29">
        <f t="shared" si="141"/>
        <v>4.7000000000000861E-2</v>
      </c>
      <c r="N2298" s="30">
        <f t="shared" si="142"/>
        <v>0.24129016962997185</v>
      </c>
      <c r="O2298" s="31">
        <f t="shared" si="143"/>
        <v>1.0331143876841331</v>
      </c>
    </row>
    <row r="2299" spans="1:15" x14ac:dyDescent="0.25">
      <c r="A2299" t="s">
        <v>8036</v>
      </c>
      <c r="B2299" t="s">
        <v>4599</v>
      </c>
      <c r="C2299" s="3" t="s">
        <v>4600</v>
      </c>
      <c r="D2299" s="24">
        <v>0.57437300000000002</v>
      </c>
      <c r="E2299" s="25">
        <v>11.33</v>
      </c>
      <c r="F2299" s="25">
        <v>11.38</v>
      </c>
      <c r="G2299" s="26">
        <v>-5.6750000000000002E-2</v>
      </c>
      <c r="H2299" s="27">
        <v>9.5589999999999994E-2</v>
      </c>
      <c r="I2299" s="26">
        <v>0.59370000000000001</v>
      </c>
      <c r="J2299" s="28">
        <v>6</v>
      </c>
      <c r="K2299" s="27">
        <v>0.68953399999999998</v>
      </c>
      <c r="L2299" s="29">
        <f t="shared" si="140"/>
        <v>0.16144431447967231</v>
      </c>
      <c r="M2299" s="29">
        <f t="shared" si="141"/>
        <v>-5.0000000000000759E-2</v>
      </c>
      <c r="N2299" s="30">
        <f t="shared" si="142"/>
        <v>0.24080598350568033</v>
      </c>
      <c r="O2299" s="31">
        <f t="shared" si="143"/>
        <v>0.96593632892484504</v>
      </c>
    </row>
    <row r="2300" spans="1:15" x14ac:dyDescent="0.25">
      <c r="A2300" t="s">
        <v>8037</v>
      </c>
      <c r="B2300" t="s">
        <v>4605</v>
      </c>
      <c r="C2300" s="3" t="s">
        <v>4606</v>
      </c>
      <c r="D2300" s="24">
        <v>0.57602600000000004</v>
      </c>
      <c r="E2300" s="25">
        <v>10.72</v>
      </c>
      <c r="F2300" s="25">
        <v>10.88</v>
      </c>
      <c r="G2300" s="26">
        <v>-0.15709999999999999</v>
      </c>
      <c r="H2300" s="27">
        <v>0.26579999999999998</v>
      </c>
      <c r="I2300" s="26">
        <v>0.59109999999999996</v>
      </c>
      <c r="J2300" s="28">
        <v>6</v>
      </c>
      <c r="K2300" s="27">
        <v>0.69061899999999998</v>
      </c>
      <c r="L2300" s="29">
        <f t="shared" si="140"/>
        <v>0.16076147770731747</v>
      </c>
      <c r="M2300" s="29">
        <f t="shared" si="141"/>
        <v>-0.15999999999999978</v>
      </c>
      <c r="N2300" s="30">
        <f t="shared" si="142"/>
        <v>0.23955791344885258</v>
      </c>
      <c r="O2300" s="31">
        <f t="shared" si="143"/>
        <v>0.89502507092797257</v>
      </c>
    </row>
    <row r="2301" spans="1:15" x14ac:dyDescent="0.25">
      <c r="A2301" t="s">
        <v>8038</v>
      </c>
      <c r="B2301" t="s">
        <v>4603</v>
      </c>
      <c r="C2301" s="3" t="s">
        <v>4604</v>
      </c>
      <c r="D2301" s="24">
        <v>0.57597399999999999</v>
      </c>
      <c r="E2301" s="25">
        <v>8.8279999999999994</v>
      </c>
      <c r="F2301" s="25">
        <v>8.6769999999999996</v>
      </c>
      <c r="G2301" s="26">
        <v>0.15079999999999999</v>
      </c>
      <c r="H2301" s="27">
        <v>0.255</v>
      </c>
      <c r="I2301" s="26">
        <v>0.59119999999999995</v>
      </c>
      <c r="J2301" s="28">
        <v>6</v>
      </c>
      <c r="K2301" s="27">
        <v>0.69061899999999998</v>
      </c>
      <c r="L2301" s="29">
        <f t="shared" si="140"/>
        <v>0.16076147770731747</v>
      </c>
      <c r="M2301" s="29">
        <f t="shared" si="141"/>
        <v>0.15099999999999972</v>
      </c>
      <c r="N2301" s="30">
        <f t="shared" si="142"/>
        <v>0.23959712058960664</v>
      </c>
      <c r="O2301" s="31">
        <f t="shared" si="143"/>
        <v>1.1103388336286388</v>
      </c>
    </row>
    <row r="2302" spans="1:15" x14ac:dyDescent="0.25">
      <c r="A2302" t="s">
        <v>8039</v>
      </c>
      <c r="B2302" t="s">
        <v>4601</v>
      </c>
      <c r="C2302" s="3" t="s">
        <v>4602</v>
      </c>
      <c r="D2302" s="24">
        <v>0.57563900000000001</v>
      </c>
      <c r="E2302" s="25">
        <v>8.0449999999999999</v>
      </c>
      <c r="F2302" s="25">
        <v>7.9820000000000002</v>
      </c>
      <c r="G2302" s="26">
        <v>6.2920000000000004E-2</v>
      </c>
      <c r="H2302" s="27">
        <v>0.10630000000000001</v>
      </c>
      <c r="I2302" s="26">
        <v>0.5917</v>
      </c>
      <c r="J2302" s="28">
        <v>6</v>
      </c>
      <c r="K2302" s="27">
        <v>0.69061899999999998</v>
      </c>
      <c r="L2302" s="29">
        <f t="shared" si="140"/>
        <v>0.16076147770731747</v>
      </c>
      <c r="M2302" s="29">
        <f t="shared" si="141"/>
        <v>6.2999999999999709E-2</v>
      </c>
      <c r="N2302" s="30">
        <f t="shared" si="142"/>
        <v>0.23984978994214323</v>
      </c>
      <c r="O2302" s="31">
        <f t="shared" si="143"/>
        <v>1.0446357628642313</v>
      </c>
    </row>
    <row r="2303" spans="1:15" x14ac:dyDescent="0.25">
      <c r="A2303" t="s">
        <v>8040</v>
      </c>
      <c r="B2303" t="s">
        <v>4607</v>
      </c>
      <c r="C2303" s="3" t="s">
        <v>4608</v>
      </c>
      <c r="D2303" s="24">
        <v>0.57638500000000004</v>
      </c>
      <c r="E2303" s="25">
        <v>10.65</v>
      </c>
      <c r="F2303" s="25">
        <v>10.6</v>
      </c>
      <c r="G2303" s="26">
        <v>5.0410000000000003E-2</v>
      </c>
      <c r="H2303" s="27">
        <v>8.5360000000000005E-2</v>
      </c>
      <c r="I2303" s="26">
        <v>0.59050000000000002</v>
      </c>
      <c r="J2303" s="28">
        <v>6</v>
      </c>
      <c r="K2303" s="27">
        <v>0.69074999999999998</v>
      </c>
      <c r="L2303" s="29">
        <f t="shared" si="140"/>
        <v>0.16067910641145103</v>
      </c>
      <c r="M2303" s="29">
        <f t="shared" si="141"/>
        <v>5.0000000000000731E-2</v>
      </c>
      <c r="N2303" s="30">
        <f t="shared" si="142"/>
        <v>0.23928732990869764</v>
      </c>
      <c r="O2303" s="31">
        <f t="shared" si="143"/>
        <v>1.035264923841378</v>
      </c>
    </row>
    <row r="2304" spans="1:15" x14ac:dyDescent="0.25">
      <c r="A2304" t="s">
        <v>8041</v>
      </c>
      <c r="B2304" t="s">
        <v>4609</v>
      </c>
      <c r="C2304" s="3" t="s">
        <v>4610</v>
      </c>
      <c r="D2304" s="24">
        <v>0.57669599999999999</v>
      </c>
      <c r="E2304" s="25">
        <v>11.99</v>
      </c>
      <c r="F2304" s="25">
        <v>12.15</v>
      </c>
      <c r="G2304" s="26">
        <v>-0.16250000000000001</v>
      </c>
      <c r="H2304" s="27">
        <v>0.27550000000000002</v>
      </c>
      <c r="I2304" s="26">
        <v>0.59</v>
      </c>
      <c r="J2304" s="28">
        <v>6</v>
      </c>
      <c r="K2304" s="27">
        <v>0.69082200000000005</v>
      </c>
      <c r="L2304" s="29">
        <f t="shared" si="140"/>
        <v>0.16063384029035802</v>
      </c>
      <c r="M2304" s="29">
        <f t="shared" si="141"/>
        <v>-0.16000000000000103</v>
      </c>
      <c r="N2304" s="30">
        <f t="shared" si="142"/>
        <v>0.23905306087270276</v>
      </c>
      <c r="O2304" s="31">
        <f t="shared" si="143"/>
        <v>0.89502507092797179</v>
      </c>
    </row>
    <row r="2305" spans="1:15" x14ac:dyDescent="0.25">
      <c r="A2305" t="s">
        <v>8042</v>
      </c>
      <c r="B2305" t="s">
        <v>4611</v>
      </c>
      <c r="C2305" s="3" t="s">
        <v>4612</v>
      </c>
      <c r="D2305" s="24">
        <v>0.57765900000000003</v>
      </c>
      <c r="E2305" s="25">
        <v>8.4039999999999999</v>
      </c>
      <c r="F2305" s="25">
        <v>8.5329999999999995</v>
      </c>
      <c r="G2305" s="26">
        <v>-0.12820000000000001</v>
      </c>
      <c r="H2305" s="27">
        <v>0.21790000000000001</v>
      </c>
      <c r="I2305" s="26">
        <v>0.58850000000000002</v>
      </c>
      <c r="J2305" s="28">
        <v>6</v>
      </c>
      <c r="K2305" s="27">
        <v>0.69167599999999996</v>
      </c>
      <c r="L2305" s="29">
        <f t="shared" si="140"/>
        <v>0.16009729335181647</v>
      </c>
      <c r="M2305" s="29">
        <f t="shared" si="141"/>
        <v>-0.1289999999999997</v>
      </c>
      <c r="N2305" s="30">
        <f t="shared" si="142"/>
        <v>0.2383284559061313</v>
      </c>
      <c r="O2305" s="31">
        <f t="shared" si="143"/>
        <v>0.91446508949990168</v>
      </c>
    </row>
    <row r="2306" spans="1:15" x14ac:dyDescent="0.25">
      <c r="A2306" t="s">
        <v>8043</v>
      </c>
      <c r="B2306" t="s">
        <v>4613</v>
      </c>
      <c r="C2306" s="3" t="s">
        <v>4614</v>
      </c>
      <c r="D2306" s="24">
        <v>0.57905600000000002</v>
      </c>
      <c r="E2306" s="25">
        <v>8.4049999999999994</v>
      </c>
      <c r="F2306" s="25">
        <v>8.3290000000000006</v>
      </c>
      <c r="G2306" s="26">
        <v>7.6270000000000004E-2</v>
      </c>
      <c r="H2306" s="27">
        <v>0.13009999999999999</v>
      </c>
      <c r="I2306" s="26">
        <v>0.58630000000000004</v>
      </c>
      <c r="J2306" s="28">
        <v>6</v>
      </c>
      <c r="K2306" s="27">
        <v>0.693048</v>
      </c>
      <c r="L2306" s="29">
        <f t="shared" ref="L2306:L2369" si="144">-LOG(K2306,10)</f>
        <v>0.15923668542683592</v>
      </c>
      <c r="M2306" s="29">
        <f t="shared" ref="M2306:M2369" si="145">LOG(O2306,2)</f>
        <v>7.5999999999998805E-2</v>
      </c>
      <c r="N2306" s="30">
        <f t="shared" ref="N2306:N2369" si="146">-LOG(D2306,10)</f>
        <v>0.23727943400150686</v>
      </c>
      <c r="O2306" s="31">
        <f t="shared" ref="O2306:O2369" si="147">((2^E2306)/(2^F2306))</f>
        <v>1.054091423290737</v>
      </c>
    </row>
    <row r="2307" spans="1:15" x14ac:dyDescent="0.25">
      <c r="A2307" t="s">
        <v>8044</v>
      </c>
      <c r="B2307" t="s">
        <v>4617</v>
      </c>
      <c r="C2307" s="3" t="s">
        <v>4618</v>
      </c>
      <c r="D2307" s="24">
        <v>0.5806</v>
      </c>
      <c r="E2307" s="25">
        <v>9.3810000000000002</v>
      </c>
      <c r="F2307" s="25">
        <v>9.4930000000000003</v>
      </c>
      <c r="G2307" s="26">
        <v>-0.11219999999999999</v>
      </c>
      <c r="H2307" s="27">
        <v>0.19220000000000001</v>
      </c>
      <c r="I2307" s="26">
        <v>0.58379999999999999</v>
      </c>
      <c r="J2307" s="28">
        <v>6</v>
      </c>
      <c r="K2307" s="27">
        <v>0.69429399999999997</v>
      </c>
      <c r="L2307" s="29">
        <f t="shared" si="144"/>
        <v>0.15845658784462879</v>
      </c>
      <c r="M2307" s="29">
        <f t="shared" si="145"/>
        <v>-0.11199999999999993</v>
      </c>
      <c r="N2307" s="30">
        <f t="shared" si="146"/>
        <v>0.23612296850434505</v>
      </c>
      <c r="O2307" s="31">
        <f t="shared" si="147"/>
        <v>0.92530442803785229</v>
      </c>
    </row>
    <row r="2308" spans="1:15" x14ac:dyDescent="0.25">
      <c r="A2308" t="s">
        <v>8045</v>
      </c>
      <c r="B2308" t="s">
        <v>4615</v>
      </c>
      <c r="C2308" s="3" t="s">
        <v>4616</v>
      </c>
      <c r="D2308" s="24">
        <v>0.580596</v>
      </c>
      <c r="E2308" s="25">
        <v>7.242</v>
      </c>
      <c r="F2308" s="25">
        <v>7.0149999999999997</v>
      </c>
      <c r="G2308" s="26">
        <v>0.22700000000000001</v>
      </c>
      <c r="H2308" s="27">
        <v>0.38879999999999998</v>
      </c>
      <c r="I2308" s="26">
        <v>0.58379999999999999</v>
      </c>
      <c r="J2308" s="28">
        <v>6</v>
      </c>
      <c r="K2308" s="27">
        <v>0.69429399999999997</v>
      </c>
      <c r="L2308" s="29">
        <f t="shared" si="144"/>
        <v>0.15845658784462879</v>
      </c>
      <c r="M2308" s="29">
        <f t="shared" si="145"/>
        <v>0.22699999999999967</v>
      </c>
      <c r="N2308" s="30">
        <f t="shared" si="146"/>
        <v>0.23612596055379687</v>
      </c>
      <c r="O2308" s="31">
        <f t="shared" si="147"/>
        <v>1.1703986414745897</v>
      </c>
    </row>
    <row r="2309" spans="1:15" x14ac:dyDescent="0.25">
      <c r="A2309" t="s">
        <v>8046</v>
      </c>
      <c r="B2309" t="s">
        <v>4619</v>
      </c>
      <c r="C2309" s="3" t="s">
        <v>4620</v>
      </c>
      <c r="D2309" s="24">
        <v>0.58165800000000001</v>
      </c>
      <c r="E2309" s="25">
        <v>9.2149999999999999</v>
      </c>
      <c r="F2309" s="25">
        <v>8.5809999999999995</v>
      </c>
      <c r="G2309" s="26">
        <v>0.6341</v>
      </c>
      <c r="H2309" s="27">
        <v>1.089</v>
      </c>
      <c r="I2309" s="26">
        <v>0.58220000000000005</v>
      </c>
      <c r="J2309" s="28">
        <v>6</v>
      </c>
      <c r="K2309" s="27">
        <v>0.695021</v>
      </c>
      <c r="L2309" s="29">
        <f t="shared" si="144"/>
        <v>0.15800207304105762</v>
      </c>
      <c r="M2309" s="29">
        <f t="shared" si="145"/>
        <v>0.63400000000000034</v>
      </c>
      <c r="N2309" s="30">
        <f t="shared" si="146"/>
        <v>0.23533229433601188</v>
      </c>
      <c r="O2309" s="31">
        <f t="shared" si="147"/>
        <v>1.5518617085497124</v>
      </c>
    </row>
    <row r="2310" spans="1:15" x14ac:dyDescent="0.25">
      <c r="A2310" t="s">
        <v>8047</v>
      </c>
      <c r="B2310" t="s">
        <v>4621</v>
      </c>
      <c r="C2310" s="3" t="s">
        <v>4622</v>
      </c>
      <c r="D2310" s="24">
        <v>0.58170999999999995</v>
      </c>
      <c r="E2310" s="25">
        <v>7.4569999999999999</v>
      </c>
      <c r="F2310" s="25">
        <v>7.2880000000000003</v>
      </c>
      <c r="G2310" s="26">
        <v>0.16880000000000001</v>
      </c>
      <c r="H2310" s="27">
        <v>0.29010000000000002</v>
      </c>
      <c r="I2310" s="26">
        <v>0.58209999999999995</v>
      </c>
      <c r="J2310" s="28">
        <v>6</v>
      </c>
      <c r="K2310" s="27">
        <v>0.695021</v>
      </c>
      <c r="L2310" s="29">
        <f t="shared" si="144"/>
        <v>0.15800207304105762</v>
      </c>
      <c r="M2310" s="29">
        <f t="shared" si="145"/>
        <v>0.16899999999999951</v>
      </c>
      <c r="N2310" s="30">
        <f t="shared" si="146"/>
        <v>0.23529347031287565</v>
      </c>
      <c r="O2310" s="31">
        <f t="shared" si="147"/>
        <v>1.1242789237786173</v>
      </c>
    </row>
    <row r="2311" spans="1:15" x14ac:dyDescent="0.25">
      <c r="A2311" t="s">
        <v>8048</v>
      </c>
      <c r="B2311" t="s">
        <v>4623</v>
      </c>
      <c r="C2311" s="3" t="s">
        <v>4624</v>
      </c>
      <c r="D2311" s="24">
        <v>0.58211599999999997</v>
      </c>
      <c r="E2311" s="25">
        <v>10.68</v>
      </c>
      <c r="F2311" s="25">
        <v>10.78</v>
      </c>
      <c r="G2311" s="26">
        <v>-0.1009</v>
      </c>
      <c r="H2311" s="27">
        <v>0.1736</v>
      </c>
      <c r="I2311" s="26">
        <v>0.58140000000000003</v>
      </c>
      <c r="J2311" s="28">
        <v>6</v>
      </c>
      <c r="K2311" s="27">
        <v>0.69520400000000004</v>
      </c>
      <c r="L2311" s="29">
        <f t="shared" si="144"/>
        <v>0.15788773774907633</v>
      </c>
      <c r="M2311" s="29">
        <f t="shared" si="145"/>
        <v>-0.10000000000000017</v>
      </c>
      <c r="N2311" s="30">
        <f t="shared" si="146"/>
        <v>0.23499046356306019</v>
      </c>
      <c r="O2311" s="31">
        <f t="shared" si="147"/>
        <v>0.9330329915368073</v>
      </c>
    </row>
    <row r="2312" spans="1:15" x14ac:dyDescent="0.25">
      <c r="A2312" t="s">
        <v>8049</v>
      </c>
      <c r="B2312" t="s">
        <v>4625</v>
      </c>
      <c r="C2312" s="3" t="s">
        <v>4626</v>
      </c>
      <c r="D2312" s="24">
        <v>0.58253600000000005</v>
      </c>
      <c r="E2312" s="25">
        <v>8.3219999999999992</v>
      </c>
      <c r="F2312" s="25">
        <v>8.2490000000000006</v>
      </c>
      <c r="G2312" s="26">
        <v>7.281E-2</v>
      </c>
      <c r="H2312" s="27">
        <v>0.12540000000000001</v>
      </c>
      <c r="I2312" s="26">
        <v>0.58079999999999998</v>
      </c>
      <c r="J2312" s="28">
        <v>6</v>
      </c>
      <c r="K2312" s="27">
        <v>0.69540500000000005</v>
      </c>
      <c r="L2312" s="29">
        <f t="shared" si="144"/>
        <v>0.15776219104044653</v>
      </c>
      <c r="M2312" s="29">
        <f t="shared" si="145"/>
        <v>7.2999999999998719E-2</v>
      </c>
      <c r="N2312" s="30">
        <f t="shared" si="146"/>
        <v>0.23467723061397922</v>
      </c>
      <c r="O2312" s="31">
        <f t="shared" si="147"/>
        <v>1.0519017792038714</v>
      </c>
    </row>
    <row r="2313" spans="1:15" x14ac:dyDescent="0.25">
      <c r="A2313" t="s">
        <v>8050</v>
      </c>
      <c r="B2313" t="s">
        <v>4627</v>
      </c>
      <c r="C2313" s="3" t="s">
        <v>4628</v>
      </c>
      <c r="D2313" s="24">
        <v>0.58294699999999999</v>
      </c>
      <c r="E2313" s="25">
        <v>8.7919999999999998</v>
      </c>
      <c r="F2313" s="25">
        <v>8.9009999999999998</v>
      </c>
      <c r="G2313" s="26">
        <v>-0.1089</v>
      </c>
      <c r="H2313" s="27">
        <v>0.18779999999999999</v>
      </c>
      <c r="I2313" s="26">
        <v>0.58009999999999995</v>
      </c>
      <c r="J2313" s="28">
        <v>6</v>
      </c>
      <c r="K2313" s="27">
        <v>0.69559599999999999</v>
      </c>
      <c r="L2313" s="29">
        <f t="shared" si="144"/>
        <v>0.15764292405708016</v>
      </c>
      <c r="M2313" s="29">
        <f t="shared" si="145"/>
        <v>-0.10899999999999983</v>
      </c>
      <c r="N2313" s="30">
        <f t="shared" si="146"/>
        <v>0.23437092835223663</v>
      </c>
      <c r="O2313" s="31">
        <f t="shared" si="147"/>
        <v>0.92723054643546265</v>
      </c>
    </row>
    <row r="2314" spans="1:15" x14ac:dyDescent="0.25">
      <c r="A2314" t="s">
        <v>8051</v>
      </c>
      <c r="B2314" t="s">
        <v>4629</v>
      </c>
      <c r="C2314" s="3" t="s">
        <v>4630</v>
      </c>
      <c r="D2314" s="24">
        <v>0.58427499999999999</v>
      </c>
      <c r="E2314" s="25">
        <v>12.11</v>
      </c>
      <c r="F2314" s="25">
        <v>12.28</v>
      </c>
      <c r="G2314" s="26">
        <v>-0.1676</v>
      </c>
      <c r="H2314" s="27">
        <v>0.28999999999999998</v>
      </c>
      <c r="I2314" s="26">
        <v>0.57799999999999996</v>
      </c>
      <c r="J2314" s="28">
        <v>6</v>
      </c>
      <c r="K2314" s="27">
        <v>0.69661799999999996</v>
      </c>
      <c r="L2314" s="29">
        <f t="shared" si="144"/>
        <v>0.15700530794313242</v>
      </c>
      <c r="M2314" s="29">
        <f t="shared" si="145"/>
        <v>-0.17000000000000021</v>
      </c>
      <c r="N2314" s="30">
        <f t="shared" si="146"/>
        <v>0.23338269591517666</v>
      </c>
      <c r="O2314" s="31">
        <f t="shared" si="147"/>
        <v>0.88884268116657006</v>
      </c>
    </row>
    <row r="2315" spans="1:15" x14ac:dyDescent="0.25">
      <c r="A2315" t="s">
        <v>8052</v>
      </c>
      <c r="B2315" t="s">
        <v>4631</v>
      </c>
      <c r="C2315" s="3" t="s">
        <v>4632</v>
      </c>
      <c r="D2315" s="24">
        <v>0.58430800000000005</v>
      </c>
      <c r="E2315" s="25">
        <v>10.050000000000001</v>
      </c>
      <c r="F2315" s="25">
        <v>9.9740000000000002</v>
      </c>
      <c r="G2315" s="26">
        <v>7.6649999999999996E-2</v>
      </c>
      <c r="H2315" s="27">
        <v>0.1326</v>
      </c>
      <c r="I2315" s="26">
        <v>0.57799999999999996</v>
      </c>
      <c r="J2315" s="28">
        <v>6</v>
      </c>
      <c r="K2315" s="27">
        <v>0.69661799999999996</v>
      </c>
      <c r="L2315" s="29">
        <f t="shared" si="144"/>
        <v>0.15700530794313242</v>
      </c>
      <c r="M2315" s="29">
        <f t="shared" si="145"/>
        <v>7.6000000000001552E-2</v>
      </c>
      <c r="N2315" s="30">
        <f t="shared" si="146"/>
        <v>0.23335816754550734</v>
      </c>
      <c r="O2315" s="31">
        <f t="shared" si="147"/>
        <v>1.054091423290739</v>
      </c>
    </row>
    <row r="2316" spans="1:15" x14ac:dyDescent="0.25">
      <c r="A2316" t="s">
        <v>8053</v>
      </c>
      <c r="B2316" t="s">
        <v>4633</v>
      </c>
      <c r="C2316" s="3" t="s">
        <v>4634</v>
      </c>
      <c r="D2316" s="24">
        <v>0.58460199999999996</v>
      </c>
      <c r="E2316" s="25">
        <v>8.7469999999999999</v>
      </c>
      <c r="F2316" s="25">
        <v>8.6669999999999998</v>
      </c>
      <c r="G2316" s="26">
        <v>8.0360000000000001E-2</v>
      </c>
      <c r="H2316" s="27">
        <v>0.1391</v>
      </c>
      <c r="I2316" s="26">
        <v>0.57750000000000001</v>
      </c>
      <c r="J2316" s="28">
        <v>6</v>
      </c>
      <c r="K2316" s="27">
        <v>0.69666700000000004</v>
      </c>
      <c r="L2316" s="29">
        <f t="shared" si="144"/>
        <v>0.15697476081225528</v>
      </c>
      <c r="M2316" s="29">
        <f t="shared" si="145"/>
        <v>7.9999999999999252E-2</v>
      </c>
      <c r="N2316" s="30">
        <f t="shared" si="146"/>
        <v>0.23313970319774416</v>
      </c>
      <c r="O2316" s="31">
        <f t="shared" si="147"/>
        <v>1.0570180405613798</v>
      </c>
    </row>
    <row r="2317" spans="1:15" x14ac:dyDescent="0.25">
      <c r="A2317" t="s">
        <v>8054</v>
      </c>
      <c r="B2317" t="s">
        <v>4635</v>
      </c>
      <c r="C2317" s="3" t="s">
        <v>4636</v>
      </c>
      <c r="D2317" s="24">
        <v>0.58490399999999998</v>
      </c>
      <c r="E2317" s="25">
        <v>9.3800000000000008</v>
      </c>
      <c r="F2317" s="25">
        <v>9.484</v>
      </c>
      <c r="G2317" s="26">
        <v>-0.104</v>
      </c>
      <c r="H2317" s="27">
        <v>0.1802</v>
      </c>
      <c r="I2317" s="26">
        <v>0.57699999999999996</v>
      </c>
      <c r="J2317" s="28">
        <v>6</v>
      </c>
      <c r="K2317" s="27">
        <v>0.69672599999999996</v>
      </c>
      <c r="L2317" s="29">
        <f t="shared" si="144"/>
        <v>0.15693798242389312</v>
      </c>
      <c r="M2317" s="29">
        <f t="shared" si="145"/>
        <v>-0.10399999999999908</v>
      </c>
      <c r="N2317" s="30">
        <f t="shared" si="146"/>
        <v>0.23291540860421484</v>
      </c>
      <c r="O2317" s="31">
        <f t="shared" si="147"/>
        <v>0.93044965770301591</v>
      </c>
    </row>
    <row r="2318" spans="1:15" x14ac:dyDescent="0.25">
      <c r="A2318" t="s">
        <v>8055</v>
      </c>
      <c r="B2318" t="s">
        <v>4637</v>
      </c>
      <c r="C2318" s="3" t="s">
        <v>4638</v>
      </c>
      <c r="D2318" s="24">
        <v>0.58572900000000006</v>
      </c>
      <c r="E2318" s="25">
        <v>8.1289999999999996</v>
      </c>
      <c r="F2318" s="25">
        <v>8.2970000000000006</v>
      </c>
      <c r="G2318" s="26">
        <v>-0.1681</v>
      </c>
      <c r="H2318" s="27">
        <v>0.29189999999999999</v>
      </c>
      <c r="I2318" s="26">
        <v>0.57569999999999999</v>
      </c>
      <c r="J2318" s="28">
        <v>6</v>
      </c>
      <c r="K2318" s="27">
        <v>0.69719699999999996</v>
      </c>
      <c r="L2318" s="29">
        <f t="shared" si="144"/>
        <v>0.15664449030307834</v>
      </c>
      <c r="M2318" s="29">
        <f t="shared" si="145"/>
        <v>-0.16800000000000068</v>
      </c>
      <c r="N2318" s="30">
        <f t="shared" si="146"/>
        <v>0.23230327310677401</v>
      </c>
      <c r="O2318" s="31">
        <f t="shared" si="147"/>
        <v>0.890075733252496</v>
      </c>
    </row>
    <row r="2319" spans="1:15" x14ac:dyDescent="0.25">
      <c r="A2319" t="s">
        <v>8056</v>
      </c>
      <c r="B2319" t="s">
        <v>4639</v>
      </c>
      <c r="C2319" s="3" t="s">
        <v>4640</v>
      </c>
      <c r="D2319" s="24">
        <v>0.58580399999999999</v>
      </c>
      <c r="E2319" s="25">
        <v>7.1040000000000001</v>
      </c>
      <c r="F2319" s="25">
        <v>7.2220000000000004</v>
      </c>
      <c r="G2319" s="26">
        <v>-0.1178</v>
      </c>
      <c r="H2319" s="27">
        <v>0.2046</v>
      </c>
      <c r="I2319" s="26">
        <v>0.5756</v>
      </c>
      <c r="J2319" s="28">
        <v>6</v>
      </c>
      <c r="K2319" s="27">
        <v>0.69719699999999996</v>
      </c>
      <c r="L2319" s="29">
        <f t="shared" si="144"/>
        <v>0.15664449030307834</v>
      </c>
      <c r="M2319" s="29">
        <f t="shared" si="145"/>
        <v>-0.11799999999999997</v>
      </c>
      <c r="N2319" s="30">
        <f t="shared" si="146"/>
        <v>0.23224766718498227</v>
      </c>
      <c r="O2319" s="31">
        <f t="shared" si="147"/>
        <v>0.92146418619870396</v>
      </c>
    </row>
    <row r="2320" spans="1:15" x14ac:dyDescent="0.25">
      <c r="A2320" t="s">
        <v>8057</v>
      </c>
      <c r="B2320" t="s">
        <v>4641</v>
      </c>
      <c r="C2320" s="3" t="s">
        <v>4642</v>
      </c>
      <c r="D2320" s="24">
        <v>0.58729900000000002</v>
      </c>
      <c r="E2320" s="25">
        <v>10.52</v>
      </c>
      <c r="F2320" s="25">
        <v>10.7</v>
      </c>
      <c r="G2320" s="26">
        <v>-0.17519999999999999</v>
      </c>
      <c r="H2320" s="27">
        <v>0.30559999999999998</v>
      </c>
      <c r="I2320" s="26">
        <v>0.57330000000000003</v>
      </c>
      <c r="J2320" s="28">
        <v>6</v>
      </c>
      <c r="K2320" s="27">
        <v>0.69867599999999996</v>
      </c>
      <c r="L2320" s="29">
        <f t="shared" si="144"/>
        <v>0.15572417480288228</v>
      </c>
      <c r="M2320" s="29">
        <f t="shared" si="145"/>
        <v>-0.1799999999999993</v>
      </c>
      <c r="N2320" s="30">
        <f t="shared" si="146"/>
        <v>0.23114073863405912</v>
      </c>
      <c r="O2320" s="31">
        <f t="shared" si="147"/>
        <v>0.8827029962906553</v>
      </c>
    </row>
    <row r="2321" spans="1:15" x14ac:dyDescent="0.25">
      <c r="A2321" t="s">
        <v>8058</v>
      </c>
      <c r="B2321" t="s">
        <v>4645</v>
      </c>
      <c r="C2321" s="3" t="s">
        <v>4646</v>
      </c>
      <c r="D2321" s="24">
        <v>0.58838299999999999</v>
      </c>
      <c r="E2321" s="25">
        <v>10.23</v>
      </c>
      <c r="F2321" s="25">
        <v>10.29</v>
      </c>
      <c r="G2321" s="26">
        <v>-6.5790000000000001E-2</v>
      </c>
      <c r="H2321" s="27">
        <v>0.11509999999999999</v>
      </c>
      <c r="I2321" s="26">
        <v>0.57150000000000001</v>
      </c>
      <c r="J2321" s="28">
        <v>6</v>
      </c>
      <c r="K2321" s="27">
        <v>0.69936299999999996</v>
      </c>
      <c r="L2321" s="29">
        <f t="shared" si="144"/>
        <v>0.15529734789307045</v>
      </c>
      <c r="M2321" s="29">
        <f t="shared" si="145"/>
        <v>-5.9999999999998242E-2</v>
      </c>
      <c r="N2321" s="30">
        <f t="shared" si="146"/>
        <v>0.23033988372297279</v>
      </c>
      <c r="O2321" s="31">
        <f t="shared" si="147"/>
        <v>0.95926411932526556</v>
      </c>
    </row>
    <row r="2322" spans="1:15" x14ac:dyDescent="0.25">
      <c r="A2322" t="s">
        <v>8059</v>
      </c>
      <c r="B2322" t="s">
        <v>4643</v>
      </c>
      <c r="C2322" s="3" t="s">
        <v>4644</v>
      </c>
      <c r="D2322" s="24">
        <v>0.588198</v>
      </c>
      <c r="E2322" s="25">
        <v>8.2639999999999993</v>
      </c>
      <c r="F2322" s="25">
        <v>8.3439999999999994</v>
      </c>
      <c r="G2322" s="26">
        <v>-8.0259999999999998E-2</v>
      </c>
      <c r="H2322" s="27">
        <v>0.1404</v>
      </c>
      <c r="I2322" s="26">
        <v>0.57179999999999997</v>
      </c>
      <c r="J2322" s="28">
        <v>6</v>
      </c>
      <c r="K2322" s="27">
        <v>0.69936299999999996</v>
      </c>
      <c r="L2322" s="29">
        <f t="shared" si="144"/>
        <v>0.15529734789307045</v>
      </c>
      <c r="M2322" s="29">
        <f t="shared" si="145"/>
        <v>-8.0000000000000529E-2</v>
      </c>
      <c r="N2322" s="30">
        <f t="shared" si="146"/>
        <v>0.23047645652129983</v>
      </c>
      <c r="O2322" s="31">
        <f t="shared" si="147"/>
        <v>0.94605764672559556</v>
      </c>
    </row>
    <row r="2323" spans="1:15" x14ac:dyDescent="0.25">
      <c r="A2323" t="s">
        <v>8060</v>
      </c>
      <c r="B2323" t="s">
        <v>4647</v>
      </c>
      <c r="C2323" s="3" t="s">
        <v>4648</v>
      </c>
      <c r="D2323" s="24">
        <v>0.588758</v>
      </c>
      <c r="E2323" s="25">
        <v>15.57</v>
      </c>
      <c r="F2323" s="25">
        <v>15.63</v>
      </c>
      <c r="G2323" s="26">
        <v>-5.645E-2</v>
      </c>
      <c r="H2323" s="27">
        <v>9.887E-2</v>
      </c>
      <c r="I2323" s="26">
        <v>0.57099999999999995</v>
      </c>
      <c r="J2323" s="28">
        <v>6</v>
      </c>
      <c r="K2323" s="27">
        <v>0.69950800000000002</v>
      </c>
      <c r="L2323" s="29">
        <f t="shared" si="144"/>
        <v>0.15520731428725329</v>
      </c>
      <c r="M2323" s="29">
        <f t="shared" si="145"/>
        <v>-5.9999999999999741E-2</v>
      </c>
      <c r="N2323" s="30">
        <f t="shared" si="146"/>
        <v>0.2300631786617727</v>
      </c>
      <c r="O2323" s="31">
        <f t="shared" si="147"/>
        <v>0.95926411932526456</v>
      </c>
    </row>
    <row r="2324" spans="1:15" x14ac:dyDescent="0.25">
      <c r="A2324" t="s">
        <v>8061</v>
      </c>
      <c r="B2324" t="s">
        <v>4657</v>
      </c>
      <c r="C2324" s="3" t="s">
        <v>4658</v>
      </c>
      <c r="D2324" s="24">
        <v>0.59154399999999996</v>
      </c>
      <c r="E2324" s="25">
        <v>11.05</v>
      </c>
      <c r="F2324" s="25">
        <v>11.12</v>
      </c>
      <c r="G2324" s="26">
        <v>-7.5609999999999997E-2</v>
      </c>
      <c r="H2324" s="27">
        <v>0.13350000000000001</v>
      </c>
      <c r="I2324" s="26">
        <v>0.56659999999999999</v>
      </c>
      <c r="J2324" s="28">
        <v>6</v>
      </c>
      <c r="K2324" s="27">
        <v>0.70100899999999999</v>
      </c>
      <c r="L2324" s="29">
        <f t="shared" si="144"/>
        <v>0.15427640624839675</v>
      </c>
      <c r="M2324" s="29">
        <f t="shared" si="145"/>
        <v>-6.9999999999997731E-2</v>
      </c>
      <c r="N2324" s="30">
        <f t="shared" si="146"/>
        <v>0.22801294630822572</v>
      </c>
      <c r="O2324" s="31">
        <f t="shared" si="147"/>
        <v>0.95263799804393889</v>
      </c>
    </row>
    <row r="2325" spans="1:15" x14ac:dyDescent="0.25">
      <c r="A2325" t="s">
        <v>8062</v>
      </c>
      <c r="B2325" t="s">
        <v>4651</v>
      </c>
      <c r="C2325" s="3" t="s">
        <v>4652</v>
      </c>
      <c r="D2325" s="24">
        <v>0.59121199999999996</v>
      </c>
      <c r="E2325" s="25">
        <v>7.8819999999999997</v>
      </c>
      <c r="F2325" s="25">
        <v>8.0559999999999992</v>
      </c>
      <c r="G2325" s="26">
        <v>-0.17480000000000001</v>
      </c>
      <c r="H2325" s="27">
        <v>0.30830000000000002</v>
      </c>
      <c r="I2325" s="26">
        <v>0.56710000000000005</v>
      </c>
      <c r="J2325" s="28">
        <v>6</v>
      </c>
      <c r="K2325" s="27">
        <v>0.70100899999999999</v>
      </c>
      <c r="L2325" s="29">
        <f t="shared" si="144"/>
        <v>0.15427640624839675</v>
      </c>
      <c r="M2325" s="29">
        <f t="shared" si="145"/>
        <v>-0.17399999999999929</v>
      </c>
      <c r="N2325" s="30">
        <f t="shared" si="146"/>
        <v>0.22825675952376437</v>
      </c>
      <c r="O2325" s="31">
        <f t="shared" si="147"/>
        <v>0.88638169919486776</v>
      </c>
    </row>
    <row r="2326" spans="1:15" x14ac:dyDescent="0.25">
      <c r="A2326" t="s">
        <v>8063</v>
      </c>
      <c r="B2326" t="s">
        <v>4655</v>
      </c>
      <c r="C2326" s="3" t="s">
        <v>4656</v>
      </c>
      <c r="D2326" s="24">
        <v>0.59150999999999998</v>
      </c>
      <c r="E2326" s="25">
        <v>8.4979999999999993</v>
      </c>
      <c r="F2326" s="25">
        <v>8.2520000000000007</v>
      </c>
      <c r="G2326" s="26">
        <v>0.246</v>
      </c>
      <c r="H2326" s="27">
        <v>0.43419999999999997</v>
      </c>
      <c r="I2326" s="26">
        <v>0.56659999999999999</v>
      </c>
      <c r="J2326" s="28">
        <v>6</v>
      </c>
      <c r="K2326" s="27">
        <v>0.70100899999999999</v>
      </c>
      <c r="L2326" s="29">
        <f t="shared" si="144"/>
        <v>0.15427640624839675</v>
      </c>
      <c r="M2326" s="29">
        <f t="shared" si="145"/>
        <v>0.24599999999999908</v>
      </c>
      <c r="N2326" s="30">
        <f t="shared" si="146"/>
        <v>0.22803790884144698</v>
      </c>
      <c r="O2326" s="31">
        <f t="shared" si="147"/>
        <v>1.1859144994109472</v>
      </c>
    </row>
    <row r="2327" spans="1:15" x14ac:dyDescent="0.25">
      <c r="A2327" t="s">
        <v>8064</v>
      </c>
      <c r="B2327" t="s">
        <v>4649</v>
      </c>
      <c r="C2327" s="3" t="s">
        <v>4650</v>
      </c>
      <c r="D2327" s="24">
        <v>0.59101599999999999</v>
      </c>
      <c r="E2327" s="25">
        <v>11.96</v>
      </c>
      <c r="F2327" s="25">
        <v>11.91</v>
      </c>
      <c r="G2327" s="26">
        <v>4.9360000000000001E-2</v>
      </c>
      <c r="H2327" s="27">
        <v>8.6989999999999998E-2</v>
      </c>
      <c r="I2327" s="26">
        <v>0.56740000000000002</v>
      </c>
      <c r="J2327" s="28">
        <v>6</v>
      </c>
      <c r="K2327" s="27">
        <v>0.70100899999999999</v>
      </c>
      <c r="L2327" s="29">
        <f t="shared" si="144"/>
        <v>0.15427640624839675</v>
      </c>
      <c r="M2327" s="29">
        <f t="shared" si="145"/>
        <v>5.0000000000000731E-2</v>
      </c>
      <c r="N2327" s="30">
        <f t="shared" si="146"/>
        <v>0.22840076172847093</v>
      </c>
      <c r="O2327" s="31">
        <f t="shared" si="147"/>
        <v>1.035264923841378</v>
      </c>
    </row>
    <row r="2328" spans="1:15" x14ac:dyDescent="0.25">
      <c r="A2328" t="s">
        <v>8065</v>
      </c>
      <c r="B2328" t="s">
        <v>4653</v>
      </c>
      <c r="C2328" s="3" t="s">
        <v>4654</v>
      </c>
      <c r="D2328" s="24">
        <v>0.59141600000000005</v>
      </c>
      <c r="E2328" s="25">
        <v>13.42</v>
      </c>
      <c r="F2328" s="25">
        <v>13.6</v>
      </c>
      <c r="G2328" s="26">
        <v>-0.17680000000000001</v>
      </c>
      <c r="H2328" s="27">
        <v>0.312</v>
      </c>
      <c r="I2328" s="26">
        <v>0.56679999999999997</v>
      </c>
      <c r="J2328" s="28">
        <v>6</v>
      </c>
      <c r="K2328" s="27">
        <v>0.70100899999999999</v>
      </c>
      <c r="L2328" s="29">
        <f t="shared" si="144"/>
        <v>0.15427640624839675</v>
      </c>
      <c r="M2328" s="29">
        <f t="shared" si="145"/>
        <v>-0.17999999999999913</v>
      </c>
      <c r="N2328" s="30">
        <f t="shared" si="146"/>
        <v>0.22810693037176216</v>
      </c>
      <c r="O2328" s="31">
        <f t="shared" si="147"/>
        <v>0.88270299629065541</v>
      </c>
    </row>
    <row r="2329" spans="1:15" x14ac:dyDescent="0.25">
      <c r="A2329" t="s">
        <v>8066</v>
      </c>
      <c r="B2329" t="s">
        <v>4659</v>
      </c>
      <c r="C2329" s="3" t="s">
        <v>4660</v>
      </c>
      <c r="D2329" s="24">
        <v>0.59198399999999995</v>
      </c>
      <c r="E2329" s="25">
        <v>8.2710000000000008</v>
      </c>
      <c r="F2329" s="25">
        <v>8.1839999999999993</v>
      </c>
      <c r="G2329" s="26">
        <v>8.7910000000000002E-2</v>
      </c>
      <c r="H2329" s="27">
        <v>0.15529999999999999</v>
      </c>
      <c r="I2329" s="26">
        <v>0.56589999999999996</v>
      </c>
      <c r="J2329" s="28">
        <v>6</v>
      </c>
      <c r="K2329" s="27">
        <v>0.70122899999999999</v>
      </c>
      <c r="L2329" s="29">
        <f t="shared" si="144"/>
        <v>0.15414013154067571</v>
      </c>
      <c r="M2329" s="29">
        <f t="shared" si="145"/>
        <v>8.7000000000000702E-2</v>
      </c>
      <c r="N2329" s="30">
        <f t="shared" si="146"/>
        <v>0.22769003112440059</v>
      </c>
      <c r="O2329" s="31">
        <f t="shared" si="147"/>
        <v>1.062159186495373</v>
      </c>
    </row>
    <row r="2330" spans="1:15" x14ac:dyDescent="0.25">
      <c r="A2330" t="s">
        <v>8067</v>
      </c>
      <c r="B2330" t="s">
        <v>4661</v>
      </c>
      <c r="C2330" s="3" t="s">
        <v>4662</v>
      </c>
      <c r="D2330" s="24">
        <v>0.59260400000000002</v>
      </c>
      <c r="E2330" s="25">
        <v>8.1519999999999992</v>
      </c>
      <c r="F2330" s="25">
        <v>8.423</v>
      </c>
      <c r="G2330" s="26">
        <v>-0.27029999999999998</v>
      </c>
      <c r="H2330" s="27">
        <v>0.47849999999999998</v>
      </c>
      <c r="I2330" s="26">
        <v>0.56489999999999996</v>
      </c>
      <c r="J2330" s="28">
        <v>6</v>
      </c>
      <c r="K2330" s="27">
        <v>0.70166300000000004</v>
      </c>
      <c r="L2330" s="29">
        <f t="shared" si="144"/>
        <v>0.15387142402625703</v>
      </c>
      <c r="M2330" s="29">
        <f t="shared" si="145"/>
        <v>-0.27100000000000068</v>
      </c>
      <c r="N2330" s="30">
        <f t="shared" si="146"/>
        <v>0.22723542141475142</v>
      </c>
      <c r="O2330" s="31">
        <f t="shared" si="147"/>
        <v>0.82874490448799176</v>
      </c>
    </row>
    <row r="2331" spans="1:15" x14ac:dyDescent="0.25">
      <c r="A2331" t="s">
        <v>8068</v>
      </c>
      <c r="B2331" t="s">
        <v>4667</v>
      </c>
      <c r="C2331" s="3" t="s">
        <v>4668</v>
      </c>
      <c r="D2331" s="24">
        <v>0.593526</v>
      </c>
      <c r="E2331" s="25">
        <v>10.97</v>
      </c>
      <c r="F2331" s="25">
        <v>10.88</v>
      </c>
      <c r="G2331" s="26">
        <v>8.548E-2</v>
      </c>
      <c r="H2331" s="27">
        <v>0.1517</v>
      </c>
      <c r="I2331" s="26">
        <v>0.5635</v>
      </c>
      <c r="J2331" s="28">
        <v>6</v>
      </c>
      <c r="K2331" s="27">
        <v>0.70169499999999996</v>
      </c>
      <c r="L2331" s="29">
        <f t="shared" si="144"/>
        <v>0.15385161807022404</v>
      </c>
      <c r="M2331" s="29">
        <f t="shared" si="145"/>
        <v>8.9999999999999566E-2</v>
      </c>
      <c r="N2331" s="30">
        <f t="shared" si="146"/>
        <v>0.22656025158857326</v>
      </c>
      <c r="O2331" s="31">
        <f t="shared" si="147"/>
        <v>1.0643701824533596</v>
      </c>
    </row>
    <row r="2332" spans="1:15" x14ac:dyDescent="0.25">
      <c r="A2332" t="s">
        <v>8069</v>
      </c>
      <c r="B2332" t="s">
        <v>4663</v>
      </c>
      <c r="C2332" s="3" t="s">
        <v>4664</v>
      </c>
      <c r="D2332" s="24">
        <v>0.59331599999999995</v>
      </c>
      <c r="E2332" s="25">
        <v>9.2040000000000006</v>
      </c>
      <c r="F2332" s="25">
        <v>9.0670000000000002</v>
      </c>
      <c r="G2332" s="26">
        <v>0.13719999999999999</v>
      </c>
      <c r="H2332" s="27">
        <v>0.24340000000000001</v>
      </c>
      <c r="I2332" s="26">
        <v>0.56379999999999997</v>
      </c>
      <c r="J2332" s="28">
        <v>6</v>
      </c>
      <c r="K2332" s="27">
        <v>0.70169499999999996</v>
      </c>
      <c r="L2332" s="29">
        <f t="shared" si="144"/>
        <v>0.15385161807022404</v>
      </c>
      <c r="M2332" s="29">
        <f t="shared" si="145"/>
        <v>0.13700000000000034</v>
      </c>
      <c r="N2332" s="30">
        <f t="shared" si="146"/>
        <v>0.22671393985061905</v>
      </c>
      <c r="O2332" s="31">
        <f t="shared" si="147"/>
        <v>1.0996161493145515</v>
      </c>
    </row>
    <row r="2333" spans="1:15" x14ac:dyDescent="0.25">
      <c r="A2333" t="s">
        <v>8070</v>
      </c>
      <c r="B2333" t="s">
        <v>4669</v>
      </c>
      <c r="C2333" s="3" t="s">
        <v>4670</v>
      </c>
      <c r="D2333" s="24">
        <v>0.59364700000000004</v>
      </c>
      <c r="E2333" s="25">
        <v>8.6690000000000005</v>
      </c>
      <c r="F2333" s="25">
        <v>8.7349999999999994</v>
      </c>
      <c r="G2333" s="26">
        <v>-6.6009999999999999E-2</v>
      </c>
      <c r="H2333" s="27">
        <v>0.1172</v>
      </c>
      <c r="I2333" s="26">
        <v>0.56330000000000002</v>
      </c>
      <c r="J2333" s="28">
        <v>6</v>
      </c>
      <c r="K2333" s="27">
        <v>0.70169499999999996</v>
      </c>
      <c r="L2333" s="29">
        <f t="shared" si="144"/>
        <v>0.15385161807022404</v>
      </c>
      <c r="M2333" s="29">
        <f t="shared" si="145"/>
        <v>-6.5999999999998532E-2</v>
      </c>
      <c r="N2333" s="30">
        <f t="shared" si="146"/>
        <v>0.22647172256627865</v>
      </c>
      <c r="O2333" s="31">
        <f t="shared" si="147"/>
        <v>0.95528293638243833</v>
      </c>
    </row>
    <row r="2334" spans="1:15" x14ac:dyDescent="0.25">
      <c r="A2334" t="s">
        <v>8071</v>
      </c>
      <c r="B2334" t="s">
        <v>4665</v>
      </c>
      <c r="C2334" s="3" t="s">
        <v>4666</v>
      </c>
      <c r="D2334" s="24">
        <v>0.59350400000000003</v>
      </c>
      <c r="E2334" s="25">
        <v>10.48</v>
      </c>
      <c r="F2334" s="25">
        <v>10.43</v>
      </c>
      <c r="G2334" s="26">
        <v>4.7469999999999998E-2</v>
      </c>
      <c r="H2334" s="27">
        <v>8.4250000000000005E-2</v>
      </c>
      <c r="I2334" s="26">
        <v>0.5635</v>
      </c>
      <c r="J2334" s="28">
        <v>6</v>
      </c>
      <c r="K2334" s="27">
        <v>0.70169499999999996</v>
      </c>
      <c r="L2334" s="29">
        <f t="shared" si="144"/>
        <v>0.15385161807022404</v>
      </c>
      <c r="M2334" s="29">
        <f t="shared" si="145"/>
        <v>5.0000000000000731E-2</v>
      </c>
      <c r="N2334" s="30">
        <f t="shared" si="146"/>
        <v>0.2265763497134782</v>
      </c>
      <c r="O2334" s="31">
        <f t="shared" si="147"/>
        <v>1.035264923841378</v>
      </c>
    </row>
    <row r="2335" spans="1:15" x14ac:dyDescent="0.25">
      <c r="A2335" t="s">
        <v>8072</v>
      </c>
      <c r="B2335" t="s">
        <v>4671</v>
      </c>
      <c r="C2335" s="3" t="s">
        <v>4672</v>
      </c>
      <c r="D2335" s="24">
        <v>0.59417600000000004</v>
      </c>
      <c r="E2335" s="25">
        <v>8.5180000000000007</v>
      </c>
      <c r="F2335" s="25">
        <v>8.5879999999999992</v>
      </c>
      <c r="G2335" s="26">
        <v>-7.0169999999999996E-2</v>
      </c>
      <c r="H2335" s="27">
        <v>0.12470000000000001</v>
      </c>
      <c r="I2335" s="26">
        <v>0.5625</v>
      </c>
      <c r="J2335" s="28">
        <v>6</v>
      </c>
      <c r="K2335" s="27">
        <v>0.70201999999999998</v>
      </c>
      <c r="L2335" s="29">
        <f t="shared" si="144"/>
        <v>0.15365051498428334</v>
      </c>
      <c r="M2335" s="29">
        <f t="shared" si="145"/>
        <v>-6.9999999999997731E-2</v>
      </c>
      <c r="N2335" s="30">
        <f t="shared" si="146"/>
        <v>0.22608489423223271</v>
      </c>
      <c r="O2335" s="31">
        <f t="shared" si="147"/>
        <v>0.95263799804393889</v>
      </c>
    </row>
    <row r="2336" spans="1:15" x14ac:dyDescent="0.25">
      <c r="A2336" t="s">
        <v>8073</v>
      </c>
      <c r="B2336" t="s">
        <v>4673</v>
      </c>
      <c r="C2336" s="3" t="s">
        <v>4674</v>
      </c>
      <c r="D2336" s="24">
        <v>0.59458999999999995</v>
      </c>
      <c r="E2336" s="25">
        <v>8.2629999999999999</v>
      </c>
      <c r="F2336" s="25">
        <v>8.1910000000000007</v>
      </c>
      <c r="G2336" s="26">
        <v>7.2289999999999993E-2</v>
      </c>
      <c r="H2336" s="27">
        <v>0.12870000000000001</v>
      </c>
      <c r="I2336" s="26">
        <v>0.56179999999999997</v>
      </c>
      <c r="J2336" s="28">
        <v>6</v>
      </c>
      <c r="K2336" s="27">
        <v>0.70220800000000005</v>
      </c>
      <c r="L2336" s="29">
        <f t="shared" si="144"/>
        <v>0.15353422708362097</v>
      </c>
      <c r="M2336" s="29">
        <f t="shared" si="145"/>
        <v>7.1999999999998079E-2</v>
      </c>
      <c r="N2336" s="30">
        <f t="shared" si="146"/>
        <v>0.22578239916966045</v>
      </c>
      <c r="O2336" s="31">
        <f t="shared" si="147"/>
        <v>1.0511729090877051</v>
      </c>
    </row>
    <row r="2337" spans="1:15" x14ac:dyDescent="0.25">
      <c r="A2337" t="s">
        <v>8074</v>
      </c>
      <c r="B2337" t="s">
        <v>4675</v>
      </c>
      <c r="C2337" s="3" t="s">
        <v>4676</v>
      </c>
      <c r="D2337" s="24">
        <v>0.59495600000000004</v>
      </c>
      <c r="E2337" s="25">
        <v>7.2610000000000001</v>
      </c>
      <c r="F2337" s="25">
        <v>7.3579999999999997</v>
      </c>
      <c r="G2337" s="26">
        <v>-9.7259999999999999E-2</v>
      </c>
      <c r="H2337" s="27">
        <v>0.17330000000000001</v>
      </c>
      <c r="I2337" s="26">
        <v>0.56120000000000003</v>
      </c>
      <c r="J2337" s="28">
        <v>6</v>
      </c>
      <c r="K2337" s="27">
        <v>0.70233999999999996</v>
      </c>
      <c r="L2337" s="29">
        <f t="shared" si="144"/>
        <v>0.15345259673452649</v>
      </c>
      <c r="M2337" s="29">
        <f t="shared" si="145"/>
        <v>-9.7000000000000142E-2</v>
      </c>
      <c r="N2337" s="30">
        <f t="shared" si="146"/>
        <v>0.22551515135344746</v>
      </c>
      <c r="O2337" s="31">
        <f t="shared" si="147"/>
        <v>0.93497519775145532</v>
      </c>
    </row>
    <row r="2338" spans="1:15" x14ac:dyDescent="0.25">
      <c r="A2338" t="s">
        <v>8075</v>
      </c>
      <c r="B2338" t="s">
        <v>4677</v>
      </c>
      <c r="C2338" s="3" t="s">
        <v>4678</v>
      </c>
      <c r="D2338" s="24">
        <v>0.59530899999999998</v>
      </c>
      <c r="E2338" s="25">
        <v>7.984</v>
      </c>
      <c r="F2338" s="25">
        <v>8.5419999999999998</v>
      </c>
      <c r="G2338" s="26">
        <v>-0.55789999999999995</v>
      </c>
      <c r="H2338" s="27">
        <v>0.995</v>
      </c>
      <c r="I2338" s="26">
        <v>0.56069999999999998</v>
      </c>
      <c r="J2338" s="28">
        <v>6</v>
      </c>
      <c r="K2338" s="27">
        <v>0.702457</v>
      </c>
      <c r="L2338" s="29">
        <f t="shared" si="144"/>
        <v>0.15338025538627448</v>
      </c>
      <c r="M2338" s="29">
        <f t="shared" si="145"/>
        <v>-0.55800000000000038</v>
      </c>
      <c r="N2338" s="30">
        <f t="shared" si="146"/>
        <v>0.22525755164816083</v>
      </c>
      <c r="O2338" s="31">
        <f t="shared" si="147"/>
        <v>0.67924314227447224</v>
      </c>
    </row>
    <row r="2339" spans="1:15" x14ac:dyDescent="0.25">
      <c r="A2339" t="s">
        <v>8076</v>
      </c>
      <c r="B2339" t="s">
        <v>4679</v>
      </c>
      <c r="C2339" s="3" t="s">
        <v>4680</v>
      </c>
      <c r="D2339" s="24">
        <v>0.59583799999999998</v>
      </c>
      <c r="E2339" s="25">
        <v>9.843</v>
      </c>
      <c r="F2339" s="25">
        <v>9.798</v>
      </c>
      <c r="G2339" s="26">
        <v>4.5789999999999997E-2</v>
      </c>
      <c r="H2339" s="27">
        <v>8.1790000000000002E-2</v>
      </c>
      <c r="I2339" s="26">
        <v>0.55989999999999995</v>
      </c>
      <c r="J2339" s="28">
        <v>6</v>
      </c>
      <c r="K2339" s="27">
        <v>0.70278099999999999</v>
      </c>
      <c r="L2339" s="29">
        <f t="shared" si="144"/>
        <v>0.15317998836441757</v>
      </c>
      <c r="M2339" s="29">
        <f t="shared" si="145"/>
        <v>4.5000000000001053E-2</v>
      </c>
      <c r="N2339" s="30">
        <f t="shared" si="146"/>
        <v>0.22487180279259375</v>
      </c>
      <c r="O2339" s="31">
        <f t="shared" si="147"/>
        <v>1.0316831793013597</v>
      </c>
    </row>
    <row r="2340" spans="1:15" x14ac:dyDescent="0.25">
      <c r="A2340" t="s">
        <v>8077</v>
      </c>
      <c r="B2340" t="s">
        <v>4681</v>
      </c>
      <c r="C2340" s="3" t="s">
        <v>4682</v>
      </c>
      <c r="D2340" s="24">
        <v>0.596279</v>
      </c>
      <c r="E2340" s="25">
        <v>9.3480000000000008</v>
      </c>
      <c r="F2340" s="25">
        <v>9.4359999999999999</v>
      </c>
      <c r="G2340" s="26">
        <v>-8.8029999999999997E-2</v>
      </c>
      <c r="H2340" s="27">
        <v>0.15740000000000001</v>
      </c>
      <c r="I2340" s="26">
        <v>0.55920000000000003</v>
      </c>
      <c r="J2340" s="28">
        <v>6</v>
      </c>
      <c r="K2340" s="27">
        <v>0.70300099999999999</v>
      </c>
      <c r="L2340" s="29">
        <f t="shared" si="144"/>
        <v>0.15304405720752592</v>
      </c>
      <c r="M2340" s="29">
        <f t="shared" si="145"/>
        <v>-8.7999999999998871E-2</v>
      </c>
      <c r="N2340" s="30">
        <f t="shared" si="146"/>
        <v>0.22455048554729662</v>
      </c>
      <c r="O2340" s="31">
        <f t="shared" si="147"/>
        <v>0.94082610751378837</v>
      </c>
    </row>
    <row r="2341" spans="1:15" x14ac:dyDescent="0.25">
      <c r="A2341" t="s">
        <v>8078</v>
      </c>
      <c r="B2341" t="s">
        <v>4683</v>
      </c>
      <c r="C2341" s="3" t="s">
        <v>4684</v>
      </c>
      <c r="D2341" s="24">
        <v>0.59889800000000004</v>
      </c>
      <c r="E2341" s="25">
        <v>9.1549999999999994</v>
      </c>
      <c r="F2341" s="25">
        <v>9.2240000000000002</v>
      </c>
      <c r="G2341" s="26">
        <v>-6.9290000000000004E-2</v>
      </c>
      <c r="H2341" s="27">
        <v>0.12479999999999999</v>
      </c>
      <c r="I2341" s="26">
        <v>0.55510000000000004</v>
      </c>
      <c r="J2341" s="28">
        <v>6</v>
      </c>
      <c r="K2341" s="27">
        <v>0.70578799999999997</v>
      </c>
      <c r="L2341" s="29">
        <f t="shared" si="144"/>
        <v>0.15132572990646409</v>
      </c>
      <c r="M2341" s="29">
        <f t="shared" si="145"/>
        <v>-6.9000000000001227E-2</v>
      </c>
      <c r="N2341" s="30">
        <f t="shared" si="146"/>
        <v>0.22264713722538232</v>
      </c>
      <c r="O2341" s="31">
        <f t="shared" si="147"/>
        <v>0.95329854528815816</v>
      </c>
    </row>
    <row r="2342" spans="1:15" x14ac:dyDescent="0.25">
      <c r="A2342" t="s">
        <v>8079</v>
      </c>
      <c r="B2342" t="s">
        <v>4685</v>
      </c>
      <c r="C2342" s="3" t="s">
        <v>4686</v>
      </c>
      <c r="D2342" s="24">
        <v>0.59965299999999999</v>
      </c>
      <c r="E2342" s="25">
        <v>9.1829999999999998</v>
      </c>
      <c r="F2342" s="25">
        <v>9.016</v>
      </c>
      <c r="G2342" s="26">
        <v>0.16719999999999999</v>
      </c>
      <c r="H2342" s="27">
        <v>0.3019</v>
      </c>
      <c r="I2342" s="26">
        <v>0.55389999999999995</v>
      </c>
      <c r="J2342" s="28">
        <v>6</v>
      </c>
      <c r="K2342" s="27">
        <v>0.706376</v>
      </c>
      <c r="L2342" s="29">
        <f t="shared" si="144"/>
        <v>0.15096406487305858</v>
      </c>
      <c r="M2342" s="29">
        <f t="shared" si="145"/>
        <v>0.16699999999999882</v>
      </c>
      <c r="N2342" s="30">
        <f t="shared" si="146"/>
        <v>0.22209998924885549</v>
      </c>
      <c r="O2342" s="31">
        <f t="shared" si="147"/>
        <v>1.1227214220736075</v>
      </c>
    </row>
    <row r="2343" spans="1:15" x14ac:dyDescent="0.25">
      <c r="A2343" t="s">
        <v>8080</v>
      </c>
      <c r="B2343" t="s">
        <v>4687</v>
      </c>
      <c r="C2343" s="3" t="s">
        <v>4688</v>
      </c>
      <c r="D2343" s="24">
        <v>0.60056600000000004</v>
      </c>
      <c r="E2343" s="25">
        <v>12.48</v>
      </c>
      <c r="F2343" s="25">
        <v>12.62</v>
      </c>
      <c r="G2343" s="26">
        <v>-0.1421</v>
      </c>
      <c r="H2343" s="27">
        <v>0.25719999999999998</v>
      </c>
      <c r="I2343" s="26">
        <v>0.55249999999999999</v>
      </c>
      <c r="J2343" s="28">
        <v>6</v>
      </c>
      <c r="K2343" s="27">
        <v>0.70714900000000003</v>
      </c>
      <c r="L2343" s="29">
        <f t="shared" si="144"/>
        <v>0.15048906843793855</v>
      </c>
      <c r="M2343" s="29">
        <f t="shared" si="145"/>
        <v>-0.14000000000000032</v>
      </c>
      <c r="N2343" s="30">
        <f t="shared" si="146"/>
        <v>0.22143925826816135</v>
      </c>
      <c r="O2343" s="31">
        <f t="shared" si="147"/>
        <v>0.90751915531716065</v>
      </c>
    </row>
    <row r="2344" spans="1:15" x14ac:dyDescent="0.25">
      <c r="A2344" t="s">
        <v>8081</v>
      </c>
      <c r="B2344" t="s">
        <v>4689</v>
      </c>
      <c r="C2344" s="3" t="s">
        <v>4690</v>
      </c>
      <c r="D2344" s="24">
        <v>0.60098499999999999</v>
      </c>
      <c r="E2344" s="25">
        <v>9.4120000000000008</v>
      </c>
      <c r="F2344" s="25">
        <v>9.3350000000000009</v>
      </c>
      <c r="G2344" s="26">
        <v>7.775E-2</v>
      </c>
      <c r="H2344" s="27">
        <v>0.1409</v>
      </c>
      <c r="I2344" s="26">
        <v>0.55189999999999995</v>
      </c>
      <c r="J2344" s="28">
        <v>6</v>
      </c>
      <c r="K2344" s="27">
        <v>0.707341</v>
      </c>
      <c r="L2344" s="29">
        <f t="shared" si="144"/>
        <v>0.15037116793523084</v>
      </c>
      <c r="M2344" s="29">
        <f t="shared" si="145"/>
        <v>7.6999999999999152E-2</v>
      </c>
      <c r="N2344" s="30">
        <f t="shared" si="146"/>
        <v>0.2211363674290818</v>
      </c>
      <c r="O2344" s="31">
        <f t="shared" si="147"/>
        <v>1.0548223170680608</v>
      </c>
    </row>
    <row r="2345" spans="1:15" x14ac:dyDescent="0.25">
      <c r="A2345" t="s">
        <v>8082</v>
      </c>
      <c r="B2345" t="s">
        <v>4691</v>
      </c>
      <c r="C2345" s="3" t="s">
        <v>4692</v>
      </c>
      <c r="D2345" s="24">
        <v>0.60138000000000003</v>
      </c>
      <c r="E2345" s="25">
        <v>11.01</v>
      </c>
      <c r="F2345" s="25">
        <v>10.97</v>
      </c>
      <c r="G2345" s="26">
        <v>4.3490000000000001E-2</v>
      </c>
      <c r="H2345" s="27">
        <v>7.8890000000000002E-2</v>
      </c>
      <c r="I2345" s="26">
        <v>0.55120000000000002</v>
      </c>
      <c r="J2345" s="28">
        <v>6</v>
      </c>
      <c r="K2345" s="27">
        <v>0.70750500000000005</v>
      </c>
      <c r="L2345" s="29">
        <f t="shared" si="144"/>
        <v>0.15027048659556397</v>
      </c>
      <c r="M2345" s="29">
        <f t="shared" si="145"/>
        <v>3.99999999999988E-2</v>
      </c>
      <c r="N2345" s="30">
        <f t="shared" si="146"/>
        <v>0.2208510192585626</v>
      </c>
      <c r="O2345" s="31">
        <f t="shared" si="147"/>
        <v>1.0281138266560657</v>
      </c>
    </row>
    <row r="2346" spans="1:15" x14ac:dyDescent="0.25">
      <c r="A2346" t="s">
        <v>8083</v>
      </c>
      <c r="B2346" t="s">
        <v>4693</v>
      </c>
      <c r="C2346" s="3" t="s">
        <v>4694</v>
      </c>
      <c r="D2346" s="24">
        <v>0.60221400000000003</v>
      </c>
      <c r="E2346" s="25">
        <v>11.16</v>
      </c>
      <c r="F2346" s="25">
        <v>11.37</v>
      </c>
      <c r="G2346" s="26">
        <v>-0.2114</v>
      </c>
      <c r="H2346" s="27">
        <v>0.38440000000000002</v>
      </c>
      <c r="I2346" s="26">
        <v>0.54990000000000006</v>
      </c>
      <c r="J2346" s="28">
        <v>6</v>
      </c>
      <c r="K2346" s="27">
        <v>0.70818499999999995</v>
      </c>
      <c r="L2346" s="29">
        <f t="shared" si="144"/>
        <v>0.14985327623113948</v>
      </c>
      <c r="M2346" s="29">
        <f t="shared" si="145"/>
        <v>-0.20999999999999927</v>
      </c>
      <c r="N2346" s="30">
        <f t="shared" si="146"/>
        <v>0.2202491524232725</v>
      </c>
      <c r="O2346" s="31">
        <f t="shared" si="147"/>
        <v>0.86453723130786564</v>
      </c>
    </row>
    <row r="2347" spans="1:15" x14ac:dyDescent="0.25">
      <c r="A2347" t="s">
        <v>8084</v>
      </c>
      <c r="B2347" t="s">
        <v>4695</v>
      </c>
      <c r="C2347" s="3" t="s">
        <v>4696</v>
      </c>
      <c r="D2347" s="24">
        <v>0.602688</v>
      </c>
      <c r="E2347" s="25">
        <v>8.6069999999999993</v>
      </c>
      <c r="F2347" s="25">
        <v>8.6780000000000008</v>
      </c>
      <c r="G2347" s="26">
        <v>-7.1209999999999996E-2</v>
      </c>
      <c r="H2347" s="27">
        <v>0.12970000000000001</v>
      </c>
      <c r="I2347" s="26">
        <v>0.54920000000000002</v>
      </c>
      <c r="J2347" s="28">
        <v>6</v>
      </c>
      <c r="K2347" s="27">
        <v>0.70843999999999996</v>
      </c>
      <c r="L2347" s="29">
        <f t="shared" si="144"/>
        <v>0.14969692561741818</v>
      </c>
      <c r="M2347" s="29">
        <f t="shared" si="145"/>
        <v>-7.1000000000001798E-2</v>
      </c>
      <c r="N2347" s="30">
        <f t="shared" si="146"/>
        <v>0.21990745559640795</v>
      </c>
      <c r="O2347" s="31">
        <f t="shared" si="147"/>
        <v>0.95197790849753028</v>
      </c>
    </row>
    <row r="2348" spans="1:15" x14ac:dyDescent="0.25">
      <c r="A2348" t="s">
        <v>8085</v>
      </c>
      <c r="B2348" t="s">
        <v>4697</v>
      </c>
      <c r="C2348" s="3" t="s">
        <v>4698</v>
      </c>
      <c r="D2348" s="24">
        <v>0.60340899999999997</v>
      </c>
      <c r="E2348" s="25">
        <v>9.8109999999999999</v>
      </c>
      <c r="F2348" s="25">
        <v>9.7370000000000001</v>
      </c>
      <c r="G2348" s="26">
        <v>7.3469999999999994E-2</v>
      </c>
      <c r="H2348" s="27">
        <v>0.1341</v>
      </c>
      <c r="I2348" s="26">
        <v>0.54810000000000003</v>
      </c>
      <c r="J2348" s="28">
        <v>6</v>
      </c>
      <c r="K2348" s="27">
        <v>0.70898700000000003</v>
      </c>
      <c r="L2348" s="29">
        <f t="shared" si="144"/>
        <v>0.14936172797634872</v>
      </c>
      <c r="M2348" s="29">
        <f t="shared" si="145"/>
        <v>7.3999999999999261E-2</v>
      </c>
      <c r="N2348" s="30">
        <f t="shared" si="146"/>
        <v>0.2193882164991349</v>
      </c>
      <c r="O2348" s="31">
        <f t="shared" si="147"/>
        <v>1.052631154709438</v>
      </c>
    </row>
    <row r="2349" spans="1:15" x14ac:dyDescent="0.25">
      <c r="A2349" t="s">
        <v>8086</v>
      </c>
      <c r="B2349" t="s">
        <v>4699</v>
      </c>
      <c r="C2349" s="3" t="s">
        <v>4700</v>
      </c>
      <c r="D2349" s="24">
        <v>0.60511899999999996</v>
      </c>
      <c r="E2349" s="25">
        <v>8.0709999999999997</v>
      </c>
      <c r="F2349" s="25">
        <v>8.141</v>
      </c>
      <c r="G2349" s="26">
        <v>-6.9589999999999999E-2</v>
      </c>
      <c r="H2349" s="27">
        <v>0.12759999999999999</v>
      </c>
      <c r="I2349" s="26">
        <v>0.5454</v>
      </c>
      <c r="J2349" s="28">
        <v>6</v>
      </c>
      <c r="K2349" s="27">
        <v>0.71069300000000002</v>
      </c>
      <c r="L2349" s="29">
        <f t="shared" si="144"/>
        <v>0.14831796213790857</v>
      </c>
      <c r="M2349" s="29">
        <f t="shared" si="145"/>
        <v>-6.999999999999991E-2</v>
      </c>
      <c r="N2349" s="30">
        <f t="shared" si="146"/>
        <v>0.21815921053541251</v>
      </c>
      <c r="O2349" s="31">
        <f t="shared" si="147"/>
        <v>0.95263799804393745</v>
      </c>
    </row>
    <row r="2350" spans="1:15" x14ac:dyDescent="0.25">
      <c r="A2350" t="s">
        <v>8087</v>
      </c>
      <c r="B2350" t="s">
        <v>4701</v>
      </c>
      <c r="C2350" s="3" t="s">
        <v>4702</v>
      </c>
      <c r="D2350" s="24">
        <v>0.60643499999999995</v>
      </c>
      <c r="E2350" s="25">
        <v>10.130000000000001</v>
      </c>
      <c r="F2350" s="25">
        <v>10.24</v>
      </c>
      <c r="G2350" s="26">
        <v>-0.1089</v>
      </c>
      <c r="H2350" s="27">
        <v>0.20030000000000001</v>
      </c>
      <c r="I2350" s="26">
        <v>0.54339999999999999</v>
      </c>
      <c r="J2350" s="28">
        <v>6</v>
      </c>
      <c r="K2350" s="27">
        <v>0.71171200000000001</v>
      </c>
      <c r="L2350" s="29">
        <f t="shared" si="144"/>
        <v>0.14769571157949946</v>
      </c>
      <c r="M2350" s="29">
        <f t="shared" si="145"/>
        <v>-0.11000000000000031</v>
      </c>
      <c r="N2350" s="30">
        <f t="shared" si="146"/>
        <v>0.21721574163025706</v>
      </c>
      <c r="O2350" s="31">
        <f t="shared" si="147"/>
        <v>0.92658806189037068</v>
      </c>
    </row>
    <row r="2351" spans="1:15" x14ac:dyDescent="0.25">
      <c r="A2351" t="s">
        <v>8088</v>
      </c>
      <c r="B2351" t="s">
        <v>4703</v>
      </c>
      <c r="C2351" s="3" t="s">
        <v>4704</v>
      </c>
      <c r="D2351" s="24">
        <v>0.60650199999999999</v>
      </c>
      <c r="E2351" s="25">
        <v>12.16</v>
      </c>
      <c r="F2351" s="25">
        <v>12.33</v>
      </c>
      <c r="G2351" s="26">
        <v>-0.1673</v>
      </c>
      <c r="H2351" s="27">
        <v>0.30790000000000001</v>
      </c>
      <c r="I2351" s="26">
        <v>0.54330000000000001</v>
      </c>
      <c r="J2351" s="28">
        <v>6</v>
      </c>
      <c r="K2351" s="27">
        <v>0.71171200000000001</v>
      </c>
      <c r="L2351" s="29">
        <f t="shared" si="144"/>
        <v>0.14769571157949946</v>
      </c>
      <c r="M2351" s="29">
        <f t="shared" si="145"/>
        <v>-0.17000000000000004</v>
      </c>
      <c r="N2351" s="30">
        <f t="shared" si="146"/>
        <v>0.21716776266627599</v>
      </c>
      <c r="O2351" s="31">
        <f t="shared" si="147"/>
        <v>0.88884268116657017</v>
      </c>
    </row>
    <row r="2352" spans="1:15" x14ac:dyDescent="0.25">
      <c r="A2352" t="s">
        <v>8089</v>
      </c>
      <c r="B2352" t="s">
        <v>4705</v>
      </c>
      <c r="C2352" s="3" t="s">
        <v>4706</v>
      </c>
      <c r="D2352" s="24">
        <v>0.60723800000000006</v>
      </c>
      <c r="E2352" s="25">
        <v>7.7279999999999998</v>
      </c>
      <c r="F2352" s="25">
        <v>7.5380000000000003</v>
      </c>
      <c r="G2352" s="26">
        <v>0.18990000000000001</v>
      </c>
      <c r="H2352" s="27">
        <v>0.35020000000000001</v>
      </c>
      <c r="I2352" s="26">
        <v>0.54220000000000002</v>
      </c>
      <c r="J2352" s="28">
        <v>6</v>
      </c>
      <c r="K2352" s="27">
        <v>0.71227399999999996</v>
      </c>
      <c r="L2352" s="29">
        <f t="shared" si="144"/>
        <v>0.1473529083335377</v>
      </c>
      <c r="M2352" s="29">
        <f t="shared" si="145"/>
        <v>0.18999999999999972</v>
      </c>
      <c r="N2352" s="30">
        <f t="shared" si="146"/>
        <v>0.21664105879582751</v>
      </c>
      <c r="O2352" s="31">
        <f t="shared" si="147"/>
        <v>1.1407637158684234</v>
      </c>
    </row>
    <row r="2353" spans="1:15" x14ac:dyDescent="0.25">
      <c r="A2353" t="s">
        <v>8090</v>
      </c>
      <c r="B2353" t="s">
        <v>4707</v>
      </c>
      <c r="C2353" s="3" t="s">
        <v>4708</v>
      </c>
      <c r="D2353" s="24">
        <v>0.60757399999999995</v>
      </c>
      <c r="E2353" s="25">
        <v>9.73</v>
      </c>
      <c r="F2353" s="25">
        <v>9.6880000000000006</v>
      </c>
      <c r="G2353" s="26">
        <v>4.1880000000000001E-2</v>
      </c>
      <c r="H2353" s="27">
        <v>7.732E-2</v>
      </c>
      <c r="I2353" s="26">
        <v>0.54159999999999997</v>
      </c>
      <c r="J2353" s="28">
        <v>6</v>
      </c>
      <c r="K2353" s="27">
        <v>0.71236500000000003</v>
      </c>
      <c r="L2353" s="29">
        <f t="shared" si="144"/>
        <v>0.14729742649160163</v>
      </c>
      <c r="M2353" s="29">
        <f t="shared" si="145"/>
        <v>4.1999999999999732E-2</v>
      </c>
      <c r="N2353" s="30">
        <f t="shared" si="146"/>
        <v>0.21640081923671797</v>
      </c>
      <c r="O2353" s="31">
        <f t="shared" si="147"/>
        <v>1.0295400834339969</v>
      </c>
    </row>
    <row r="2354" spans="1:15" x14ac:dyDescent="0.25">
      <c r="A2354" t="s">
        <v>8091</v>
      </c>
      <c r="B2354" t="s">
        <v>4709</v>
      </c>
      <c r="C2354" s="3" t="s">
        <v>4710</v>
      </c>
      <c r="D2354" s="24">
        <v>0.60857600000000001</v>
      </c>
      <c r="E2354" s="25">
        <v>12.63</v>
      </c>
      <c r="F2354" s="25">
        <v>12.58</v>
      </c>
      <c r="G2354" s="26">
        <v>5.1130000000000002E-2</v>
      </c>
      <c r="H2354" s="27">
        <v>9.4670000000000004E-2</v>
      </c>
      <c r="I2354" s="26">
        <v>0.54010000000000002</v>
      </c>
      <c r="J2354" s="28">
        <v>6</v>
      </c>
      <c r="K2354" s="27">
        <v>0.71323700000000001</v>
      </c>
      <c r="L2354" s="29">
        <f t="shared" si="144"/>
        <v>0.14676613538026842</v>
      </c>
      <c r="M2354" s="29">
        <f t="shared" si="145"/>
        <v>5.0000000000000731E-2</v>
      </c>
      <c r="N2354" s="30">
        <f t="shared" si="146"/>
        <v>0.21568517861782327</v>
      </c>
      <c r="O2354" s="31">
        <f t="shared" si="147"/>
        <v>1.035264923841378</v>
      </c>
    </row>
    <row r="2355" spans="1:15" x14ac:dyDescent="0.25">
      <c r="A2355" t="s">
        <v>8092</v>
      </c>
      <c r="B2355" t="s">
        <v>4711</v>
      </c>
      <c r="C2355" s="3" t="s">
        <v>4712</v>
      </c>
      <c r="D2355" s="24">
        <v>0.60910500000000001</v>
      </c>
      <c r="E2355" s="25">
        <v>7.3360000000000003</v>
      </c>
      <c r="F2355" s="25">
        <v>7.1130000000000004</v>
      </c>
      <c r="G2355" s="26">
        <v>0.22209999999999999</v>
      </c>
      <c r="H2355" s="27">
        <v>0.4118</v>
      </c>
      <c r="I2355" s="26">
        <v>0.5393</v>
      </c>
      <c r="J2355" s="28">
        <v>6</v>
      </c>
      <c r="K2355" s="27">
        <v>0.71355400000000002</v>
      </c>
      <c r="L2355" s="29">
        <f t="shared" si="144"/>
        <v>0.14657315497454873</v>
      </c>
      <c r="M2355" s="29">
        <f t="shared" si="145"/>
        <v>0.22299999999999956</v>
      </c>
      <c r="N2355" s="30">
        <f t="shared" si="146"/>
        <v>0.21530783546246487</v>
      </c>
      <c r="O2355" s="31">
        <f t="shared" si="147"/>
        <v>1.1671581018184671</v>
      </c>
    </row>
    <row r="2356" spans="1:15" x14ac:dyDescent="0.25">
      <c r="A2356" t="s">
        <v>8093</v>
      </c>
      <c r="B2356" t="s">
        <v>4713</v>
      </c>
      <c r="C2356" s="3" t="s">
        <v>4714</v>
      </c>
      <c r="D2356" s="24">
        <v>0.61038499999999996</v>
      </c>
      <c r="E2356" s="25">
        <v>8.2910000000000004</v>
      </c>
      <c r="F2356" s="25">
        <v>8.3420000000000005</v>
      </c>
      <c r="G2356" s="26">
        <v>-5.1720000000000002E-2</v>
      </c>
      <c r="H2356" s="27">
        <v>9.6259999999999998E-2</v>
      </c>
      <c r="I2356" s="26">
        <v>0.5373</v>
      </c>
      <c r="J2356" s="28">
        <v>6</v>
      </c>
      <c r="K2356" s="27">
        <v>0.71475</v>
      </c>
      <c r="L2356" s="29">
        <f t="shared" si="144"/>
        <v>0.14584583596997353</v>
      </c>
      <c r="M2356" s="29">
        <f t="shared" si="145"/>
        <v>-5.1000000000001322E-2</v>
      </c>
      <c r="N2356" s="30">
        <f t="shared" si="146"/>
        <v>0.21439614755853748</v>
      </c>
      <c r="O2356" s="31">
        <f t="shared" si="147"/>
        <v>0.96526702487175609</v>
      </c>
    </row>
    <row r="2357" spans="1:15" x14ac:dyDescent="0.25">
      <c r="A2357" t="s">
        <v>8094</v>
      </c>
      <c r="B2357" t="s">
        <v>4715</v>
      </c>
      <c r="C2357" s="3" t="s">
        <v>4716</v>
      </c>
      <c r="D2357" s="24">
        <v>0.61289000000000005</v>
      </c>
      <c r="E2357" s="25">
        <v>9.5489999999999995</v>
      </c>
      <c r="F2357" s="25">
        <v>9.6319999999999997</v>
      </c>
      <c r="G2357" s="26">
        <v>-8.2710000000000006E-2</v>
      </c>
      <c r="H2357" s="27">
        <v>0.155</v>
      </c>
      <c r="I2357" s="26">
        <v>0.53349999999999997</v>
      </c>
      <c r="J2357" s="28">
        <v>6</v>
      </c>
      <c r="K2357" s="27">
        <v>0.71738000000000002</v>
      </c>
      <c r="L2357" s="29">
        <f t="shared" si="144"/>
        <v>0.14425073528580473</v>
      </c>
      <c r="M2357" s="29">
        <f t="shared" si="145"/>
        <v>-8.3000000000000587E-2</v>
      </c>
      <c r="N2357" s="30">
        <f t="shared" si="146"/>
        <v>0.21261746460032732</v>
      </c>
      <c r="O2357" s="31">
        <f t="shared" si="147"/>
        <v>0.94409241915024955</v>
      </c>
    </row>
    <row r="2358" spans="1:15" x14ac:dyDescent="0.25">
      <c r="A2358" t="s">
        <v>8095</v>
      </c>
      <c r="B2358" t="s">
        <v>4717</v>
      </c>
      <c r="C2358" s="3" t="s">
        <v>4718</v>
      </c>
      <c r="D2358" s="24">
        <v>0.61408300000000005</v>
      </c>
      <c r="E2358" s="25">
        <v>8.9139999999999997</v>
      </c>
      <c r="F2358" s="25">
        <v>8.86</v>
      </c>
      <c r="G2358" s="26">
        <v>5.4269999999999999E-2</v>
      </c>
      <c r="H2358" s="27">
        <v>0.1021</v>
      </c>
      <c r="I2358" s="26">
        <v>0.53159999999999996</v>
      </c>
      <c r="J2358" s="28">
        <v>6</v>
      </c>
      <c r="K2358" s="27">
        <v>0.718472</v>
      </c>
      <c r="L2358" s="29">
        <f t="shared" si="144"/>
        <v>0.1435901523487427</v>
      </c>
      <c r="M2358" s="29">
        <f t="shared" si="145"/>
        <v>5.3999999999999757E-2</v>
      </c>
      <c r="N2358" s="30">
        <f t="shared" si="146"/>
        <v>0.21177292526623656</v>
      </c>
      <c r="O2358" s="31">
        <f t="shared" si="147"/>
        <v>1.038139270543057</v>
      </c>
    </row>
    <row r="2359" spans="1:15" x14ac:dyDescent="0.25">
      <c r="A2359" t="s">
        <v>8096</v>
      </c>
      <c r="B2359" t="s">
        <v>4719</v>
      </c>
      <c r="C2359" s="3" t="s">
        <v>4720</v>
      </c>
      <c r="D2359" s="24">
        <v>0.61706000000000005</v>
      </c>
      <c r="E2359" s="25">
        <v>8.3160000000000007</v>
      </c>
      <c r="F2359" s="25">
        <v>8.16</v>
      </c>
      <c r="G2359" s="26">
        <v>0.15659999999999999</v>
      </c>
      <c r="H2359" s="27">
        <v>0.29720000000000002</v>
      </c>
      <c r="I2359" s="26">
        <v>0.52710000000000001</v>
      </c>
      <c r="J2359" s="28">
        <v>6</v>
      </c>
      <c r="K2359" s="27">
        <v>0.72165000000000001</v>
      </c>
      <c r="L2359" s="29">
        <f t="shared" si="144"/>
        <v>0.14167338404175456</v>
      </c>
      <c r="M2359" s="29">
        <f t="shared" si="145"/>
        <v>0.15600000000000067</v>
      </c>
      <c r="N2359" s="30">
        <f t="shared" si="146"/>
        <v>0.20967260516933395</v>
      </c>
      <c r="O2359" s="31">
        <f t="shared" si="147"/>
        <v>1.1141936508193329</v>
      </c>
    </row>
    <row r="2360" spans="1:15" x14ac:dyDescent="0.25">
      <c r="A2360" t="s">
        <v>8097</v>
      </c>
      <c r="B2360" t="s">
        <v>4721</v>
      </c>
      <c r="C2360" s="3" t="s">
        <v>4722</v>
      </c>
      <c r="D2360" s="24">
        <v>0.61790100000000003</v>
      </c>
      <c r="E2360" s="25">
        <v>10.57</v>
      </c>
      <c r="F2360" s="25">
        <v>10.45</v>
      </c>
      <c r="G2360" s="26">
        <v>0.1163</v>
      </c>
      <c r="H2360" s="27">
        <v>0.22120000000000001</v>
      </c>
      <c r="I2360" s="26">
        <v>0.52580000000000005</v>
      </c>
      <c r="J2360" s="28">
        <v>6</v>
      </c>
      <c r="K2360" s="27">
        <v>0.72199000000000002</v>
      </c>
      <c r="L2360" s="29">
        <f t="shared" si="144"/>
        <v>0.1414688176310466</v>
      </c>
      <c r="M2360" s="29">
        <f t="shared" si="145"/>
        <v>0.12000000000000074</v>
      </c>
      <c r="N2360" s="30">
        <f t="shared" si="146"/>
        <v>0.20908110193037965</v>
      </c>
      <c r="O2360" s="31">
        <f t="shared" si="147"/>
        <v>1.0867348625260587</v>
      </c>
    </row>
    <row r="2361" spans="1:15" x14ac:dyDescent="0.25">
      <c r="A2361" t="s">
        <v>8098</v>
      </c>
      <c r="B2361" t="s">
        <v>4727</v>
      </c>
      <c r="C2361" s="3" t="s">
        <v>4728</v>
      </c>
      <c r="D2361" s="24">
        <v>0.61839699999999997</v>
      </c>
      <c r="E2361" s="25">
        <v>9.5060000000000002</v>
      </c>
      <c r="F2361" s="25">
        <v>9.5389999999999997</v>
      </c>
      <c r="G2361" s="26">
        <v>-3.3320000000000002E-2</v>
      </c>
      <c r="H2361" s="27">
        <v>6.3460000000000003E-2</v>
      </c>
      <c r="I2361" s="26">
        <v>0.52500000000000002</v>
      </c>
      <c r="J2361" s="28">
        <v>6</v>
      </c>
      <c r="K2361" s="27">
        <v>0.72199000000000002</v>
      </c>
      <c r="L2361" s="29">
        <f t="shared" si="144"/>
        <v>0.1414688176310466</v>
      </c>
      <c r="M2361" s="29">
        <f t="shared" si="145"/>
        <v>-3.3000000000000036E-2</v>
      </c>
      <c r="N2361" s="30">
        <f t="shared" si="146"/>
        <v>0.20873262595681757</v>
      </c>
      <c r="O2361" s="31">
        <f t="shared" si="147"/>
        <v>0.97738576641080532</v>
      </c>
    </row>
    <row r="2362" spans="1:15" x14ac:dyDescent="0.25">
      <c r="A2362" t="s">
        <v>8099</v>
      </c>
      <c r="B2362" t="s">
        <v>4725</v>
      </c>
      <c r="C2362" s="3" t="s">
        <v>4726</v>
      </c>
      <c r="D2362" s="24">
        <v>0.618371</v>
      </c>
      <c r="E2362" s="25">
        <v>10.38</v>
      </c>
      <c r="F2362" s="25">
        <v>10.44</v>
      </c>
      <c r="G2362" s="26">
        <v>-5.885E-2</v>
      </c>
      <c r="H2362" s="27">
        <v>0.11210000000000001</v>
      </c>
      <c r="I2362" s="26">
        <v>0.52510000000000001</v>
      </c>
      <c r="J2362" s="28">
        <v>6</v>
      </c>
      <c r="K2362" s="27">
        <v>0.72199000000000002</v>
      </c>
      <c r="L2362" s="29">
        <f t="shared" si="144"/>
        <v>0.1414688176310466</v>
      </c>
      <c r="M2362" s="29">
        <f t="shared" si="145"/>
        <v>-5.9999999999998402E-2</v>
      </c>
      <c r="N2362" s="30">
        <f t="shared" si="146"/>
        <v>0.20875088589971894</v>
      </c>
      <c r="O2362" s="31">
        <f t="shared" si="147"/>
        <v>0.95926411932526545</v>
      </c>
    </row>
    <row r="2363" spans="1:15" x14ac:dyDescent="0.25">
      <c r="A2363" t="s">
        <v>8100</v>
      </c>
      <c r="B2363" t="s">
        <v>4723</v>
      </c>
      <c r="C2363" s="3" t="s">
        <v>4724</v>
      </c>
      <c r="D2363" s="24">
        <v>0.61836999999999998</v>
      </c>
      <c r="E2363" s="25">
        <v>8.5169999999999995</v>
      </c>
      <c r="F2363" s="25">
        <v>8.3360000000000003</v>
      </c>
      <c r="G2363" s="26">
        <v>0.18079999999999999</v>
      </c>
      <c r="H2363" s="27">
        <v>0.34439999999999998</v>
      </c>
      <c r="I2363" s="26">
        <v>0.52510000000000001</v>
      </c>
      <c r="J2363" s="28">
        <v>6</v>
      </c>
      <c r="K2363" s="27">
        <v>0.72199000000000002</v>
      </c>
      <c r="L2363" s="29">
        <f t="shared" si="144"/>
        <v>0.1414688176310466</v>
      </c>
      <c r="M2363" s="29">
        <f t="shared" si="145"/>
        <v>0.18099999999999944</v>
      </c>
      <c r="N2363" s="30">
        <f t="shared" si="146"/>
        <v>0.20875158822054751</v>
      </c>
      <c r="O2363" s="31">
        <f t="shared" si="147"/>
        <v>1.1336694127784219</v>
      </c>
    </row>
    <row r="2364" spans="1:15" x14ac:dyDescent="0.25">
      <c r="A2364" t="s">
        <v>8101</v>
      </c>
      <c r="B2364" t="s">
        <v>4729</v>
      </c>
      <c r="C2364" s="3" t="s">
        <v>4730</v>
      </c>
      <c r="D2364" s="24">
        <v>0.61924199999999996</v>
      </c>
      <c r="E2364" s="25">
        <v>9.6780000000000008</v>
      </c>
      <c r="F2364" s="25">
        <v>9.6189999999999998</v>
      </c>
      <c r="G2364" s="26">
        <v>5.9060000000000001E-2</v>
      </c>
      <c r="H2364" s="27">
        <v>0.1128</v>
      </c>
      <c r="I2364" s="26">
        <v>0.52370000000000005</v>
      </c>
      <c r="J2364" s="28">
        <v>6</v>
      </c>
      <c r="K2364" s="27">
        <v>0.72267099999999995</v>
      </c>
      <c r="L2364" s="29">
        <f t="shared" si="144"/>
        <v>0.14105937269679203</v>
      </c>
      <c r="M2364" s="29">
        <f t="shared" si="145"/>
        <v>5.9000000000002044E-2</v>
      </c>
      <c r="N2364" s="30">
        <f t="shared" si="146"/>
        <v>0.20813959536513352</v>
      </c>
      <c r="O2364" s="31">
        <f t="shared" si="147"/>
        <v>1.0417434290082228</v>
      </c>
    </row>
    <row r="2365" spans="1:15" x14ac:dyDescent="0.25">
      <c r="A2365" t="s">
        <v>8102</v>
      </c>
      <c r="B2365" t="s">
        <v>4731</v>
      </c>
      <c r="C2365" s="3" t="s">
        <v>4732</v>
      </c>
      <c r="D2365" s="24">
        <v>0.61994099999999996</v>
      </c>
      <c r="E2365" s="25">
        <v>9.8800000000000008</v>
      </c>
      <c r="F2365" s="25">
        <v>9.7639999999999993</v>
      </c>
      <c r="G2365" s="26">
        <v>0.11600000000000001</v>
      </c>
      <c r="H2365" s="27">
        <v>0.222</v>
      </c>
      <c r="I2365" s="26">
        <v>0.52270000000000005</v>
      </c>
      <c r="J2365" s="28">
        <v>6</v>
      </c>
      <c r="K2365" s="27">
        <v>0.72318099999999996</v>
      </c>
      <c r="L2365" s="29">
        <f t="shared" si="144"/>
        <v>0.14075299252101103</v>
      </c>
      <c r="M2365" s="29">
        <f t="shared" si="145"/>
        <v>0.1160000000000017</v>
      </c>
      <c r="N2365" s="30">
        <f t="shared" si="146"/>
        <v>0.20764964049156279</v>
      </c>
      <c r="O2365" s="31">
        <f t="shared" si="147"/>
        <v>1.0837259668447814</v>
      </c>
    </row>
    <row r="2366" spans="1:15" x14ac:dyDescent="0.25">
      <c r="A2366" t="s">
        <v>8103</v>
      </c>
      <c r="B2366" t="s">
        <v>4737</v>
      </c>
      <c r="C2366" s="3" t="s">
        <v>4738</v>
      </c>
      <c r="D2366" s="24">
        <v>0.62094800000000006</v>
      </c>
      <c r="E2366" s="25">
        <v>9.6880000000000006</v>
      </c>
      <c r="F2366" s="25">
        <v>9.7789999999999999</v>
      </c>
      <c r="G2366" s="26">
        <v>-9.0609999999999996E-2</v>
      </c>
      <c r="H2366" s="27">
        <v>0.1739</v>
      </c>
      <c r="I2366" s="26">
        <v>0.52110000000000001</v>
      </c>
      <c r="J2366" s="28">
        <v>6</v>
      </c>
      <c r="K2366" s="27">
        <v>0.72343999999999997</v>
      </c>
      <c r="L2366" s="29">
        <f t="shared" si="144"/>
        <v>0.14059748216686188</v>
      </c>
      <c r="M2366" s="29">
        <f t="shared" si="145"/>
        <v>-9.099999999999997E-2</v>
      </c>
      <c r="N2366" s="30">
        <f t="shared" si="146"/>
        <v>0.20694476738964984</v>
      </c>
      <c r="O2366" s="31">
        <f t="shared" si="147"/>
        <v>0.93887174731545209</v>
      </c>
    </row>
    <row r="2367" spans="1:15" x14ac:dyDescent="0.25">
      <c r="A2367" t="s">
        <v>8104</v>
      </c>
      <c r="B2367" t="s">
        <v>4733</v>
      </c>
      <c r="C2367" s="3" t="s">
        <v>4734</v>
      </c>
      <c r="D2367" s="24">
        <v>0.62063999999999997</v>
      </c>
      <c r="E2367" s="25">
        <v>12.48</v>
      </c>
      <c r="F2367" s="25">
        <v>12.76</v>
      </c>
      <c r="G2367" s="26">
        <v>-0.27550000000000002</v>
      </c>
      <c r="H2367" s="27">
        <v>0.5282</v>
      </c>
      <c r="I2367" s="26">
        <v>0.52159999999999995</v>
      </c>
      <c r="J2367" s="28">
        <v>6</v>
      </c>
      <c r="K2367" s="27">
        <v>0.72343999999999997</v>
      </c>
      <c r="L2367" s="29">
        <f t="shared" si="144"/>
        <v>0.14059748216686188</v>
      </c>
      <c r="M2367" s="29">
        <f t="shared" si="145"/>
        <v>-0.28000000000000064</v>
      </c>
      <c r="N2367" s="30">
        <f t="shared" si="146"/>
        <v>0.20716023774401873</v>
      </c>
      <c r="O2367" s="31">
        <f t="shared" si="147"/>
        <v>0.82359101726757278</v>
      </c>
    </row>
    <row r="2368" spans="1:15" x14ac:dyDescent="0.25">
      <c r="A2368" t="s">
        <v>8105</v>
      </c>
      <c r="B2368" t="s">
        <v>4735</v>
      </c>
      <c r="C2368" s="3" t="s">
        <v>4736</v>
      </c>
      <c r="D2368" s="24">
        <v>0.62094300000000002</v>
      </c>
      <c r="E2368" s="25">
        <v>10.44</v>
      </c>
      <c r="F2368" s="25">
        <v>10.39</v>
      </c>
      <c r="G2368" s="26">
        <v>5.2240000000000002E-2</v>
      </c>
      <c r="H2368" s="27">
        <v>0.1002</v>
      </c>
      <c r="I2368" s="26">
        <v>0.52110000000000001</v>
      </c>
      <c r="J2368" s="28">
        <v>6</v>
      </c>
      <c r="K2368" s="27">
        <v>0.72343999999999997</v>
      </c>
      <c r="L2368" s="29">
        <f t="shared" si="144"/>
        <v>0.14059748216686188</v>
      </c>
      <c r="M2368" s="29">
        <f t="shared" si="145"/>
        <v>4.9999999999999489E-2</v>
      </c>
      <c r="N2368" s="30">
        <f t="shared" si="146"/>
        <v>0.20694826443151509</v>
      </c>
      <c r="O2368" s="31">
        <f t="shared" si="147"/>
        <v>1.0352649238413771</v>
      </c>
    </row>
    <row r="2369" spans="1:15" x14ac:dyDescent="0.25">
      <c r="A2369" t="s">
        <v>8106</v>
      </c>
      <c r="B2369" t="s">
        <v>4739</v>
      </c>
      <c r="C2369" s="3" t="s">
        <v>4740</v>
      </c>
      <c r="D2369" s="24">
        <v>0.62333000000000005</v>
      </c>
      <c r="E2369" s="25">
        <v>7.5650000000000004</v>
      </c>
      <c r="F2369" s="25">
        <v>7.63</v>
      </c>
      <c r="G2369" s="26">
        <v>-6.5689999999999998E-2</v>
      </c>
      <c r="H2369" s="27">
        <v>0.12690000000000001</v>
      </c>
      <c r="I2369" s="26">
        <v>0.51749999999999996</v>
      </c>
      <c r="J2369" s="28">
        <v>6</v>
      </c>
      <c r="K2369" s="27">
        <v>0.72590900000000003</v>
      </c>
      <c r="L2369" s="29">
        <f t="shared" si="144"/>
        <v>0.13911781907251589</v>
      </c>
      <c r="M2369" s="29">
        <f t="shared" si="145"/>
        <v>-6.4999999999999197E-2</v>
      </c>
      <c r="N2369" s="30">
        <f t="shared" si="146"/>
        <v>0.20528197061975764</v>
      </c>
      <c r="O2369" s="31">
        <f t="shared" si="147"/>
        <v>0.95594531759374268</v>
      </c>
    </row>
    <row r="2370" spans="1:15" x14ac:dyDescent="0.25">
      <c r="A2370" t="s">
        <v>8107</v>
      </c>
      <c r="B2370" t="s">
        <v>4743</v>
      </c>
      <c r="C2370" s="3" t="s">
        <v>4744</v>
      </c>
      <c r="D2370" s="24">
        <v>0.62386299999999995</v>
      </c>
      <c r="E2370" s="25">
        <v>7.2759999999999998</v>
      </c>
      <c r="F2370" s="25">
        <v>7.4039999999999999</v>
      </c>
      <c r="G2370" s="26">
        <v>-0.12870000000000001</v>
      </c>
      <c r="H2370" s="27">
        <v>0.24909999999999999</v>
      </c>
      <c r="I2370" s="26">
        <v>0.51670000000000005</v>
      </c>
      <c r="J2370" s="28">
        <v>6</v>
      </c>
      <c r="K2370" s="27">
        <v>0.72591700000000003</v>
      </c>
      <c r="L2370" s="29">
        <f t="shared" ref="L2370:L2433" si="148">-LOG(K2370,10)</f>
        <v>0.13911303288483876</v>
      </c>
      <c r="M2370" s="29">
        <f t="shared" ref="M2370:M2433" si="149">LOG(O2370,2)</f>
        <v>-0.12800000000000042</v>
      </c>
      <c r="N2370" s="30">
        <f t="shared" ref="N2370:N2433" si="150">-LOG(D2370,10)</f>
        <v>0.20491077069649552</v>
      </c>
      <c r="O2370" s="31">
        <f t="shared" ref="O2370:O2433" si="151">((2^E2370)/(2^F2370))</f>
        <v>0.91509916812792813</v>
      </c>
    </row>
    <row r="2371" spans="1:15" x14ac:dyDescent="0.25">
      <c r="A2371" t="s">
        <v>8108</v>
      </c>
      <c r="B2371" t="s">
        <v>4741</v>
      </c>
      <c r="C2371" s="3" t="s">
        <v>4742</v>
      </c>
      <c r="D2371" s="24">
        <v>0.62374399999999997</v>
      </c>
      <c r="E2371" s="25">
        <v>9.3829999999999991</v>
      </c>
      <c r="F2371" s="25">
        <v>9.3360000000000003</v>
      </c>
      <c r="G2371" s="26">
        <v>4.7199999999999999E-2</v>
      </c>
      <c r="H2371" s="27">
        <v>9.1329999999999995E-2</v>
      </c>
      <c r="I2371" s="26">
        <v>0.51690000000000003</v>
      </c>
      <c r="J2371" s="28">
        <v>6</v>
      </c>
      <c r="K2371" s="27">
        <v>0.72591700000000003</v>
      </c>
      <c r="L2371" s="29">
        <f t="shared" si="148"/>
        <v>0.13911303288483876</v>
      </c>
      <c r="M2371" s="29">
        <f t="shared" si="149"/>
        <v>4.6999999999999618E-2</v>
      </c>
      <c r="N2371" s="30">
        <f t="shared" si="150"/>
        <v>0.20499361897083704</v>
      </c>
      <c r="O2371" s="31">
        <f t="shared" si="151"/>
        <v>1.0331143876841322</v>
      </c>
    </row>
    <row r="2372" spans="1:15" x14ac:dyDescent="0.25">
      <c r="A2372" t="s">
        <v>8109</v>
      </c>
      <c r="B2372" t="s">
        <v>4745</v>
      </c>
      <c r="C2372" s="3" t="s">
        <v>4746</v>
      </c>
      <c r="D2372" s="24">
        <v>0.624278</v>
      </c>
      <c r="E2372" s="25">
        <v>8.0500000000000007</v>
      </c>
      <c r="F2372" s="25">
        <v>7.9329999999999998</v>
      </c>
      <c r="G2372" s="26">
        <v>0.1173</v>
      </c>
      <c r="H2372" s="27">
        <v>0.2273</v>
      </c>
      <c r="I2372" s="26">
        <v>0.5161</v>
      </c>
      <c r="J2372" s="28">
        <v>6</v>
      </c>
      <c r="K2372" s="27">
        <v>0.72609400000000002</v>
      </c>
      <c r="L2372" s="29">
        <f t="shared" si="148"/>
        <v>0.13900715197391234</v>
      </c>
      <c r="M2372" s="29">
        <f t="shared" si="149"/>
        <v>0.11700000000000083</v>
      </c>
      <c r="N2372" s="30">
        <f t="shared" si="150"/>
        <v>0.20462196964496113</v>
      </c>
      <c r="O2372" s="31">
        <f t="shared" si="151"/>
        <v>1.084477408843064</v>
      </c>
    </row>
    <row r="2373" spans="1:15" x14ac:dyDescent="0.25">
      <c r="A2373" t="s">
        <v>8110</v>
      </c>
      <c r="B2373" t="s">
        <v>4747</v>
      </c>
      <c r="C2373" s="3" t="s">
        <v>4748</v>
      </c>
      <c r="D2373" s="24">
        <v>0.62474499999999999</v>
      </c>
      <c r="E2373" s="25">
        <v>9.3170000000000002</v>
      </c>
      <c r="F2373" s="25">
        <v>9.2520000000000007</v>
      </c>
      <c r="G2373" s="26">
        <v>6.5610000000000002E-2</v>
      </c>
      <c r="H2373" s="27">
        <v>0.1273</v>
      </c>
      <c r="I2373" s="26">
        <v>0.51529999999999998</v>
      </c>
      <c r="J2373" s="28">
        <v>6</v>
      </c>
      <c r="K2373" s="27">
        <v>0.72633199999999998</v>
      </c>
      <c r="L2373" s="29">
        <f t="shared" si="148"/>
        <v>0.13886482171045228</v>
      </c>
      <c r="M2373" s="29">
        <f t="shared" si="149"/>
        <v>6.4999999999999253E-2</v>
      </c>
      <c r="N2373" s="30">
        <f t="shared" si="150"/>
        <v>0.20429721096157466</v>
      </c>
      <c r="O2373" s="31">
        <f t="shared" si="151"/>
        <v>1.0460849397925287</v>
      </c>
    </row>
    <row r="2374" spans="1:15" x14ac:dyDescent="0.25">
      <c r="A2374" t="s">
        <v>8111</v>
      </c>
      <c r="B2374" t="s">
        <v>4751</v>
      </c>
      <c r="C2374" s="3" t="s">
        <v>4752</v>
      </c>
      <c r="D2374" s="24">
        <v>0.626583</v>
      </c>
      <c r="E2374" s="25">
        <v>11.46</v>
      </c>
      <c r="F2374" s="25">
        <v>11.53</v>
      </c>
      <c r="G2374" s="26">
        <v>-6.9639999999999994E-2</v>
      </c>
      <c r="H2374" s="27">
        <v>0.13589999999999999</v>
      </c>
      <c r="I2374" s="26">
        <v>0.51249999999999996</v>
      </c>
      <c r="J2374" s="28">
        <v>6</v>
      </c>
      <c r="K2374" s="27">
        <v>0.72785599999999995</v>
      </c>
      <c r="L2374" s="29">
        <f t="shared" si="148"/>
        <v>0.13795453358713705</v>
      </c>
      <c r="M2374" s="29">
        <f t="shared" si="149"/>
        <v>-6.9999999999998896E-2</v>
      </c>
      <c r="N2374" s="30">
        <f t="shared" si="150"/>
        <v>0.20302139226048449</v>
      </c>
      <c r="O2374" s="31">
        <f t="shared" si="151"/>
        <v>0.95263799804393812</v>
      </c>
    </row>
    <row r="2375" spans="1:15" x14ac:dyDescent="0.25">
      <c r="A2375" t="s">
        <v>8112</v>
      </c>
      <c r="B2375" t="s">
        <v>4749</v>
      </c>
      <c r="C2375" s="3" t="s">
        <v>4750</v>
      </c>
      <c r="D2375" s="24">
        <v>0.62651100000000004</v>
      </c>
      <c r="E2375" s="25">
        <v>9.407</v>
      </c>
      <c r="F2375" s="25">
        <v>9.4870000000000001</v>
      </c>
      <c r="G2375" s="26">
        <v>-7.9869999999999997E-2</v>
      </c>
      <c r="H2375" s="27">
        <v>0.15579999999999999</v>
      </c>
      <c r="I2375" s="26">
        <v>0.51270000000000004</v>
      </c>
      <c r="J2375" s="28">
        <v>6</v>
      </c>
      <c r="K2375" s="27">
        <v>0.72785599999999995</v>
      </c>
      <c r="L2375" s="29">
        <f t="shared" si="148"/>
        <v>0.13795453358713705</v>
      </c>
      <c r="M2375" s="29">
        <f t="shared" si="149"/>
        <v>-7.9999999999999183E-2</v>
      </c>
      <c r="N2375" s="30">
        <f t="shared" si="150"/>
        <v>0.20307129945456798</v>
      </c>
      <c r="O2375" s="31">
        <f t="shared" si="151"/>
        <v>0.94605764672559645</v>
      </c>
    </row>
    <row r="2376" spans="1:15" x14ac:dyDescent="0.25">
      <c r="A2376" t="s">
        <v>8113</v>
      </c>
      <c r="B2376" t="s">
        <v>4753</v>
      </c>
      <c r="C2376" s="3" t="s">
        <v>4754</v>
      </c>
      <c r="D2376" s="24">
        <v>0.63017000000000001</v>
      </c>
      <c r="E2376" s="25">
        <v>10.210000000000001</v>
      </c>
      <c r="F2376" s="25">
        <v>10.16</v>
      </c>
      <c r="G2376" s="26">
        <v>4.4609999999999997E-2</v>
      </c>
      <c r="H2376" s="27">
        <v>8.7959999999999997E-2</v>
      </c>
      <c r="I2376" s="26">
        <v>0.5071</v>
      </c>
      <c r="J2376" s="28">
        <v>6</v>
      </c>
      <c r="K2376" s="27">
        <v>0.731715</v>
      </c>
      <c r="L2376" s="29">
        <f t="shared" si="148"/>
        <v>0.13565804193195338</v>
      </c>
      <c r="M2376" s="29">
        <f t="shared" si="149"/>
        <v>5.0000000000000731E-2</v>
      </c>
      <c r="N2376" s="30">
        <f t="shared" si="150"/>
        <v>0.20054227578051934</v>
      </c>
      <c r="O2376" s="31">
        <f t="shared" si="151"/>
        <v>1.035264923841378</v>
      </c>
    </row>
    <row r="2377" spans="1:15" x14ac:dyDescent="0.25">
      <c r="A2377" t="s">
        <v>8114</v>
      </c>
      <c r="B2377" t="s">
        <v>4755</v>
      </c>
      <c r="C2377" s="3" t="s">
        <v>4756</v>
      </c>
      <c r="D2377" s="24">
        <v>0.63110699999999997</v>
      </c>
      <c r="E2377" s="25">
        <v>8.31</v>
      </c>
      <c r="F2377" s="25">
        <v>8.1869999999999994</v>
      </c>
      <c r="G2377" s="26">
        <v>0.1232</v>
      </c>
      <c r="H2377" s="27">
        <v>0.2437</v>
      </c>
      <c r="I2377" s="26">
        <v>0.50570000000000004</v>
      </c>
      <c r="J2377" s="28">
        <v>6</v>
      </c>
      <c r="K2377" s="27">
        <v>0.73249500000000001</v>
      </c>
      <c r="L2377" s="29">
        <f t="shared" si="148"/>
        <v>0.13519533545142387</v>
      </c>
      <c r="M2377" s="29">
        <f t="shared" si="149"/>
        <v>0.12300000000000058</v>
      </c>
      <c r="N2377" s="30">
        <f t="shared" si="150"/>
        <v>0.19989700276847638</v>
      </c>
      <c r="O2377" s="31">
        <f t="shared" si="151"/>
        <v>1.0889970153361068</v>
      </c>
    </row>
    <row r="2378" spans="1:15" x14ac:dyDescent="0.25">
      <c r="A2378" t="s">
        <v>8115</v>
      </c>
      <c r="B2378" t="s">
        <v>4757</v>
      </c>
      <c r="C2378" s="3" t="s">
        <v>4758</v>
      </c>
      <c r="D2378" s="24">
        <v>0.63270300000000002</v>
      </c>
      <c r="E2378" s="25">
        <v>11.49</v>
      </c>
      <c r="F2378" s="25">
        <v>11.54</v>
      </c>
      <c r="G2378" s="26">
        <v>-5.0319999999999997E-2</v>
      </c>
      <c r="H2378" s="27">
        <v>9.9979999999999999E-2</v>
      </c>
      <c r="I2378" s="26">
        <v>0.50329999999999997</v>
      </c>
      <c r="J2378" s="28">
        <v>6</v>
      </c>
      <c r="K2378" s="27">
        <v>0.734039</v>
      </c>
      <c r="L2378" s="29">
        <f t="shared" si="148"/>
        <v>0.1342808651045887</v>
      </c>
      <c r="M2378" s="29">
        <f t="shared" si="149"/>
        <v>-4.9999999999999427E-2</v>
      </c>
      <c r="N2378" s="30">
        <f t="shared" si="150"/>
        <v>0.19880010630210157</v>
      </c>
      <c r="O2378" s="31">
        <f t="shared" si="151"/>
        <v>0.96593632892484593</v>
      </c>
    </row>
    <row r="2379" spans="1:15" x14ac:dyDescent="0.25">
      <c r="A2379" t="s">
        <v>8116</v>
      </c>
      <c r="B2379" t="s">
        <v>4759</v>
      </c>
      <c r="C2379" s="3" t="s">
        <v>4760</v>
      </c>
      <c r="D2379" s="24">
        <v>0.63354900000000003</v>
      </c>
      <c r="E2379" s="25">
        <v>7.6420000000000003</v>
      </c>
      <c r="F2379" s="25">
        <v>7.4939999999999998</v>
      </c>
      <c r="G2379" s="26">
        <v>0.1484</v>
      </c>
      <c r="H2379" s="27">
        <v>0.29549999999999998</v>
      </c>
      <c r="I2379" s="26">
        <v>0.502</v>
      </c>
      <c r="J2379" s="28">
        <v>6</v>
      </c>
      <c r="K2379" s="27">
        <v>0.73471200000000003</v>
      </c>
      <c r="L2379" s="29">
        <f t="shared" si="148"/>
        <v>0.13388286679612596</v>
      </c>
      <c r="M2379" s="29">
        <f t="shared" si="149"/>
        <v>0.14799999999999988</v>
      </c>
      <c r="N2379" s="30">
        <f t="shared" si="150"/>
        <v>0.19821979024122544</v>
      </c>
      <c r="O2379" s="31">
        <f t="shared" si="151"/>
        <v>1.1080323478649259</v>
      </c>
    </row>
    <row r="2380" spans="1:15" x14ac:dyDescent="0.25">
      <c r="A2380" t="s">
        <v>8117</v>
      </c>
      <c r="B2380" t="s">
        <v>4763</v>
      </c>
      <c r="C2380" s="3" t="s">
        <v>4764</v>
      </c>
      <c r="D2380" s="24">
        <v>0.63475000000000004</v>
      </c>
      <c r="E2380" s="25">
        <v>15.16</v>
      </c>
      <c r="F2380" s="25">
        <v>15.04</v>
      </c>
      <c r="G2380" s="26">
        <v>0.1227</v>
      </c>
      <c r="H2380" s="27">
        <v>0.24529999999999999</v>
      </c>
      <c r="I2380" s="26">
        <v>0.50019999999999998</v>
      </c>
      <c r="J2380" s="28">
        <v>6</v>
      </c>
      <c r="K2380" s="27">
        <v>0.73548800000000003</v>
      </c>
      <c r="L2380" s="29">
        <f t="shared" si="148"/>
        <v>0.13342440869620295</v>
      </c>
      <c r="M2380" s="29">
        <f t="shared" si="149"/>
        <v>0.12000000000000223</v>
      </c>
      <c r="N2380" s="30">
        <f t="shared" si="150"/>
        <v>0.19739729045424012</v>
      </c>
      <c r="O2380" s="31">
        <f t="shared" si="151"/>
        <v>1.0867348625260598</v>
      </c>
    </row>
    <row r="2381" spans="1:15" x14ac:dyDescent="0.25">
      <c r="A2381" t="s">
        <v>8118</v>
      </c>
      <c r="B2381" t="s">
        <v>4761</v>
      </c>
      <c r="C2381" s="3" t="s">
        <v>4762</v>
      </c>
      <c r="D2381" s="24">
        <v>0.63456699999999999</v>
      </c>
      <c r="E2381" s="25">
        <v>10.25</v>
      </c>
      <c r="F2381" s="25">
        <v>10.210000000000001</v>
      </c>
      <c r="G2381" s="26">
        <v>3.9350000000000003E-2</v>
      </c>
      <c r="H2381" s="27">
        <v>7.8619999999999995E-2</v>
      </c>
      <c r="I2381" s="26">
        <v>0.50049999999999994</v>
      </c>
      <c r="J2381" s="28">
        <v>6</v>
      </c>
      <c r="K2381" s="27">
        <v>0.73548800000000003</v>
      </c>
      <c r="L2381" s="29">
        <f t="shared" si="148"/>
        <v>0.13342440869620295</v>
      </c>
      <c r="M2381" s="29">
        <f t="shared" si="149"/>
        <v>3.99999999999988E-2</v>
      </c>
      <c r="N2381" s="30">
        <f t="shared" si="150"/>
        <v>0.19752251668336801</v>
      </c>
      <c r="O2381" s="31">
        <f t="shared" si="151"/>
        <v>1.0281138266560657</v>
      </c>
    </row>
    <row r="2382" spans="1:15" x14ac:dyDescent="0.25">
      <c r="A2382" t="s">
        <v>8119</v>
      </c>
      <c r="B2382" t="s">
        <v>4765</v>
      </c>
      <c r="C2382" s="3" t="s">
        <v>4766</v>
      </c>
      <c r="D2382" s="24">
        <v>0.63870400000000005</v>
      </c>
      <c r="E2382" s="25">
        <v>9.7769999999999992</v>
      </c>
      <c r="F2382" s="25">
        <v>9.8390000000000004</v>
      </c>
      <c r="G2382" s="26">
        <v>-6.2100000000000002E-2</v>
      </c>
      <c r="H2382" s="27">
        <v>0.12570000000000001</v>
      </c>
      <c r="I2382" s="26">
        <v>0.49419999999999997</v>
      </c>
      <c r="J2382" s="28">
        <v>6</v>
      </c>
      <c r="K2382" s="27">
        <v>0.73960300000000001</v>
      </c>
      <c r="L2382" s="29">
        <f t="shared" si="148"/>
        <v>0.13100133591091306</v>
      </c>
      <c r="M2382" s="29">
        <f t="shared" si="149"/>
        <v>-6.2000000000000527E-2</v>
      </c>
      <c r="N2382" s="30">
        <f t="shared" si="150"/>
        <v>0.19470036398529361</v>
      </c>
      <c r="O2382" s="31">
        <f t="shared" si="151"/>
        <v>0.95793521822269612</v>
      </c>
    </row>
    <row r="2383" spans="1:15" x14ac:dyDescent="0.25">
      <c r="A2383" t="s">
        <v>8120</v>
      </c>
      <c r="B2383" t="s">
        <v>4769</v>
      </c>
      <c r="C2383" s="3" t="s">
        <v>4770</v>
      </c>
      <c r="D2383" s="24">
        <v>0.63934899999999995</v>
      </c>
      <c r="E2383" s="25">
        <v>7.5510000000000002</v>
      </c>
      <c r="F2383" s="25">
        <v>7.3360000000000003</v>
      </c>
      <c r="G2383" s="26">
        <v>0.215</v>
      </c>
      <c r="H2383" s="27">
        <v>0.43590000000000001</v>
      </c>
      <c r="I2383" s="26">
        <v>0.49330000000000002</v>
      </c>
      <c r="J2383" s="28">
        <v>6</v>
      </c>
      <c r="K2383" s="27">
        <v>0.73960300000000001</v>
      </c>
      <c r="L2383" s="29">
        <f t="shared" si="148"/>
        <v>0.13100133591091306</v>
      </c>
      <c r="M2383" s="29">
        <f t="shared" si="149"/>
        <v>0.215</v>
      </c>
      <c r="N2383" s="30">
        <f t="shared" si="150"/>
        <v>0.19426200976272331</v>
      </c>
      <c r="O2383" s="31">
        <f t="shared" si="151"/>
        <v>1.1607039143837201</v>
      </c>
    </row>
    <row r="2384" spans="1:15" x14ac:dyDescent="0.25">
      <c r="A2384" t="s">
        <v>8121</v>
      </c>
      <c r="B2384" t="s">
        <v>4767</v>
      </c>
      <c r="C2384" s="3" t="s">
        <v>4768</v>
      </c>
      <c r="D2384" s="24">
        <v>0.63914499999999996</v>
      </c>
      <c r="E2384" s="25">
        <v>10.96</v>
      </c>
      <c r="F2384" s="25">
        <v>11.1</v>
      </c>
      <c r="G2384" s="26">
        <v>-0.1406</v>
      </c>
      <c r="H2384" s="27">
        <v>0.2848</v>
      </c>
      <c r="I2384" s="26">
        <v>0.49359999999999998</v>
      </c>
      <c r="J2384" s="28">
        <v>6</v>
      </c>
      <c r="K2384" s="27">
        <v>0.73960300000000001</v>
      </c>
      <c r="L2384" s="29">
        <f t="shared" si="148"/>
        <v>0.13100133591091306</v>
      </c>
      <c r="M2384" s="29">
        <f t="shared" si="149"/>
        <v>-0.13999999999999893</v>
      </c>
      <c r="N2384" s="30">
        <f t="shared" si="150"/>
        <v>0.19440060419501651</v>
      </c>
      <c r="O2384" s="31">
        <f t="shared" si="151"/>
        <v>0.90751915531716154</v>
      </c>
    </row>
    <row r="2385" spans="1:15" x14ac:dyDescent="0.25">
      <c r="A2385" t="s">
        <v>8122</v>
      </c>
      <c r="B2385" t="s">
        <v>4771</v>
      </c>
      <c r="C2385" s="3" t="s">
        <v>4772</v>
      </c>
      <c r="D2385" s="24">
        <v>0.63937299999999997</v>
      </c>
      <c r="E2385" s="25">
        <v>6.6349999999999998</v>
      </c>
      <c r="F2385" s="25">
        <v>6.4770000000000003</v>
      </c>
      <c r="G2385" s="26">
        <v>0.1585</v>
      </c>
      <c r="H2385" s="27">
        <v>0.32140000000000002</v>
      </c>
      <c r="I2385" s="26">
        <v>0.49320000000000003</v>
      </c>
      <c r="J2385" s="28">
        <v>6</v>
      </c>
      <c r="K2385" s="27">
        <v>0.73960300000000001</v>
      </c>
      <c r="L2385" s="29">
        <f t="shared" si="148"/>
        <v>0.13100133591091306</v>
      </c>
      <c r="M2385" s="29">
        <f t="shared" si="149"/>
        <v>0.15799999999999878</v>
      </c>
      <c r="N2385" s="30">
        <f t="shared" si="150"/>
        <v>0.19424570744280245</v>
      </c>
      <c r="O2385" s="31">
        <f t="shared" si="151"/>
        <v>1.1157393223249632</v>
      </c>
    </row>
    <row r="2386" spans="1:15" x14ac:dyDescent="0.25">
      <c r="A2386" t="s">
        <v>8123</v>
      </c>
      <c r="B2386" t="s">
        <v>4773</v>
      </c>
      <c r="C2386" s="3" t="s">
        <v>4774</v>
      </c>
      <c r="D2386" s="24">
        <v>0.64088599999999996</v>
      </c>
      <c r="E2386" s="25">
        <v>7.9470000000000001</v>
      </c>
      <c r="F2386" s="25">
        <v>7.8140000000000001</v>
      </c>
      <c r="G2386" s="26">
        <v>0.13289999999999999</v>
      </c>
      <c r="H2386" s="27">
        <v>0.2707</v>
      </c>
      <c r="I2386" s="26">
        <v>0.49099999999999999</v>
      </c>
      <c r="J2386" s="28">
        <v>6</v>
      </c>
      <c r="K2386" s="27">
        <v>0.74104300000000001</v>
      </c>
      <c r="L2386" s="29">
        <f t="shared" si="148"/>
        <v>0.1301565907778913</v>
      </c>
      <c r="M2386" s="29">
        <f t="shared" si="149"/>
        <v>0.13300000000000103</v>
      </c>
      <c r="N2386" s="30">
        <f t="shared" si="150"/>
        <v>0.193219215370459</v>
      </c>
      <c r="O2386" s="31">
        <f t="shared" si="151"/>
        <v>1.0965715885878948</v>
      </c>
    </row>
    <row r="2387" spans="1:15" x14ac:dyDescent="0.25">
      <c r="A2387" t="s">
        <v>8124</v>
      </c>
      <c r="B2387" t="s">
        <v>4775</v>
      </c>
      <c r="C2387" s="3" t="s">
        <v>4776</v>
      </c>
      <c r="D2387" s="24">
        <v>0.64169200000000004</v>
      </c>
      <c r="E2387" s="25">
        <v>9.1890000000000001</v>
      </c>
      <c r="F2387" s="25">
        <v>9.1349999999999998</v>
      </c>
      <c r="G2387" s="26">
        <v>5.3690000000000002E-2</v>
      </c>
      <c r="H2387" s="27">
        <v>0.1096</v>
      </c>
      <c r="I2387" s="26">
        <v>0.48980000000000001</v>
      </c>
      <c r="J2387" s="28">
        <v>6</v>
      </c>
      <c r="K2387" s="27">
        <v>0.74166500000000002</v>
      </c>
      <c r="L2387" s="29">
        <f t="shared" si="148"/>
        <v>0.12979221534646454</v>
      </c>
      <c r="M2387" s="29">
        <f t="shared" si="149"/>
        <v>5.4000000000001311E-2</v>
      </c>
      <c r="N2387" s="30">
        <f t="shared" si="150"/>
        <v>0.19267337504185081</v>
      </c>
      <c r="O2387" s="31">
        <f t="shared" si="151"/>
        <v>1.0381392705430581</v>
      </c>
    </row>
    <row r="2388" spans="1:15" x14ac:dyDescent="0.25">
      <c r="A2388" t="s">
        <v>8125</v>
      </c>
      <c r="B2388" t="s">
        <v>4781</v>
      </c>
      <c r="C2388" s="3" t="s">
        <v>4782</v>
      </c>
      <c r="D2388" s="24">
        <v>0.64330799999999999</v>
      </c>
      <c r="E2388" s="25">
        <v>11.22</v>
      </c>
      <c r="F2388" s="25">
        <v>11.11</v>
      </c>
      <c r="G2388" s="26">
        <v>0.11</v>
      </c>
      <c r="H2388" s="27">
        <v>0.22570000000000001</v>
      </c>
      <c r="I2388" s="26">
        <v>0.48730000000000001</v>
      </c>
      <c r="J2388" s="28">
        <v>6</v>
      </c>
      <c r="K2388" s="27">
        <v>0.74260000000000004</v>
      </c>
      <c r="L2388" s="29">
        <f t="shared" si="148"/>
        <v>0.12924505510985987</v>
      </c>
      <c r="M2388" s="29">
        <f t="shared" si="149"/>
        <v>0.11000000000000064</v>
      </c>
      <c r="N2388" s="30">
        <f t="shared" si="150"/>
        <v>0.19158104780023491</v>
      </c>
      <c r="O2388" s="31">
        <f t="shared" si="151"/>
        <v>1.0792282365044277</v>
      </c>
    </row>
    <row r="2389" spans="1:15" x14ac:dyDescent="0.25">
      <c r="A2389" t="s">
        <v>8126</v>
      </c>
      <c r="B2389" t="s">
        <v>4779</v>
      </c>
      <c r="C2389" s="3" t="s">
        <v>4780</v>
      </c>
      <c r="D2389" s="24">
        <v>0.64320699999999997</v>
      </c>
      <c r="E2389" s="25">
        <v>9.0030000000000001</v>
      </c>
      <c r="F2389" s="25">
        <v>8.907</v>
      </c>
      <c r="G2389" s="26">
        <v>9.5600000000000004E-2</v>
      </c>
      <c r="H2389" s="27">
        <v>0.1961</v>
      </c>
      <c r="I2389" s="26">
        <v>0.48749999999999999</v>
      </c>
      <c r="J2389" s="28">
        <v>6</v>
      </c>
      <c r="K2389" s="27">
        <v>0.74260000000000004</v>
      </c>
      <c r="L2389" s="29">
        <f t="shared" si="148"/>
        <v>0.12924505510985987</v>
      </c>
      <c r="M2389" s="29">
        <f t="shared" si="149"/>
        <v>9.5999999999999627E-2</v>
      </c>
      <c r="N2389" s="30">
        <f t="shared" si="150"/>
        <v>0.19164923782174628</v>
      </c>
      <c r="O2389" s="31">
        <f t="shared" si="151"/>
        <v>1.0688059912110077</v>
      </c>
    </row>
    <row r="2390" spans="1:15" x14ac:dyDescent="0.25">
      <c r="A2390" t="s">
        <v>8127</v>
      </c>
      <c r="B2390" t="s">
        <v>4777</v>
      </c>
      <c r="C2390" s="3" t="s">
        <v>4778</v>
      </c>
      <c r="D2390" s="24">
        <v>0.64277300000000004</v>
      </c>
      <c r="E2390" s="25">
        <v>8.1609999999999996</v>
      </c>
      <c r="F2390" s="25">
        <v>8.0909999999999993</v>
      </c>
      <c r="G2390" s="26">
        <v>7.0279999999999995E-2</v>
      </c>
      <c r="H2390" s="27">
        <v>0.14399999999999999</v>
      </c>
      <c r="I2390" s="26">
        <v>0.48809999999999998</v>
      </c>
      <c r="J2390" s="28">
        <v>6</v>
      </c>
      <c r="K2390" s="27">
        <v>0.74260000000000004</v>
      </c>
      <c r="L2390" s="29">
        <f t="shared" si="148"/>
        <v>0.12924505510985987</v>
      </c>
      <c r="M2390" s="29">
        <f t="shared" si="149"/>
        <v>7.0000000000001644E-2</v>
      </c>
      <c r="N2390" s="30">
        <f t="shared" si="150"/>
        <v>0.19194237428156974</v>
      </c>
      <c r="O2390" s="31">
        <f t="shared" si="151"/>
        <v>1.0497166836230685</v>
      </c>
    </row>
    <row r="2391" spans="1:15" x14ac:dyDescent="0.25">
      <c r="A2391" t="s">
        <v>8128</v>
      </c>
      <c r="B2391" t="s">
        <v>4783</v>
      </c>
      <c r="C2391" s="3" t="s">
        <v>4784</v>
      </c>
      <c r="D2391" s="24">
        <v>0.64359699999999997</v>
      </c>
      <c r="E2391" s="25">
        <v>7.4710000000000001</v>
      </c>
      <c r="F2391" s="25">
        <v>7.65</v>
      </c>
      <c r="G2391" s="26">
        <v>-0.17949999999999999</v>
      </c>
      <c r="H2391" s="27">
        <v>0.36870000000000003</v>
      </c>
      <c r="I2391" s="26">
        <v>0.4869</v>
      </c>
      <c r="J2391" s="28">
        <v>6</v>
      </c>
      <c r="K2391" s="27">
        <v>0.74262300000000003</v>
      </c>
      <c r="L2391" s="29">
        <f t="shared" si="148"/>
        <v>0.12923160423671212</v>
      </c>
      <c r="M2391" s="29">
        <f t="shared" si="149"/>
        <v>-0.17900000000000002</v>
      </c>
      <c r="N2391" s="30">
        <f t="shared" si="150"/>
        <v>0.19138598894603831</v>
      </c>
      <c r="O2391" s="31">
        <f t="shared" si="151"/>
        <v>0.88331505148146516</v>
      </c>
    </row>
    <row r="2392" spans="1:15" x14ac:dyDescent="0.25">
      <c r="A2392" t="s">
        <v>8129</v>
      </c>
      <c r="B2392" t="s">
        <v>4785</v>
      </c>
      <c r="C2392" s="3" t="s">
        <v>4786</v>
      </c>
      <c r="D2392" s="24">
        <v>0.64538399999999996</v>
      </c>
      <c r="E2392" s="25">
        <v>8.8979999999999997</v>
      </c>
      <c r="F2392" s="25">
        <v>8.8059999999999992</v>
      </c>
      <c r="G2392" s="26">
        <v>9.2130000000000004E-2</v>
      </c>
      <c r="H2392" s="27">
        <v>0.1903</v>
      </c>
      <c r="I2392" s="26">
        <v>0.48420000000000002</v>
      </c>
      <c r="J2392" s="28">
        <v>6</v>
      </c>
      <c r="K2392" s="27">
        <v>0.74437399999999998</v>
      </c>
      <c r="L2392" s="29">
        <f t="shared" si="148"/>
        <v>0.12820880460861142</v>
      </c>
      <c r="M2392" s="29">
        <f t="shared" si="149"/>
        <v>9.2000000000000262E-2</v>
      </c>
      <c r="N2392" s="30">
        <f t="shared" si="150"/>
        <v>0.19018180558511047</v>
      </c>
      <c r="O2392" s="31">
        <f t="shared" si="151"/>
        <v>1.0658467360679427</v>
      </c>
    </row>
    <row r="2393" spans="1:15" x14ac:dyDescent="0.25">
      <c r="A2393" t="s">
        <v>8130</v>
      </c>
      <c r="B2393" t="s">
        <v>4787</v>
      </c>
      <c r="C2393" s="3" t="s">
        <v>4788</v>
      </c>
      <c r="D2393" s="24">
        <v>0.64622199999999996</v>
      </c>
      <c r="E2393" s="25">
        <v>8.0519999999999996</v>
      </c>
      <c r="F2393" s="25">
        <v>7.8380000000000001</v>
      </c>
      <c r="G2393" s="26">
        <v>0.21360000000000001</v>
      </c>
      <c r="H2393" s="27">
        <v>0.44230000000000003</v>
      </c>
      <c r="I2393" s="26">
        <v>0.48299999999999998</v>
      </c>
      <c r="J2393" s="28">
        <v>6</v>
      </c>
      <c r="K2393" s="27">
        <v>0.74502900000000005</v>
      </c>
      <c r="L2393" s="29">
        <f t="shared" si="148"/>
        <v>0.1278268221579448</v>
      </c>
      <c r="M2393" s="29">
        <f t="shared" si="149"/>
        <v>0.21399999999999958</v>
      </c>
      <c r="N2393" s="30">
        <f t="shared" si="150"/>
        <v>0.18961826093310158</v>
      </c>
      <c r="O2393" s="31">
        <f t="shared" si="151"/>
        <v>1.1598996545054341</v>
      </c>
    </row>
    <row r="2394" spans="1:15" x14ac:dyDescent="0.25">
      <c r="A2394" t="s">
        <v>8131</v>
      </c>
      <c r="B2394" t="s">
        <v>4789</v>
      </c>
      <c r="C2394" s="3" t="s">
        <v>4790</v>
      </c>
      <c r="D2394" s="24">
        <v>0.64673999999999998</v>
      </c>
      <c r="E2394" s="25">
        <v>8.73</v>
      </c>
      <c r="F2394" s="25">
        <v>8.9030000000000005</v>
      </c>
      <c r="G2394" s="26">
        <v>-0.17280000000000001</v>
      </c>
      <c r="H2394" s="27">
        <v>0.3584</v>
      </c>
      <c r="I2394" s="26">
        <v>0.48220000000000002</v>
      </c>
      <c r="J2394" s="28">
        <v>6</v>
      </c>
      <c r="K2394" s="27">
        <v>0.74531599999999998</v>
      </c>
      <c r="L2394" s="29">
        <f t="shared" si="148"/>
        <v>0.12765955549439109</v>
      </c>
      <c r="M2394" s="29">
        <f t="shared" si="149"/>
        <v>-0.17300000000000013</v>
      </c>
      <c r="N2394" s="30">
        <f t="shared" si="150"/>
        <v>0.18927027769204444</v>
      </c>
      <c r="O2394" s="31">
        <f t="shared" si="151"/>
        <v>0.88699630515214989</v>
      </c>
    </row>
    <row r="2395" spans="1:15" x14ac:dyDescent="0.25">
      <c r="A2395" t="s">
        <v>8132</v>
      </c>
      <c r="B2395" t="s">
        <v>4793</v>
      </c>
      <c r="C2395" s="3" t="s">
        <v>4794</v>
      </c>
      <c r="D2395" s="24">
        <v>0.648706</v>
      </c>
      <c r="E2395" s="25">
        <v>9.56</v>
      </c>
      <c r="F2395" s="25">
        <v>9.6039999999999992</v>
      </c>
      <c r="G2395" s="26">
        <v>-4.3860000000000003E-2</v>
      </c>
      <c r="H2395" s="27">
        <v>9.1509999999999994E-2</v>
      </c>
      <c r="I2395" s="26">
        <v>0.4793</v>
      </c>
      <c r="J2395" s="28">
        <v>6</v>
      </c>
      <c r="K2395" s="27">
        <v>0.74695800000000001</v>
      </c>
      <c r="L2395" s="29">
        <f t="shared" si="148"/>
        <v>0.12670381703472247</v>
      </c>
      <c r="M2395" s="29">
        <f t="shared" si="149"/>
        <v>-4.3999999999999484E-2</v>
      </c>
      <c r="N2395" s="30">
        <f t="shared" si="150"/>
        <v>0.18795208518239734</v>
      </c>
      <c r="O2395" s="31">
        <f t="shared" si="151"/>
        <v>0.96996191034173518</v>
      </c>
    </row>
    <row r="2396" spans="1:15" x14ac:dyDescent="0.25">
      <c r="A2396" t="s">
        <v>8133</v>
      </c>
      <c r="B2396" t="s">
        <v>4791</v>
      </c>
      <c r="C2396" s="3" t="s">
        <v>4792</v>
      </c>
      <c r="D2396" s="24">
        <v>0.64864900000000003</v>
      </c>
      <c r="E2396" s="25">
        <v>7.1950000000000003</v>
      </c>
      <c r="F2396" s="25">
        <v>6.8879999999999999</v>
      </c>
      <c r="G2396" s="26">
        <v>0.30690000000000001</v>
      </c>
      <c r="H2396" s="27">
        <v>0.64019999999999999</v>
      </c>
      <c r="I2396" s="26">
        <v>0.47939999999999999</v>
      </c>
      <c r="J2396" s="28">
        <v>6</v>
      </c>
      <c r="K2396" s="27">
        <v>0.74695800000000001</v>
      </c>
      <c r="L2396" s="29">
        <f t="shared" si="148"/>
        <v>0.12670381703472247</v>
      </c>
      <c r="M2396" s="29">
        <f t="shared" si="149"/>
        <v>0.30700000000000033</v>
      </c>
      <c r="N2396" s="30">
        <f t="shared" si="150"/>
        <v>0.18799024711260828</v>
      </c>
      <c r="O2396" s="31">
        <f t="shared" si="151"/>
        <v>1.2371324786871729</v>
      </c>
    </row>
    <row r="2397" spans="1:15" x14ac:dyDescent="0.25">
      <c r="A2397" t="s">
        <v>8134</v>
      </c>
      <c r="B2397" t="s">
        <v>4797</v>
      </c>
      <c r="C2397" s="3" t="s">
        <v>4798</v>
      </c>
      <c r="D2397" s="24">
        <v>0.64974399999999999</v>
      </c>
      <c r="E2397" s="25">
        <v>11.92</v>
      </c>
      <c r="F2397" s="25">
        <v>11.87</v>
      </c>
      <c r="G2397" s="26">
        <v>5.185E-2</v>
      </c>
      <c r="H2397" s="27">
        <v>0.1085</v>
      </c>
      <c r="I2397" s="26">
        <v>0.47770000000000001</v>
      </c>
      <c r="J2397" s="28">
        <v>6</v>
      </c>
      <c r="K2397" s="27">
        <v>0.74753000000000003</v>
      </c>
      <c r="L2397" s="29">
        <f t="shared" si="148"/>
        <v>0.12637137347441443</v>
      </c>
      <c r="M2397" s="29">
        <f t="shared" si="149"/>
        <v>5.0000000000000731E-2</v>
      </c>
      <c r="N2397" s="30">
        <f t="shared" si="150"/>
        <v>0.18725772226007442</v>
      </c>
      <c r="O2397" s="31">
        <f t="shared" si="151"/>
        <v>1.035264923841378</v>
      </c>
    </row>
    <row r="2398" spans="1:15" x14ac:dyDescent="0.25">
      <c r="A2398" t="s">
        <v>8135</v>
      </c>
      <c r="B2398" t="s">
        <v>4795</v>
      </c>
      <c r="C2398" s="3" t="s">
        <v>4796</v>
      </c>
      <c r="D2398" s="24">
        <v>0.64947699999999997</v>
      </c>
      <c r="E2398" s="25">
        <v>8.2059999999999995</v>
      </c>
      <c r="F2398" s="25">
        <v>8.2739999999999991</v>
      </c>
      <c r="G2398" s="26">
        <v>-6.726E-2</v>
      </c>
      <c r="H2398" s="27">
        <v>0.14069999999999999</v>
      </c>
      <c r="I2398" s="26">
        <v>0.47810000000000002</v>
      </c>
      <c r="J2398" s="28">
        <v>6</v>
      </c>
      <c r="K2398" s="27">
        <v>0.74753000000000003</v>
      </c>
      <c r="L2398" s="29">
        <f t="shared" si="148"/>
        <v>0.12637137347441443</v>
      </c>
      <c r="M2398" s="29">
        <f t="shared" si="149"/>
        <v>-6.7999999999999547E-2</v>
      </c>
      <c r="N2398" s="30">
        <f t="shared" si="150"/>
        <v>0.18743622403660143</v>
      </c>
      <c r="O2398" s="31">
        <f t="shared" si="151"/>
        <v>0.95395955054755843</v>
      </c>
    </row>
    <row r="2399" spans="1:15" x14ac:dyDescent="0.25">
      <c r="A2399" t="s">
        <v>8136</v>
      </c>
      <c r="B2399" t="s">
        <v>4799</v>
      </c>
      <c r="C2399" s="3" t="s">
        <v>4800</v>
      </c>
      <c r="D2399" s="24">
        <v>0.65076000000000001</v>
      </c>
      <c r="E2399" s="25">
        <v>8.8930000000000007</v>
      </c>
      <c r="F2399" s="25">
        <v>8.7070000000000007</v>
      </c>
      <c r="G2399" s="26">
        <v>0.18659999999999999</v>
      </c>
      <c r="H2399" s="27">
        <v>0.39169999999999999</v>
      </c>
      <c r="I2399" s="26">
        <v>0.47620000000000001</v>
      </c>
      <c r="J2399" s="28">
        <v>6</v>
      </c>
      <c r="K2399" s="27">
        <v>0.74838800000000005</v>
      </c>
      <c r="L2399" s="29">
        <f t="shared" si="148"/>
        <v>0.12587318479517662</v>
      </c>
      <c r="M2399" s="29">
        <f t="shared" si="149"/>
        <v>0.18600000000000039</v>
      </c>
      <c r="N2399" s="30">
        <f t="shared" si="150"/>
        <v>0.18657914951692009</v>
      </c>
      <c r="O2399" s="31">
        <f t="shared" si="151"/>
        <v>1.1376052278725051</v>
      </c>
    </row>
    <row r="2400" spans="1:15" x14ac:dyDescent="0.25">
      <c r="A2400" t="s">
        <v>8137</v>
      </c>
      <c r="B2400" t="s">
        <v>4801</v>
      </c>
      <c r="C2400" s="3" t="s">
        <v>4802</v>
      </c>
      <c r="D2400" s="24">
        <v>0.65271100000000004</v>
      </c>
      <c r="E2400" s="25">
        <v>9.3810000000000002</v>
      </c>
      <c r="F2400" s="25">
        <v>9.4670000000000005</v>
      </c>
      <c r="G2400" s="26">
        <v>-8.5620000000000002E-2</v>
      </c>
      <c r="H2400" s="27">
        <v>0.18090000000000001</v>
      </c>
      <c r="I2400" s="26">
        <v>0.4733</v>
      </c>
      <c r="J2400" s="28">
        <v>6</v>
      </c>
      <c r="K2400" s="27">
        <v>0.75031899999999996</v>
      </c>
      <c r="L2400" s="29">
        <f t="shared" si="148"/>
        <v>0.12475405596129778</v>
      </c>
      <c r="M2400" s="29">
        <f t="shared" si="149"/>
        <v>-8.6000000000000507E-2</v>
      </c>
      <c r="N2400" s="30">
        <f t="shared" si="150"/>
        <v>0.18527906816958817</v>
      </c>
      <c r="O2400" s="31">
        <f t="shared" si="151"/>
        <v>0.94213127390480844</v>
      </c>
    </row>
    <row r="2401" spans="1:15" x14ac:dyDescent="0.25">
      <c r="A2401" t="s">
        <v>8138</v>
      </c>
      <c r="B2401" t="s">
        <v>4803</v>
      </c>
      <c r="C2401" s="3" t="s">
        <v>4804</v>
      </c>
      <c r="D2401" s="24">
        <v>0.65339100000000006</v>
      </c>
      <c r="E2401" s="25">
        <v>10.09</v>
      </c>
      <c r="F2401" s="25">
        <v>10.050000000000001</v>
      </c>
      <c r="G2401" s="26">
        <v>3.8129999999999997E-2</v>
      </c>
      <c r="H2401" s="27">
        <v>8.072E-2</v>
      </c>
      <c r="I2401" s="26">
        <v>0.4723</v>
      </c>
      <c r="J2401" s="28">
        <v>6</v>
      </c>
      <c r="K2401" s="27">
        <v>0.75078800000000001</v>
      </c>
      <c r="L2401" s="29">
        <f t="shared" si="148"/>
        <v>0.12448267741381212</v>
      </c>
      <c r="M2401" s="29">
        <f t="shared" si="149"/>
        <v>3.99999999999988E-2</v>
      </c>
      <c r="N2401" s="30">
        <f t="shared" si="150"/>
        <v>0.18482685191943726</v>
      </c>
      <c r="O2401" s="31">
        <f t="shared" si="151"/>
        <v>1.0281138266560657</v>
      </c>
    </row>
    <row r="2402" spans="1:15" x14ac:dyDescent="0.25">
      <c r="A2402" t="s">
        <v>8139</v>
      </c>
      <c r="B2402" t="s">
        <v>4805</v>
      </c>
      <c r="C2402" s="3" t="s">
        <v>4806</v>
      </c>
      <c r="D2402" s="24">
        <v>0.653756</v>
      </c>
      <c r="E2402" s="25">
        <v>8.5960000000000001</v>
      </c>
      <c r="F2402" s="25">
        <v>8.6300000000000008</v>
      </c>
      <c r="G2402" s="26">
        <v>-3.3860000000000001E-2</v>
      </c>
      <c r="H2402" s="27">
        <v>7.177E-2</v>
      </c>
      <c r="I2402" s="26">
        <v>0.4718</v>
      </c>
      <c r="J2402" s="28">
        <v>6</v>
      </c>
      <c r="K2402" s="27">
        <v>0.75089499999999998</v>
      </c>
      <c r="L2402" s="29">
        <f t="shared" si="148"/>
        <v>0.12442078750809663</v>
      </c>
      <c r="M2402" s="29">
        <f t="shared" si="149"/>
        <v>-3.4000000000001626E-2</v>
      </c>
      <c r="N2402" s="30">
        <f t="shared" si="150"/>
        <v>0.1845843122662619</v>
      </c>
      <c r="O2402" s="31">
        <f t="shared" si="151"/>
        <v>0.97670852896222626</v>
      </c>
    </row>
    <row r="2403" spans="1:15" x14ac:dyDescent="0.25">
      <c r="A2403" t="s">
        <v>8140</v>
      </c>
      <c r="B2403" t="s">
        <v>4807</v>
      </c>
      <c r="C2403" s="3" t="s">
        <v>4808</v>
      </c>
      <c r="D2403" s="24">
        <v>0.65434599999999998</v>
      </c>
      <c r="E2403" s="25">
        <v>9.0790000000000006</v>
      </c>
      <c r="F2403" s="25">
        <v>8.9600000000000009</v>
      </c>
      <c r="G2403" s="26">
        <v>0.11899999999999999</v>
      </c>
      <c r="H2403" s="27">
        <v>0.25280000000000002</v>
      </c>
      <c r="I2403" s="26">
        <v>0.47089999999999999</v>
      </c>
      <c r="J2403" s="28">
        <v>6</v>
      </c>
      <c r="K2403" s="27">
        <v>0.75126000000000004</v>
      </c>
      <c r="L2403" s="29">
        <f t="shared" si="148"/>
        <v>0.12420973406951751</v>
      </c>
      <c r="M2403" s="29">
        <f t="shared" si="149"/>
        <v>0.11899999999999925</v>
      </c>
      <c r="N2403" s="30">
        <f t="shared" si="150"/>
        <v>0.18419254807402252</v>
      </c>
      <c r="O2403" s="31">
        <f t="shared" si="151"/>
        <v>1.0859818563222936</v>
      </c>
    </row>
    <row r="2404" spans="1:15" x14ac:dyDescent="0.25">
      <c r="A2404" t="s">
        <v>8141</v>
      </c>
      <c r="B2404" t="s">
        <v>4809</v>
      </c>
      <c r="C2404" s="3" t="s">
        <v>4810</v>
      </c>
      <c r="D2404" s="24">
        <v>0.65492700000000004</v>
      </c>
      <c r="E2404" s="25">
        <v>8.5239999999999991</v>
      </c>
      <c r="F2404" s="25">
        <v>8.5679999999999996</v>
      </c>
      <c r="G2404" s="26">
        <v>-4.4560000000000002E-2</v>
      </c>
      <c r="H2404" s="27">
        <v>9.4810000000000005E-2</v>
      </c>
      <c r="I2404" s="26">
        <v>0.47</v>
      </c>
      <c r="J2404" s="28">
        <v>6</v>
      </c>
      <c r="K2404" s="27">
        <v>0.75161500000000003</v>
      </c>
      <c r="L2404" s="29">
        <f t="shared" si="148"/>
        <v>0.12400456125881383</v>
      </c>
      <c r="M2404" s="29">
        <f t="shared" si="149"/>
        <v>-4.4000000000000476E-2</v>
      </c>
      <c r="N2404" s="30">
        <f t="shared" si="150"/>
        <v>0.18380710499141328</v>
      </c>
      <c r="O2404" s="31">
        <f t="shared" si="151"/>
        <v>0.96996191034173451</v>
      </c>
    </row>
    <row r="2405" spans="1:15" x14ac:dyDescent="0.25">
      <c r="A2405" t="s">
        <v>8142</v>
      </c>
      <c r="B2405" t="s">
        <v>4815</v>
      </c>
      <c r="C2405" s="3" t="s">
        <v>4816</v>
      </c>
      <c r="D2405" s="24">
        <v>0.657416</v>
      </c>
      <c r="E2405" s="25">
        <v>8.0660000000000007</v>
      </c>
      <c r="F2405" s="25">
        <v>8.4529999999999994</v>
      </c>
      <c r="G2405" s="26">
        <v>-0.38690000000000002</v>
      </c>
      <c r="H2405" s="27">
        <v>0.82950000000000002</v>
      </c>
      <c r="I2405" s="26">
        <v>0.46629999999999999</v>
      </c>
      <c r="J2405" s="28">
        <v>6</v>
      </c>
      <c r="K2405" s="27">
        <v>0.75353300000000001</v>
      </c>
      <c r="L2405" s="29">
        <f t="shared" si="148"/>
        <v>0.12289772356955013</v>
      </c>
      <c r="M2405" s="29">
        <f t="shared" si="149"/>
        <v>-0.3869999999999984</v>
      </c>
      <c r="N2405" s="30">
        <f t="shared" si="150"/>
        <v>0.18215973039258745</v>
      </c>
      <c r="O2405" s="31">
        <f t="shared" si="151"/>
        <v>0.76471813894138474</v>
      </c>
    </row>
    <row r="2406" spans="1:15" x14ac:dyDescent="0.25">
      <c r="A2406" t="s">
        <v>8143</v>
      </c>
      <c r="B2406" t="s">
        <v>4813</v>
      </c>
      <c r="C2406" s="3" t="s">
        <v>4814</v>
      </c>
      <c r="D2406" s="24">
        <v>0.65732800000000002</v>
      </c>
      <c r="E2406" s="25">
        <v>8.1660000000000004</v>
      </c>
      <c r="F2406" s="25">
        <v>8.2080000000000002</v>
      </c>
      <c r="G2406" s="26">
        <v>-4.2110000000000002E-2</v>
      </c>
      <c r="H2406" s="27">
        <v>9.0270000000000003E-2</v>
      </c>
      <c r="I2406" s="26">
        <v>0.46650000000000003</v>
      </c>
      <c r="J2406" s="28">
        <v>6</v>
      </c>
      <c r="K2406" s="27">
        <v>0.75353300000000001</v>
      </c>
      <c r="L2406" s="29">
        <f t="shared" si="148"/>
        <v>0.12289772356955013</v>
      </c>
      <c r="M2406" s="29">
        <f t="shared" si="149"/>
        <v>-4.1999999999999885E-2</v>
      </c>
      <c r="N2406" s="30">
        <f t="shared" si="150"/>
        <v>0.18221786781624491</v>
      </c>
      <c r="O2406" s="31">
        <f t="shared" si="151"/>
        <v>0.97130749554163343</v>
      </c>
    </row>
    <row r="2407" spans="1:15" x14ac:dyDescent="0.25">
      <c r="A2407" t="s">
        <v>8144</v>
      </c>
      <c r="B2407" t="s">
        <v>4811</v>
      </c>
      <c r="C2407" s="3" t="s">
        <v>4812</v>
      </c>
      <c r="D2407" s="24">
        <v>0.65717499999999995</v>
      </c>
      <c r="E2407" s="25">
        <v>8.9250000000000007</v>
      </c>
      <c r="F2407" s="25">
        <v>9.0239999999999991</v>
      </c>
      <c r="G2407" s="26">
        <v>-9.9529999999999993E-2</v>
      </c>
      <c r="H2407" s="27">
        <v>0.21329999999999999</v>
      </c>
      <c r="I2407" s="26">
        <v>0.4667</v>
      </c>
      <c r="J2407" s="28">
        <v>6</v>
      </c>
      <c r="K2407" s="27">
        <v>0.75353300000000001</v>
      </c>
      <c r="L2407" s="29">
        <f t="shared" si="148"/>
        <v>0.12289772356955013</v>
      </c>
      <c r="M2407" s="29">
        <f t="shared" si="149"/>
        <v>-9.8999999999998298E-2</v>
      </c>
      <c r="N2407" s="30">
        <f t="shared" si="150"/>
        <v>0.18231896618731183</v>
      </c>
      <c r="O2407" s="31">
        <f t="shared" si="151"/>
        <v>0.93367994491531425</v>
      </c>
    </row>
    <row r="2408" spans="1:15" x14ac:dyDescent="0.25">
      <c r="A2408" t="s">
        <v>8145</v>
      </c>
      <c r="B2408" t="s">
        <v>4819</v>
      </c>
      <c r="C2408" s="3" t="s">
        <v>4820</v>
      </c>
      <c r="D2408" s="24">
        <v>0.65820599999999996</v>
      </c>
      <c r="E2408" s="25">
        <v>9.4960000000000004</v>
      </c>
      <c r="F2408" s="25">
        <v>9.42</v>
      </c>
      <c r="G2408" s="26">
        <v>7.6590000000000005E-2</v>
      </c>
      <c r="H2408" s="27">
        <v>0.1646</v>
      </c>
      <c r="I2408" s="26">
        <v>0.4652</v>
      </c>
      <c r="J2408" s="28">
        <v>6</v>
      </c>
      <c r="K2408" s="27">
        <v>0.75371699999999997</v>
      </c>
      <c r="L2408" s="29">
        <f t="shared" si="148"/>
        <v>0.12279168915579376</v>
      </c>
      <c r="M2408" s="29">
        <f t="shared" si="149"/>
        <v>7.6000000000000026E-2</v>
      </c>
      <c r="N2408" s="30">
        <f t="shared" si="150"/>
        <v>0.18163816313095746</v>
      </c>
      <c r="O2408" s="31">
        <f t="shared" si="151"/>
        <v>1.0540914232907379</v>
      </c>
    </row>
    <row r="2409" spans="1:15" x14ac:dyDescent="0.25">
      <c r="A2409" t="s">
        <v>8146</v>
      </c>
      <c r="B2409" t="s">
        <v>4821</v>
      </c>
      <c r="C2409" s="3" t="s">
        <v>4822</v>
      </c>
      <c r="D2409" s="24">
        <v>0.65839499999999995</v>
      </c>
      <c r="E2409" s="25">
        <v>8.33</v>
      </c>
      <c r="F2409" s="25">
        <v>8.2309999999999999</v>
      </c>
      <c r="G2409" s="26">
        <v>9.9720000000000003E-2</v>
      </c>
      <c r="H2409" s="27">
        <v>0.2145</v>
      </c>
      <c r="I2409" s="26">
        <v>0.46489999999999998</v>
      </c>
      <c r="J2409" s="28">
        <v>6</v>
      </c>
      <c r="K2409" s="27">
        <v>0.75371699999999997</v>
      </c>
      <c r="L2409" s="29">
        <f t="shared" si="148"/>
        <v>0.12279168915579376</v>
      </c>
      <c r="M2409" s="29">
        <f t="shared" si="149"/>
        <v>9.899999999999988E-2</v>
      </c>
      <c r="N2409" s="30">
        <f t="shared" si="150"/>
        <v>0.18151347591342756</v>
      </c>
      <c r="O2409" s="31">
        <f t="shared" si="151"/>
        <v>1.0710308231914547</v>
      </c>
    </row>
    <row r="2410" spans="1:15" x14ac:dyDescent="0.25">
      <c r="A2410" t="s">
        <v>8147</v>
      </c>
      <c r="B2410" t="s">
        <v>4817</v>
      </c>
      <c r="C2410" s="3" t="s">
        <v>4818</v>
      </c>
      <c r="D2410" s="24">
        <v>0.65793000000000001</v>
      </c>
      <c r="E2410" s="25">
        <v>8.9779999999999998</v>
      </c>
      <c r="F2410" s="25">
        <v>8.8699999999999992</v>
      </c>
      <c r="G2410" s="26">
        <v>0.108</v>
      </c>
      <c r="H2410" s="27">
        <v>0.2319</v>
      </c>
      <c r="I2410" s="26">
        <v>0.46560000000000001</v>
      </c>
      <c r="J2410" s="28">
        <v>6</v>
      </c>
      <c r="K2410" s="27">
        <v>0.75371699999999997</v>
      </c>
      <c r="L2410" s="29">
        <f t="shared" si="148"/>
        <v>0.12279168915579376</v>
      </c>
      <c r="M2410" s="29">
        <f t="shared" si="149"/>
        <v>0.10800000000000069</v>
      </c>
      <c r="N2410" s="30">
        <f t="shared" si="150"/>
        <v>0.18182031038437557</v>
      </c>
      <c r="O2410" s="31">
        <f t="shared" si="151"/>
        <v>1.0777331450436713</v>
      </c>
    </row>
    <row r="2411" spans="1:15" x14ac:dyDescent="0.25">
      <c r="A2411" t="s">
        <v>8148</v>
      </c>
      <c r="B2411" t="s">
        <v>4823</v>
      </c>
      <c r="C2411" s="3" t="s">
        <v>4824</v>
      </c>
      <c r="D2411" s="24">
        <v>0.65910000000000002</v>
      </c>
      <c r="E2411" s="25">
        <v>9.766</v>
      </c>
      <c r="F2411" s="25">
        <v>10.220000000000001</v>
      </c>
      <c r="G2411" s="26">
        <v>-0.45750000000000002</v>
      </c>
      <c r="H2411" s="27">
        <v>0.98619999999999997</v>
      </c>
      <c r="I2411" s="26">
        <v>0.46389999999999998</v>
      </c>
      <c r="J2411" s="28">
        <v>6</v>
      </c>
      <c r="K2411" s="27">
        <v>0.75421000000000005</v>
      </c>
      <c r="L2411" s="29">
        <f t="shared" si="148"/>
        <v>0.12250771362222097</v>
      </c>
      <c r="M2411" s="29">
        <f t="shared" si="149"/>
        <v>-0.45400000000000118</v>
      </c>
      <c r="N2411" s="30">
        <f t="shared" si="150"/>
        <v>0.18104868835982724</v>
      </c>
      <c r="O2411" s="31">
        <f t="shared" si="151"/>
        <v>0.73001600532726019</v>
      </c>
    </row>
    <row r="2412" spans="1:15" x14ac:dyDescent="0.25">
      <c r="A2412" t="s">
        <v>8149</v>
      </c>
      <c r="B2412" t="s">
        <v>4825</v>
      </c>
      <c r="C2412" s="3" t="s">
        <v>4826</v>
      </c>
      <c r="D2412" s="24">
        <v>0.66068199999999999</v>
      </c>
      <c r="E2412" s="25">
        <v>9.8620000000000001</v>
      </c>
      <c r="F2412" s="25">
        <v>9.9220000000000006</v>
      </c>
      <c r="G2412" s="26">
        <v>-6.0229999999999999E-2</v>
      </c>
      <c r="H2412" s="27">
        <v>0.1305</v>
      </c>
      <c r="I2412" s="26">
        <v>0.46150000000000002</v>
      </c>
      <c r="J2412" s="28">
        <v>6</v>
      </c>
      <c r="K2412" s="27">
        <v>0.75570800000000005</v>
      </c>
      <c r="L2412" s="29">
        <f t="shared" si="148"/>
        <v>0.12164598027333839</v>
      </c>
      <c r="M2412" s="29">
        <f t="shared" si="149"/>
        <v>-6.0000000000001073E-2</v>
      </c>
      <c r="N2412" s="30">
        <f t="shared" si="150"/>
        <v>0.18000752519889082</v>
      </c>
      <c r="O2412" s="31">
        <f t="shared" si="151"/>
        <v>0.95926411932526368</v>
      </c>
    </row>
    <row r="2413" spans="1:15" x14ac:dyDescent="0.25">
      <c r="A2413" t="s">
        <v>8150</v>
      </c>
      <c r="B2413" t="s">
        <v>4831</v>
      </c>
      <c r="C2413" s="3" t="s">
        <v>4832</v>
      </c>
      <c r="D2413" s="24">
        <v>0.66221799999999997</v>
      </c>
      <c r="E2413" s="25">
        <v>6.6749999999999998</v>
      </c>
      <c r="F2413" s="25">
        <v>6.5629999999999997</v>
      </c>
      <c r="G2413" s="26">
        <v>0.112</v>
      </c>
      <c r="H2413" s="27">
        <v>0.24390000000000001</v>
      </c>
      <c r="I2413" s="26">
        <v>0.45929999999999999</v>
      </c>
      <c r="J2413" s="28">
        <v>6</v>
      </c>
      <c r="K2413" s="27">
        <v>0.75633499999999998</v>
      </c>
      <c r="L2413" s="29">
        <f t="shared" si="148"/>
        <v>0.12128580181841223</v>
      </c>
      <c r="M2413" s="29">
        <f t="shared" si="149"/>
        <v>0.11200000000000011</v>
      </c>
      <c r="N2413" s="30">
        <f t="shared" si="150"/>
        <v>0.17899901869957893</v>
      </c>
      <c r="O2413" s="31">
        <f t="shared" si="151"/>
        <v>1.0807254020393515</v>
      </c>
    </row>
    <row r="2414" spans="1:15" x14ac:dyDescent="0.25">
      <c r="A2414" t="s">
        <v>8151</v>
      </c>
      <c r="B2414" t="s">
        <v>4829</v>
      </c>
      <c r="C2414" s="3" t="s">
        <v>4830</v>
      </c>
      <c r="D2414" s="24">
        <v>0.66221099999999999</v>
      </c>
      <c r="E2414" s="25">
        <v>10.98</v>
      </c>
      <c r="F2414" s="25">
        <v>11.03</v>
      </c>
      <c r="G2414" s="26">
        <v>-5.4890000000000001E-2</v>
      </c>
      <c r="H2414" s="27">
        <v>0.1195</v>
      </c>
      <c r="I2414" s="26">
        <v>0.45929999999999999</v>
      </c>
      <c r="J2414" s="28">
        <v>6</v>
      </c>
      <c r="K2414" s="27">
        <v>0.75633499999999998</v>
      </c>
      <c r="L2414" s="29">
        <f t="shared" si="148"/>
        <v>0.12128580181841223</v>
      </c>
      <c r="M2414" s="29">
        <f t="shared" si="149"/>
        <v>-4.9999999999997935E-2</v>
      </c>
      <c r="N2414" s="30">
        <f t="shared" si="150"/>
        <v>0.17900360944981672</v>
      </c>
      <c r="O2414" s="31">
        <f t="shared" si="151"/>
        <v>0.96593632892484693</v>
      </c>
    </row>
    <row r="2415" spans="1:15" x14ac:dyDescent="0.25">
      <c r="A2415" t="s">
        <v>8152</v>
      </c>
      <c r="B2415" t="s">
        <v>4827</v>
      </c>
      <c r="C2415" s="3" t="s">
        <v>4828</v>
      </c>
      <c r="D2415" s="24">
        <v>0.66162399999999999</v>
      </c>
      <c r="E2415" s="25">
        <v>9.8360000000000003</v>
      </c>
      <c r="F2415" s="25">
        <v>9.8689999999999998</v>
      </c>
      <c r="G2415" s="26">
        <v>-3.3250000000000002E-2</v>
      </c>
      <c r="H2415" s="27">
        <v>7.2270000000000001E-2</v>
      </c>
      <c r="I2415" s="26">
        <v>0.46010000000000001</v>
      </c>
      <c r="J2415" s="28">
        <v>6</v>
      </c>
      <c r="K2415" s="27">
        <v>0.75633499999999998</v>
      </c>
      <c r="L2415" s="29">
        <f t="shared" si="148"/>
        <v>0.12128580181841223</v>
      </c>
      <c r="M2415" s="29">
        <f t="shared" si="149"/>
        <v>-3.2999999999999877E-2</v>
      </c>
      <c r="N2415" s="30">
        <f t="shared" si="150"/>
        <v>0.17938874940696342</v>
      </c>
      <c r="O2415" s="31">
        <f t="shared" si="151"/>
        <v>0.97738576641080543</v>
      </c>
    </row>
    <row r="2416" spans="1:15" x14ac:dyDescent="0.25">
      <c r="A2416" t="s">
        <v>8153</v>
      </c>
      <c r="B2416" t="s">
        <v>4833</v>
      </c>
      <c r="C2416" s="3" t="s">
        <v>4834</v>
      </c>
      <c r="D2416" s="24">
        <v>0.66232500000000005</v>
      </c>
      <c r="E2416" s="25">
        <v>12.01</v>
      </c>
      <c r="F2416" s="25">
        <v>12.13</v>
      </c>
      <c r="G2416" s="26">
        <v>-0.11799999999999999</v>
      </c>
      <c r="H2416" s="27">
        <v>0.25700000000000001</v>
      </c>
      <c r="I2416" s="26">
        <v>0.45910000000000001</v>
      </c>
      <c r="J2416" s="28">
        <v>6</v>
      </c>
      <c r="K2416" s="27">
        <v>0.75633499999999998</v>
      </c>
      <c r="L2416" s="29">
        <f t="shared" si="148"/>
        <v>0.12128580181841223</v>
      </c>
      <c r="M2416" s="29">
        <f t="shared" si="149"/>
        <v>-0.11999999999999951</v>
      </c>
      <c r="N2416" s="30">
        <f t="shared" si="150"/>
        <v>0.17892885184253501</v>
      </c>
      <c r="O2416" s="31">
        <f t="shared" si="151"/>
        <v>0.9201876506248754</v>
      </c>
    </row>
    <row r="2417" spans="1:15" x14ac:dyDescent="0.25">
      <c r="A2417" t="s">
        <v>8154</v>
      </c>
      <c r="B2417" t="s">
        <v>4835</v>
      </c>
      <c r="C2417" s="3" t="s">
        <v>4836</v>
      </c>
      <c r="D2417" s="24">
        <v>0.66304700000000005</v>
      </c>
      <c r="E2417" s="25">
        <v>7.58</v>
      </c>
      <c r="F2417" s="25">
        <v>7.8010000000000002</v>
      </c>
      <c r="G2417" s="26">
        <v>-0.22159999999999999</v>
      </c>
      <c r="H2417" s="27">
        <v>0.48370000000000002</v>
      </c>
      <c r="I2417" s="26">
        <v>0.45800000000000002</v>
      </c>
      <c r="J2417" s="28">
        <v>6</v>
      </c>
      <c r="K2417" s="27">
        <v>0.75684600000000002</v>
      </c>
      <c r="L2417" s="29">
        <f t="shared" si="148"/>
        <v>0.12099248001660699</v>
      </c>
      <c r="M2417" s="29">
        <f t="shared" si="149"/>
        <v>-0.2210000000000002</v>
      </c>
      <c r="N2417" s="30">
        <f t="shared" si="150"/>
        <v>0.17845568559645303</v>
      </c>
      <c r="O2417" s="31">
        <f t="shared" si="151"/>
        <v>0.85797053042869076</v>
      </c>
    </row>
    <row r="2418" spans="1:15" x14ac:dyDescent="0.25">
      <c r="A2418" t="s">
        <v>8155</v>
      </c>
      <c r="B2418" t="s">
        <v>4837</v>
      </c>
      <c r="C2418" s="3" t="s">
        <v>4838</v>
      </c>
      <c r="D2418" s="24">
        <v>0.66349800000000003</v>
      </c>
      <c r="E2418" s="25">
        <v>8.0909999999999993</v>
      </c>
      <c r="F2418" s="25">
        <v>8.0410000000000004</v>
      </c>
      <c r="G2418" s="26">
        <v>5.033E-2</v>
      </c>
      <c r="H2418" s="27">
        <v>0.1101</v>
      </c>
      <c r="I2418" s="26">
        <v>0.45739999999999997</v>
      </c>
      <c r="J2418" s="28">
        <v>6</v>
      </c>
      <c r="K2418" s="27">
        <v>0.75704800000000005</v>
      </c>
      <c r="L2418" s="29">
        <f t="shared" si="148"/>
        <v>0.12087658354583018</v>
      </c>
      <c r="M2418" s="29">
        <f t="shared" si="149"/>
        <v>4.9999999999997949E-2</v>
      </c>
      <c r="N2418" s="30">
        <f t="shared" si="150"/>
        <v>0.17816038190319736</v>
      </c>
      <c r="O2418" s="31">
        <f t="shared" si="151"/>
        <v>1.035264923841376</v>
      </c>
    </row>
    <row r="2419" spans="1:15" x14ac:dyDescent="0.25">
      <c r="A2419" t="s">
        <v>8156</v>
      </c>
      <c r="B2419" t="s">
        <v>4839</v>
      </c>
      <c r="C2419" s="3" t="s">
        <v>4840</v>
      </c>
      <c r="D2419" s="24">
        <v>0.66395700000000002</v>
      </c>
      <c r="E2419" s="25">
        <v>10.91</v>
      </c>
      <c r="F2419" s="25">
        <v>10.97</v>
      </c>
      <c r="G2419" s="26">
        <v>-5.7480000000000003E-2</v>
      </c>
      <c r="H2419" s="27">
        <v>0.12590000000000001</v>
      </c>
      <c r="I2419" s="26">
        <v>0.45669999999999999</v>
      </c>
      <c r="J2419" s="28">
        <v>6</v>
      </c>
      <c r="K2419" s="27">
        <v>0.75718200000000002</v>
      </c>
      <c r="L2419" s="29">
        <f t="shared" si="148"/>
        <v>0.12079971878852523</v>
      </c>
      <c r="M2419" s="29">
        <f t="shared" si="149"/>
        <v>-6.0000000000001073E-2</v>
      </c>
      <c r="N2419" s="30">
        <f t="shared" si="150"/>
        <v>0.17786004603473024</v>
      </c>
      <c r="O2419" s="31">
        <f t="shared" si="151"/>
        <v>0.95926411932526368</v>
      </c>
    </row>
    <row r="2420" spans="1:15" x14ac:dyDescent="0.25">
      <c r="A2420" t="s">
        <v>8157</v>
      </c>
      <c r="B2420" t="s">
        <v>4841</v>
      </c>
      <c r="C2420" s="3" t="s">
        <v>4842</v>
      </c>
      <c r="D2420" s="24">
        <v>0.66416399999999998</v>
      </c>
      <c r="E2420" s="25">
        <v>9.9380000000000006</v>
      </c>
      <c r="F2420" s="25">
        <v>9.86</v>
      </c>
      <c r="G2420" s="26">
        <v>7.7880000000000005E-2</v>
      </c>
      <c r="H2420" s="27">
        <v>0.1706</v>
      </c>
      <c r="I2420" s="26">
        <v>0.45639999999999997</v>
      </c>
      <c r="J2420" s="28">
        <v>6</v>
      </c>
      <c r="K2420" s="27">
        <v>0.75718200000000002</v>
      </c>
      <c r="L2420" s="29">
        <f t="shared" si="148"/>
        <v>0.12079971878852523</v>
      </c>
      <c r="M2420" s="29">
        <f t="shared" si="149"/>
        <v>7.8000000000001027E-2</v>
      </c>
      <c r="N2420" s="30">
        <f t="shared" si="150"/>
        <v>0.17772466837187889</v>
      </c>
      <c r="O2420" s="31">
        <f t="shared" si="151"/>
        <v>1.0555537176379675</v>
      </c>
    </row>
    <row r="2421" spans="1:15" x14ac:dyDescent="0.25">
      <c r="A2421" t="s">
        <v>8158</v>
      </c>
      <c r="B2421" t="s">
        <v>4843</v>
      </c>
      <c r="C2421" s="3" t="s">
        <v>4844</v>
      </c>
      <c r="D2421" s="24">
        <v>0.665381</v>
      </c>
      <c r="E2421" s="25">
        <v>9.8170000000000002</v>
      </c>
      <c r="F2421" s="25">
        <v>9.8770000000000007</v>
      </c>
      <c r="G2421" s="26">
        <v>-6.0199999999999997E-2</v>
      </c>
      <c r="H2421" s="27">
        <v>0.13239999999999999</v>
      </c>
      <c r="I2421" s="26">
        <v>0.4546</v>
      </c>
      <c r="J2421" s="28">
        <v>6</v>
      </c>
      <c r="K2421" s="27">
        <v>0.75825699999999996</v>
      </c>
      <c r="L2421" s="29">
        <f t="shared" si="148"/>
        <v>0.12018357172308089</v>
      </c>
      <c r="M2421" s="29">
        <f t="shared" si="149"/>
        <v>-6.0000000000001073E-2</v>
      </c>
      <c r="N2421" s="30">
        <f t="shared" si="150"/>
        <v>0.17692960459879753</v>
      </c>
      <c r="O2421" s="31">
        <f t="shared" si="151"/>
        <v>0.95926411932526368</v>
      </c>
    </row>
    <row r="2422" spans="1:15" x14ac:dyDescent="0.25">
      <c r="A2422" t="s">
        <v>8159</v>
      </c>
      <c r="B2422" t="s">
        <v>4845</v>
      </c>
      <c r="C2422" s="3" t="s">
        <v>4846</v>
      </c>
      <c r="D2422" s="24">
        <v>0.66605899999999996</v>
      </c>
      <c r="E2422" s="25">
        <v>8.0340000000000007</v>
      </c>
      <c r="F2422" s="25">
        <v>7.9630000000000001</v>
      </c>
      <c r="G2422" s="26">
        <v>7.1220000000000006E-2</v>
      </c>
      <c r="H2422" s="27">
        <v>0.157</v>
      </c>
      <c r="I2422" s="26">
        <v>0.4536</v>
      </c>
      <c r="J2422" s="28">
        <v>6</v>
      </c>
      <c r="K2422" s="27">
        <v>0.75871699999999997</v>
      </c>
      <c r="L2422" s="29">
        <f t="shared" si="148"/>
        <v>0.11992018491777144</v>
      </c>
      <c r="M2422" s="29">
        <f t="shared" si="149"/>
        <v>7.1000000000000368E-2</v>
      </c>
      <c r="N2422" s="30">
        <f t="shared" si="150"/>
        <v>0.17648729899857277</v>
      </c>
      <c r="O2422" s="31">
        <f t="shared" si="151"/>
        <v>1.0504445440107535</v>
      </c>
    </row>
    <row r="2423" spans="1:15" x14ac:dyDescent="0.25">
      <c r="A2423" t="s">
        <v>8160</v>
      </c>
      <c r="B2423" t="s">
        <v>4847</v>
      </c>
      <c r="C2423" s="3" t="s">
        <v>4848</v>
      </c>
      <c r="D2423" s="24">
        <v>0.66681500000000005</v>
      </c>
      <c r="E2423" s="25">
        <v>10.029999999999999</v>
      </c>
      <c r="F2423" s="25">
        <v>10</v>
      </c>
      <c r="G2423" s="26">
        <v>2.6030000000000001E-2</v>
      </c>
      <c r="H2423" s="27">
        <v>5.7529999999999998E-2</v>
      </c>
      <c r="I2423" s="26">
        <v>0.45250000000000001</v>
      </c>
      <c r="J2423" s="28">
        <v>6</v>
      </c>
      <c r="K2423" s="27">
        <v>0.75926499999999997</v>
      </c>
      <c r="L2423" s="29">
        <f t="shared" si="148"/>
        <v>0.11960661942566178</v>
      </c>
      <c r="M2423" s="29">
        <f t="shared" si="149"/>
        <v>2.9999999999998576E-2</v>
      </c>
      <c r="N2423" s="30">
        <f t="shared" si="150"/>
        <v>0.17599463928200898</v>
      </c>
      <c r="O2423" s="31">
        <f t="shared" si="151"/>
        <v>1.0210121257071922</v>
      </c>
    </row>
    <row r="2424" spans="1:15" x14ac:dyDescent="0.25">
      <c r="A2424" t="s">
        <v>8161</v>
      </c>
      <c r="B2424" t="s">
        <v>4851</v>
      </c>
      <c r="C2424" s="3" t="s">
        <v>4852</v>
      </c>
      <c r="D2424" s="24">
        <v>0.66876100000000005</v>
      </c>
      <c r="E2424" s="25">
        <v>7.8150000000000004</v>
      </c>
      <c r="F2424" s="25">
        <v>7.9459999999999997</v>
      </c>
      <c r="G2424" s="26">
        <v>-0.13100000000000001</v>
      </c>
      <c r="H2424" s="27">
        <v>0.29139999999999999</v>
      </c>
      <c r="I2424" s="26">
        <v>0.4496</v>
      </c>
      <c r="J2424" s="28">
        <v>6</v>
      </c>
      <c r="K2424" s="27">
        <v>0.76085400000000003</v>
      </c>
      <c r="L2424" s="29">
        <f t="shared" si="148"/>
        <v>0.11869867184643297</v>
      </c>
      <c r="M2424" s="29">
        <f t="shared" si="149"/>
        <v>-0.13100000000000042</v>
      </c>
      <c r="N2424" s="30">
        <f t="shared" si="150"/>
        <v>0.17472906149406175</v>
      </c>
      <c r="O2424" s="31">
        <f t="shared" si="151"/>
        <v>0.9131982500119914</v>
      </c>
    </row>
    <row r="2425" spans="1:15" x14ac:dyDescent="0.25">
      <c r="A2425" t="s">
        <v>8162</v>
      </c>
      <c r="B2425" t="s">
        <v>4849</v>
      </c>
      <c r="C2425" s="3" t="s">
        <v>4850</v>
      </c>
      <c r="D2425" s="24">
        <v>0.66859800000000003</v>
      </c>
      <c r="E2425" s="25">
        <v>8.5299999999999994</v>
      </c>
      <c r="F2425" s="25">
        <v>8.4589999999999996</v>
      </c>
      <c r="G2425" s="26">
        <v>7.0610000000000006E-2</v>
      </c>
      <c r="H2425" s="27">
        <v>0.157</v>
      </c>
      <c r="I2425" s="26">
        <v>0.44990000000000002</v>
      </c>
      <c r="J2425" s="28">
        <v>6</v>
      </c>
      <c r="K2425" s="27">
        <v>0.76085400000000003</v>
      </c>
      <c r="L2425" s="29">
        <f t="shared" si="148"/>
        <v>0.11869867184643297</v>
      </c>
      <c r="M2425" s="29">
        <f t="shared" si="149"/>
        <v>7.1000000000000674E-2</v>
      </c>
      <c r="N2425" s="30">
        <f t="shared" si="150"/>
        <v>0.17483492686140256</v>
      </c>
      <c r="O2425" s="31">
        <f t="shared" si="151"/>
        <v>1.0504445440107537</v>
      </c>
    </row>
    <row r="2426" spans="1:15" x14ac:dyDescent="0.25">
      <c r="A2426" t="s">
        <v>8163</v>
      </c>
      <c r="B2426" t="s">
        <v>4853</v>
      </c>
      <c r="C2426" s="3" t="s">
        <v>4854</v>
      </c>
      <c r="D2426" s="24">
        <v>0.66982399999999997</v>
      </c>
      <c r="E2426" s="25">
        <v>8.8810000000000002</v>
      </c>
      <c r="F2426" s="25">
        <v>8.9990000000000006</v>
      </c>
      <c r="G2426" s="26">
        <v>-0.11849999999999999</v>
      </c>
      <c r="H2426" s="27">
        <v>0.26450000000000001</v>
      </c>
      <c r="I2426" s="26">
        <v>0.4481</v>
      </c>
      <c r="J2426" s="28">
        <v>6</v>
      </c>
      <c r="K2426" s="27">
        <v>0.76174900000000001</v>
      </c>
      <c r="L2426" s="29">
        <f t="shared" si="148"/>
        <v>0.11818810723297762</v>
      </c>
      <c r="M2426" s="29">
        <f t="shared" si="149"/>
        <v>-0.11800000000000119</v>
      </c>
      <c r="N2426" s="30">
        <f t="shared" si="150"/>
        <v>0.17403929561246639</v>
      </c>
      <c r="O2426" s="31">
        <f t="shared" si="151"/>
        <v>0.92146418619870318</v>
      </c>
    </row>
    <row r="2427" spans="1:15" x14ac:dyDescent="0.25">
      <c r="A2427" t="s">
        <v>8164</v>
      </c>
      <c r="B2427" t="s">
        <v>4855</v>
      </c>
      <c r="C2427" s="3" t="s">
        <v>4856</v>
      </c>
      <c r="D2427" s="24">
        <v>0.67164299999999999</v>
      </c>
      <c r="E2427" s="25">
        <v>8.9169999999999998</v>
      </c>
      <c r="F2427" s="25">
        <v>8.8000000000000007</v>
      </c>
      <c r="G2427" s="26">
        <v>0.1168</v>
      </c>
      <c r="H2427" s="27">
        <v>0.26219999999999999</v>
      </c>
      <c r="I2427" s="26">
        <v>0.44540000000000002</v>
      </c>
      <c r="J2427" s="28">
        <v>6</v>
      </c>
      <c r="K2427" s="27">
        <v>0.76320699999999997</v>
      </c>
      <c r="L2427" s="29">
        <f t="shared" si="148"/>
        <v>0.11735765501330117</v>
      </c>
      <c r="M2427" s="29">
        <f t="shared" si="149"/>
        <v>0.11699999999999965</v>
      </c>
      <c r="N2427" s="30">
        <f t="shared" si="150"/>
        <v>0.17286150719611887</v>
      </c>
      <c r="O2427" s="31">
        <f t="shared" si="151"/>
        <v>1.0844774088430631</v>
      </c>
    </row>
    <row r="2428" spans="1:15" x14ac:dyDescent="0.25">
      <c r="A2428" t="s">
        <v>8165</v>
      </c>
      <c r="B2428" t="s">
        <v>4857</v>
      </c>
      <c r="C2428" s="3" t="s">
        <v>4858</v>
      </c>
      <c r="D2428" s="24">
        <v>0.67165799999999998</v>
      </c>
      <c r="E2428" s="25">
        <v>10.5</v>
      </c>
      <c r="F2428" s="25">
        <v>10.46</v>
      </c>
      <c r="G2428" s="26">
        <v>4.6460000000000001E-2</v>
      </c>
      <c r="H2428" s="27">
        <v>0.1043</v>
      </c>
      <c r="I2428" s="26">
        <v>0.44540000000000002</v>
      </c>
      <c r="J2428" s="28">
        <v>6</v>
      </c>
      <c r="K2428" s="27">
        <v>0.76320699999999997</v>
      </c>
      <c r="L2428" s="29">
        <f t="shared" si="148"/>
        <v>0.11735765501330117</v>
      </c>
      <c r="M2428" s="29">
        <f t="shared" si="149"/>
        <v>3.9999999999999113E-2</v>
      </c>
      <c r="N2428" s="30">
        <f t="shared" si="150"/>
        <v>0.17285180807845454</v>
      </c>
      <c r="O2428" s="31">
        <f t="shared" si="151"/>
        <v>1.0281138266560659</v>
      </c>
    </row>
    <row r="2429" spans="1:15" x14ac:dyDescent="0.25">
      <c r="A2429" t="s">
        <v>8166</v>
      </c>
      <c r="B2429" t="s">
        <v>4859</v>
      </c>
      <c r="C2429" s="3" t="s">
        <v>4860</v>
      </c>
      <c r="D2429" s="24">
        <v>0.67258399999999996</v>
      </c>
      <c r="E2429" s="25">
        <v>7.9189999999999996</v>
      </c>
      <c r="F2429" s="25">
        <v>8.1129999999999995</v>
      </c>
      <c r="G2429" s="26">
        <v>-0.1946</v>
      </c>
      <c r="H2429" s="27">
        <v>0.43819999999999998</v>
      </c>
      <c r="I2429" s="26">
        <v>0.44400000000000001</v>
      </c>
      <c r="J2429" s="28">
        <v>6</v>
      </c>
      <c r="K2429" s="27">
        <v>0.76394399999999996</v>
      </c>
      <c r="L2429" s="29">
        <f t="shared" si="148"/>
        <v>0.11693847569441092</v>
      </c>
      <c r="M2429" s="29">
        <f t="shared" si="149"/>
        <v>-0.19400000000000014</v>
      </c>
      <c r="N2429" s="30">
        <f t="shared" si="150"/>
        <v>0.17225346826485738</v>
      </c>
      <c r="O2429" s="31">
        <f t="shared" si="151"/>
        <v>0.87417862041037309</v>
      </c>
    </row>
    <row r="2430" spans="1:15" x14ac:dyDescent="0.25">
      <c r="A2430" t="s">
        <v>8167</v>
      </c>
      <c r="B2430" t="s">
        <v>4861</v>
      </c>
      <c r="C2430" s="3" t="s">
        <v>4862</v>
      </c>
      <c r="D2430" s="24">
        <v>0.67344199999999999</v>
      </c>
      <c r="E2430" s="25">
        <v>9.8279999999999994</v>
      </c>
      <c r="F2430" s="25">
        <v>9.7810000000000006</v>
      </c>
      <c r="G2430" s="26">
        <v>4.7010000000000003E-2</v>
      </c>
      <c r="H2430" s="27">
        <v>0.1062</v>
      </c>
      <c r="I2430" s="26">
        <v>0.44280000000000003</v>
      </c>
      <c r="J2430" s="28">
        <v>6</v>
      </c>
      <c r="K2430" s="27">
        <v>0.76460399999999995</v>
      </c>
      <c r="L2430" s="29">
        <f t="shared" si="148"/>
        <v>0.11656343431413484</v>
      </c>
      <c r="M2430" s="29">
        <f t="shared" si="149"/>
        <v>4.6999999999998071E-2</v>
      </c>
      <c r="N2430" s="30">
        <f t="shared" si="150"/>
        <v>0.17169980181867991</v>
      </c>
      <c r="O2430" s="31">
        <f t="shared" si="151"/>
        <v>1.0331143876841311</v>
      </c>
    </row>
    <row r="2431" spans="1:15" x14ac:dyDescent="0.25">
      <c r="A2431" t="s">
        <v>8168</v>
      </c>
      <c r="B2431" t="s">
        <v>4863</v>
      </c>
      <c r="C2431" s="3" t="s">
        <v>4864</v>
      </c>
      <c r="D2431" s="24">
        <v>0.67541200000000001</v>
      </c>
      <c r="E2431" s="25">
        <v>6.82</v>
      </c>
      <c r="F2431" s="25">
        <v>6.7089999999999996</v>
      </c>
      <c r="G2431" s="26">
        <v>0.1105</v>
      </c>
      <c r="H2431" s="27">
        <v>0.25119999999999998</v>
      </c>
      <c r="I2431" s="26">
        <v>0.43990000000000001</v>
      </c>
      <c r="J2431" s="28">
        <v>6</v>
      </c>
      <c r="K2431" s="27">
        <v>0.76652600000000004</v>
      </c>
      <c r="L2431" s="29">
        <f t="shared" si="148"/>
        <v>0.11547310960931251</v>
      </c>
      <c r="M2431" s="29">
        <f t="shared" si="149"/>
        <v>0.11100000000000082</v>
      </c>
      <c r="N2431" s="30">
        <f t="shared" si="150"/>
        <v>0.17043122755093881</v>
      </c>
      <c r="O2431" s="31">
        <f t="shared" si="151"/>
        <v>1.079976559832883</v>
      </c>
    </row>
    <row r="2432" spans="1:15" x14ac:dyDescent="0.25">
      <c r="A2432" t="s">
        <v>8169</v>
      </c>
      <c r="B2432" t="s">
        <v>4865</v>
      </c>
      <c r="C2432" s="3" t="s">
        <v>4866</v>
      </c>
      <c r="D2432" s="24">
        <v>0.67717300000000002</v>
      </c>
      <c r="E2432" s="25">
        <v>8.8450000000000006</v>
      </c>
      <c r="F2432" s="25">
        <v>8.7420000000000009</v>
      </c>
      <c r="G2432" s="26">
        <v>0.10299999999999999</v>
      </c>
      <c r="H2432" s="27">
        <v>0.2354</v>
      </c>
      <c r="I2432" s="26">
        <v>0.43730000000000002</v>
      </c>
      <c r="J2432" s="28">
        <v>6</v>
      </c>
      <c r="K2432" s="27">
        <v>0.76797300000000002</v>
      </c>
      <c r="L2432" s="29">
        <f t="shared" si="148"/>
        <v>0.1146540484022594</v>
      </c>
      <c r="M2432" s="29">
        <f t="shared" si="149"/>
        <v>0.10299999999999988</v>
      </c>
      <c r="N2432" s="30">
        <f t="shared" si="150"/>
        <v>0.16930036625237396</v>
      </c>
      <c r="O2432" s="31">
        <f t="shared" si="151"/>
        <v>1.0740044716201242</v>
      </c>
    </row>
    <row r="2433" spans="1:15" x14ac:dyDescent="0.25">
      <c r="A2433" t="s">
        <v>8170</v>
      </c>
      <c r="B2433" t="s">
        <v>4867</v>
      </c>
      <c r="C2433" s="3" t="s">
        <v>4868</v>
      </c>
      <c r="D2433" s="24">
        <v>0.67724300000000004</v>
      </c>
      <c r="E2433" s="25">
        <v>7.5860000000000003</v>
      </c>
      <c r="F2433" s="25">
        <v>7.6660000000000004</v>
      </c>
      <c r="G2433" s="26">
        <v>-8.0070000000000002E-2</v>
      </c>
      <c r="H2433" s="27">
        <v>0.18310000000000001</v>
      </c>
      <c r="I2433" s="26">
        <v>0.43719999999999998</v>
      </c>
      <c r="J2433" s="28">
        <v>6</v>
      </c>
      <c r="K2433" s="27">
        <v>0.76797300000000002</v>
      </c>
      <c r="L2433" s="29">
        <f t="shared" si="148"/>
        <v>0.1146540484022594</v>
      </c>
      <c r="M2433" s="29">
        <f t="shared" si="149"/>
        <v>-8.0000000000000362E-2</v>
      </c>
      <c r="N2433" s="30">
        <f t="shared" si="150"/>
        <v>0.16925547514984668</v>
      </c>
      <c r="O2433" s="31">
        <f t="shared" si="151"/>
        <v>0.94605764672559567</v>
      </c>
    </row>
    <row r="2434" spans="1:15" x14ac:dyDescent="0.25">
      <c r="A2434" t="s">
        <v>8171</v>
      </c>
      <c r="B2434" t="s">
        <v>4869</v>
      </c>
      <c r="C2434" s="3" t="s">
        <v>4870</v>
      </c>
      <c r="D2434" s="24">
        <v>0.67793099999999995</v>
      </c>
      <c r="E2434" s="25">
        <v>7.6790000000000003</v>
      </c>
      <c r="F2434" s="25">
        <v>7.6040000000000001</v>
      </c>
      <c r="G2434" s="26">
        <v>7.5259999999999994E-2</v>
      </c>
      <c r="H2434" s="27">
        <v>0.17249999999999999</v>
      </c>
      <c r="I2434" s="26">
        <v>0.43619999999999998</v>
      </c>
      <c r="J2434" s="28">
        <v>6</v>
      </c>
      <c r="K2434" s="27">
        <v>0.76843700000000004</v>
      </c>
      <c r="L2434" s="29">
        <f t="shared" ref="L2434:L2497" si="152">-LOG(K2434,10)</f>
        <v>0.11439173216410752</v>
      </c>
      <c r="M2434" s="29">
        <f t="shared" ref="M2434:M2497" si="153">LOG(O2434,2)</f>
        <v>7.4999999999999872E-2</v>
      </c>
      <c r="N2434" s="30">
        <f t="shared" ref="N2434:N2497" si="154">-LOG(D2434,10)</f>
        <v>0.16881450649309834</v>
      </c>
      <c r="O2434" s="31">
        <f t="shared" ref="O2434:O2497" si="155">((2^E2434)/(2^F2434))</f>
        <v>1.0533610359548358</v>
      </c>
    </row>
    <row r="2435" spans="1:15" x14ac:dyDescent="0.25">
      <c r="A2435" t="s">
        <v>8172</v>
      </c>
      <c r="B2435" t="s">
        <v>4871</v>
      </c>
      <c r="C2435" s="3" t="s">
        <v>4872</v>
      </c>
      <c r="D2435" s="24">
        <v>0.67985399999999996</v>
      </c>
      <c r="E2435" s="25">
        <v>10.68</v>
      </c>
      <c r="F2435" s="25">
        <v>10.64</v>
      </c>
      <c r="G2435" s="26">
        <v>3.6949999999999997E-2</v>
      </c>
      <c r="H2435" s="27">
        <v>8.5260000000000002E-2</v>
      </c>
      <c r="I2435" s="26">
        <v>0.43340000000000001</v>
      </c>
      <c r="J2435" s="28">
        <v>6</v>
      </c>
      <c r="K2435" s="27">
        <v>0.76998500000000003</v>
      </c>
      <c r="L2435" s="29">
        <f t="shared" si="152"/>
        <v>0.1135177351920395</v>
      </c>
      <c r="M2435" s="29">
        <f t="shared" si="153"/>
        <v>3.9999999999999113E-2</v>
      </c>
      <c r="N2435" s="30">
        <f t="shared" si="154"/>
        <v>0.16758434288532206</v>
      </c>
      <c r="O2435" s="31">
        <f t="shared" si="155"/>
        <v>1.0281138266560659</v>
      </c>
    </row>
    <row r="2436" spans="1:15" x14ac:dyDescent="0.25">
      <c r="A2436" t="s">
        <v>8173</v>
      </c>
      <c r="B2436" t="s">
        <v>4873</v>
      </c>
      <c r="C2436" s="3" t="s">
        <v>4874</v>
      </c>
      <c r="D2436" s="24">
        <v>0.680585</v>
      </c>
      <c r="E2436" s="25">
        <v>10.44</v>
      </c>
      <c r="F2436" s="25">
        <v>10.49</v>
      </c>
      <c r="G2436" s="26">
        <v>-5.4980000000000001E-2</v>
      </c>
      <c r="H2436" s="27">
        <v>0.12720000000000001</v>
      </c>
      <c r="I2436" s="26">
        <v>0.43240000000000001</v>
      </c>
      <c r="J2436" s="28">
        <v>6</v>
      </c>
      <c r="K2436" s="27">
        <v>0.77039100000000005</v>
      </c>
      <c r="L2436" s="29">
        <f t="shared" si="152"/>
        <v>0.11328879944682432</v>
      </c>
      <c r="M2436" s="29">
        <f t="shared" si="153"/>
        <v>-5.0000000000000586E-2</v>
      </c>
      <c r="N2436" s="30">
        <f t="shared" si="154"/>
        <v>0.16711762692551127</v>
      </c>
      <c r="O2436" s="31">
        <f t="shared" si="155"/>
        <v>0.96593632892484516</v>
      </c>
    </row>
    <row r="2437" spans="1:15" x14ac:dyDescent="0.25">
      <c r="A2437" t="s">
        <v>8174</v>
      </c>
      <c r="B2437" t="s">
        <v>4875</v>
      </c>
      <c r="C2437" s="3" t="s">
        <v>4876</v>
      </c>
      <c r="D2437" s="24">
        <v>0.68093199999999998</v>
      </c>
      <c r="E2437" s="25">
        <v>6.7290000000000001</v>
      </c>
      <c r="F2437" s="25">
        <v>6.8289999999999997</v>
      </c>
      <c r="G2437" s="26">
        <v>-0.1004</v>
      </c>
      <c r="H2437" s="27">
        <v>0.23250000000000001</v>
      </c>
      <c r="I2437" s="26">
        <v>0.43190000000000001</v>
      </c>
      <c r="J2437" s="28">
        <v>6</v>
      </c>
      <c r="K2437" s="27">
        <v>0.77039100000000005</v>
      </c>
      <c r="L2437" s="29">
        <f t="shared" si="152"/>
        <v>0.11328879944682432</v>
      </c>
      <c r="M2437" s="29">
        <f t="shared" si="153"/>
        <v>-9.9999999999998632E-2</v>
      </c>
      <c r="N2437" s="30">
        <f t="shared" si="154"/>
        <v>0.16689625592759741</v>
      </c>
      <c r="O2437" s="31">
        <f t="shared" si="155"/>
        <v>0.9330329915368083</v>
      </c>
    </row>
    <row r="2438" spans="1:15" x14ac:dyDescent="0.25">
      <c r="A2438" t="s">
        <v>8175</v>
      </c>
      <c r="B2438" t="s">
        <v>4877</v>
      </c>
      <c r="C2438" s="3" t="s">
        <v>4878</v>
      </c>
      <c r="D2438" s="24">
        <v>0.68117499999999997</v>
      </c>
      <c r="E2438" s="25">
        <v>7.0979999999999999</v>
      </c>
      <c r="F2438" s="25">
        <v>7.2709999999999999</v>
      </c>
      <c r="G2438" s="26">
        <v>-0.1729</v>
      </c>
      <c r="H2438" s="27">
        <v>0.40079999999999999</v>
      </c>
      <c r="I2438" s="26">
        <v>0.43149999999999999</v>
      </c>
      <c r="J2438" s="28">
        <v>6</v>
      </c>
      <c r="K2438" s="27">
        <v>0.77039100000000005</v>
      </c>
      <c r="L2438" s="29">
        <f t="shared" si="152"/>
        <v>0.11328879944682432</v>
      </c>
      <c r="M2438" s="29">
        <f t="shared" si="153"/>
        <v>-0.17300000000000029</v>
      </c>
      <c r="N2438" s="30">
        <f t="shared" si="154"/>
        <v>0.16674129958390035</v>
      </c>
      <c r="O2438" s="31">
        <f t="shared" si="155"/>
        <v>0.88699630515214978</v>
      </c>
    </row>
    <row r="2439" spans="1:15" x14ac:dyDescent="0.25">
      <c r="A2439" t="s">
        <v>8176</v>
      </c>
      <c r="B2439" t="s">
        <v>4879</v>
      </c>
      <c r="C2439" s="3" t="s">
        <v>4880</v>
      </c>
      <c r="D2439" s="24">
        <v>0.68132800000000004</v>
      </c>
      <c r="E2439" s="25">
        <v>10.82</v>
      </c>
      <c r="F2439" s="25">
        <v>10.97</v>
      </c>
      <c r="G2439" s="26">
        <v>-0.1507</v>
      </c>
      <c r="H2439" s="27">
        <v>0.34949999999999998</v>
      </c>
      <c r="I2439" s="26">
        <v>0.43130000000000002</v>
      </c>
      <c r="J2439" s="28">
        <v>6</v>
      </c>
      <c r="K2439" s="27">
        <v>0.77039100000000005</v>
      </c>
      <c r="L2439" s="29">
        <f t="shared" si="152"/>
        <v>0.11328879944682432</v>
      </c>
      <c r="M2439" s="29">
        <f t="shared" si="153"/>
        <v>-0.15000000000000063</v>
      </c>
      <c r="N2439" s="30">
        <f t="shared" si="154"/>
        <v>0.16664376283570895</v>
      </c>
      <c r="O2439" s="31">
        <f t="shared" si="155"/>
        <v>0.90125046261082986</v>
      </c>
    </row>
    <row r="2440" spans="1:15" x14ac:dyDescent="0.25">
      <c r="A2440" t="s">
        <v>8177</v>
      </c>
      <c r="B2440" t="s">
        <v>4881</v>
      </c>
      <c r="C2440" s="3" t="s">
        <v>4882</v>
      </c>
      <c r="D2440" s="24">
        <v>0.68452400000000002</v>
      </c>
      <c r="E2440" s="25">
        <v>10.75</v>
      </c>
      <c r="F2440" s="25">
        <v>10.71</v>
      </c>
      <c r="G2440" s="26">
        <v>4.0719999999999999E-2</v>
      </c>
      <c r="H2440" s="27">
        <v>9.5439999999999997E-2</v>
      </c>
      <c r="I2440" s="26">
        <v>0.42659999999999998</v>
      </c>
      <c r="J2440" s="28">
        <v>6</v>
      </c>
      <c r="K2440" s="27">
        <v>0.77368800000000004</v>
      </c>
      <c r="L2440" s="29">
        <f t="shared" si="152"/>
        <v>0.11143413905321613</v>
      </c>
      <c r="M2440" s="29">
        <f t="shared" si="153"/>
        <v>3.99999999999988E-2</v>
      </c>
      <c r="N2440" s="30">
        <f t="shared" si="154"/>
        <v>0.16461132052510777</v>
      </c>
      <c r="O2440" s="31">
        <f t="shared" si="155"/>
        <v>1.0281138266560657</v>
      </c>
    </row>
    <row r="2441" spans="1:15" x14ac:dyDescent="0.25">
      <c r="A2441" t="s">
        <v>8178</v>
      </c>
      <c r="B2441" t="s">
        <v>4883</v>
      </c>
      <c r="C2441" s="3" t="s">
        <v>4884</v>
      </c>
      <c r="D2441" s="24">
        <v>0.68581199999999998</v>
      </c>
      <c r="E2441" s="25">
        <v>10.8</v>
      </c>
      <c r="F2441" s="25">
        <v>10.83</v>
      </c>
      <c r="G2441" s="26">
        <v>-3.2219999999999999E-2</v>
      </c>
      <c r="H2441" s="27">
        <v>7.5859999999999997E-2</v>
      </c>
      <c r="I2441" s="26">
        <v>0.42480000000000001</v>
      </c>
      <c r="J2441" s="28">
        <v>6</v>
      </c>
      <c r="K2441" s="27">
        <v>0.77482700000000004</v>
      </c>
      <c r="L2441" s="29">
        <f t="shared" si="152"/>
        <v>0.11079525405165561</v>
      </c>
      <c r="M2441" s="29">
        <f t="shared" si="153"/>
        <v>-2.9999999999999725E-2</v>
      </c>
      <c r="N2441" s="30">
        <f t="shared" si="154"/>
        <v>0.16379492008402571</v>
      </c>
      <c r="O2441" s="31">
        <f t="shared" si="155"/>
        <v>0.97942029758692706</v>
      </c>
    </row>
    <row r="2442" spans="1:15" x14ac:dyDescent="0.25">
      <c r="A2442" t="s">
        <v>8179</v>
      </c>
      <c r="B2442" t="s">
        <v>4885</v>
      </c>
      <c r="C2442" s="3" t="s">
        <v>4886</v>
      </c>
      <c r="D2442" s="24">
        <v>0.68677999999999995</v>
      </c>
      <c r="E2442" s="25">
        <v>9.0410000000000004</v>
      </c>
      <c r="F2442" s="25">
        <v>8.9920000000000009</v>
      </c>
      <c r="G2442" s="26">
        <v>4.9000000000000002E-2</v>
      </c>
      <c r="H2442" s="27">
        <v>0.1157</v>
      </c>
      <c r="I2442" s="26">
        <v>0.4234</v>
      </c>
      <c r="J2442" s="28">
        <v>6</v>
      </c>
      <c r="K2442" s="27">
        <v>0.77560300000000004</v>
      </c>
      <c r="L2442" s="29">
        <f t="shared" si="152"/>
        <v>0.11036051975717186</v>
      </c>
      <c r="M2442" s="29">
        <f t="shared" si="153"/>
        <v>4.9000000000000245E-2</v>
      </c>
      <c r="N2442" s="30">
        <f t="shared" si="154"/>
        <v>0.16318236059340052</v>
      </c>
      <c r="O2442" s="31">
        <f t="shared" si="155"/>
        <v>1.0345475815189094</v>
      </c>
    </row>
    <row r="2443" spans="1:15" x14ac:dyDescent="0.25">
      <c r="A2443" t="s">
        <v>8180</v>
      </c>
      <c r="B2443" t="s">
        <v>4889</v>
      </c>
      <c r="C2443" s="3" t="s">
        <v>4890</v>
      </c>
      <c r="D2443" s="24">
        <v>0.68756700000000004</v>
      </c>
      <c r="E2443" s="25">
        <v>8.0609999999999999</v>
      </c>
      <c r="F2443" s="25">
        <v>8.1280000000000001</v>
      </c>
      <c r="G2443" s="26">
        <v>-6.7059999999999995E-2</v>
      </c>
      <c r="H2443" s="27">
        <v>0.1588</v>
      </c>
      <c r="I2443" s="26">
        <v>0.42220000000000002</v>
      </c>
      <c r="J2443" s="28">
        <v>6</v>
      </c>
      <c r="K2443" s="27">
        <v>0.775648</v>
      </c>
      <c r="L2443" s="29">
        <f t="shared" si="152"/>
        <v>0.1103353229944415</v>
      </c>
      <c r="M2443" s="29">
        <f t="shared" si="153"/>
        <v>-6.7000000000000115E-2</v>
      </c>
      <c r="N2443" s="30">
        <f t="shared" si="154"/>
        <v>0.16268497558857012</v>
      </c>
      <c r="O2443" s="31">
        <f t="shared" si="155"/>
        <v>0.95462101413971678</v>
      </c>
    </row>
    <row r="2444" spans="1:15" x14ac:dyDescent="0.25">
      <c r="A2444" t="s">
        <v>8181</v>
      </c>
      <c r="B2444" t="s">
        <v>4887</v>
      </c>
      <c r="C2444" s="3" t="s">
        <v>4888</v>
      </c>
      <c r="D2444" s="24">
        <v>0.68718699999999999</v>
      </c>
      <c r="E2444" s="25">
        <v>9.8179999999999996</v>
      </c>
      <c r="F2444" s="25">
        <v>9.7040000000000006</v>
      </c>
      <c r="G2444" s="26">
        <v>0.114</v>
      </c>
      <c r="H2444" s="27">
        <v>0.26950000000000002</v>
      </c>
      <c r="I2444" s="26">
        <v>0.42280000000000001</v>
      </c>
      <c r="J2444" s="28">
        <v>6</v>
      </c>
      <c r="K2444" s="27">
        <v>0.775648</v>
      </c>
      <c r="L2444" s="29">
        <f t="shared" si="152"/>
        <v>0.1103353229944415</v>
      </c>
      <c r="M2444" s="29">
        <f t="shared" si="153"/>
        <v>0.11399999999999975</v>
      </c>
      <c r="N2444" s="30">
        <f t="shared" si="154"/>
        <v>0.16292506495339654</v>
      </c>
      <c r="O2444" s="31">
        <f t="shared" si="155"/>
        <v>1.0822246445257147</v>
      </c>
    </row>
    <row r="2445" spans="1:15" x14ac:dyDescent="0.25">
      <c r="A2445" t="s">
        <v>8182</v>
      </c>
      <c r="B2445" t="s">
        <v>4891</v>
      </c>
      <c r="C2445" s="3" t="s">
        <v>4892</v>
      </c>
      <c r="D2445" s="24">
        <v>0.68766099999999997</v>
      </c>
      <c r="E2445" s="25">
        <v>11.87</v>
      </c>
      <c r="F2445" s="25">
        <v>11.9</v>
      </c>
      <c r="G2445" s="26">
        <v>-3.0159999999999999E-2</v>
      </c>
      <c r="H2445" s="27">
        <v>7.1440000000000003E-2</v>
      </c>
      <c r="I2445" s="26">
        <v>0.42209999999999998</v>
      </c>
      <c r="J2445" s="28">
        <v>6</v>
      </c>
      <c r="K2445" s="27">
        <v>0.775648</v>
      </c>
      <c r="L2445" s="29">
        <f t="shared" si="152"/>
        <v>0.1103353229944415</v>
      </c>
      <c r="M2445" s="29">
        <f t="shared" si="153"/>
        <v>-3.0000000000002344E-2</v>
      </c>
      <c r="N2445" s="30">
        <f t="shared" si="154"/>
        <v>0.16262560553304123</v>
      </c>
      <c r="O2445" s="31">
        <f t="shared" si="155"/>
        <v>0.97942029758692528</v>
      </c>
    </row>
    <row r="2446" spans="1:15" x14ac:dyDescent="0.25">
      <c r="A2446" t="s">
        <v>8183</v>
      </c>
      <c r="B2446" t="s">
        <v>4893</v>
      </c>
      <c r="C2446" s="3" t="s">
        <v>4894</v>
      </c>
      <c r="D2446" s="24">
        <v>0.68976800000000005</v>
      </c>
      <c r="E2446" s="25">
        <v>7.2039999999999997</v>
      </c>
      <c r="F2446" s="25">
        <v>6.7930000000000001</v>
      </c>
      <c r="G2446" s="26">
        <v>0.41099999999999998</v>
      </c>
      <c r="H2446" s="27">
        <v>0.98070000000000002</v>
      </c>
      <c r="I2446" s="26">
        <v>0.41899999999999998</v>
      </c>
      <c r="J2446" s="28">
        <v>6</v>
      </c>
      <c r="K2446" s="27">
        <v>0.77713399999999999</v>
      </c>
      <c r="L2446" s="29">
        <f t="shared" si="152"/>
        <v>0.10950409002404002</v>
      </c>
      <c r="M2446" s="29">
        <f t="shared" si="153"/>
        <v>0.41099999999999937</v>
      </c>
      <c r="N2446" s="30">
        <f t="shared" si="154"/>
        <v>0.16129695746903888</v>
      </c>
      <c r="O2446" s="31">
        <f t="shared" si="155"/>
        <v>1.3296071081817142</v>
      </c>
    </row>
    <row r="2447" spans="1:15" x14ac:dyDescent="0.25">
      <c r="A2447" t="s">
        <v>8184</v>
      </c>
      <c r="B2447" t="s">
        <v>4899</v>
      </c>
      <c r="C2447" s="3" t="s">
        <v>4900</v>
      </c>
      <c r="D2447" s="24">
        <v>0.69010499999999997</v>
      </c>
      <c r="E2447" s="25">
        <v>8.7260000000000009</v>
      </c>
      <c r="F2447" s="25">
        <v>8.7929999999999993</v>
      </c>
      <c r="G2447" s="26">
        <v>-6.6439999999999999E-2</v>
      </c>
      <c r="H2447" s="27">
        <v>0.15870000000000001</v>
      </c>
      <c r="I2447" s="26">
        <v>0.41860000000000003</v>
      </c>
      <c r="J2447" s="28">
        <v>6</v>
      </c>
      <c r="K2447" s="27">
        <v>0.77713399999999999</v>
      </c>
      <c r="L2447" s="29">
        <f t="shared" si="152"/>
        <v>0.10950409002404002</v>
      </c>
      <c r="M2447" s="29">
        <f t="shared" si="153"/>
        <v>-6.6999999999998783E-2</v>
      </c>
      <c r="N2447" s="30">
        <f t="shared" si="154"/>
        <v>0.16108482599996712</v>
      </c>
      <c r="O2447" s="31">
        <f t="shared" si="155"/>
        <v>0.95462101413971767</v>
      </c>
    </row>
    <row r="2448" spans="1:15" x14ac:dyDescent="0.25">
      <c r="A2448" t="s">
        <v>8185</v>
      </c>
      <c r="B2448" t="s">
        <v>4897</v>
      </c>
      <c r="C2448" s="3" t="s">
        <v>4898</v>
      </c>
      <c r="D2448" s="24">
        <v>0.69003899999999996</v>
      </c>
      <c r="E2448" s="25">
        <v>9.1300000000000008</v>
      </c>
      <c r="F2448" s="25">
        <v>9.2349999999999994</v>
      </c>
      <c r="G2448" s="26">
        <v>-0.1055</v>
      </c>
      <c r="H2448" s="27">
        <v>0.25190000000000001</v>
      </c>
      <c r="I2448" s="26">
        <v>0.41870000000000002</v>
      </c>
      <c r="J2448" s="28">
        <v>6</v>
      </c>
      <c r="K2448" s="27">
        <v>0.77713399999999999</v>
      </c>
      <c r="L2448" s="29">
        <f t="shared" si="152"/>
        <v>0.10950409002404002</v>
      </c>
      <c r="M2448" s="29">
        <f t="shared" si="153"/>
        <v>-0.10499999999999815</v>
      </c>
      <c r="N2448" s="30">
        <f t="shared" si="154"/>
        <v>0.16112636287702845</v>
      </c>
      <c r="O2448" s="31">
        <f t="shared" si="155"/>
        <v>0.92980494261316304</v>
      </c>
    </row>
    <row r="2449" spans="1:15" x14ac:dyDescent="0.25">
      <c r="A2449" t="s">
        <v>8186</v>
      </c>
      <c r="B2449" t="s">
        <v>4895</v>
      </c>
      <c r="C2449" s="3" t="s">
        <v>4896</v>
      </c>
      <c r="D2449" s="24">
        <v>0.68994900000000003</v>
      </c>
      <c r="E2449" s="25">
        <v>13.67</v>
      </c>
      <c r="F2449" s="25">
        <v>13.76</v>
      </c>
      <c r="G2449" s="26">
        <v>-8.8950000000000001E-2</v>
      </c>
      <c r="H2449" s="27">
        <v>0.21240000000000001</v>
      </c>
      <c r="I2449" s="26">
        <v>0.41880000000000001</v>
      </c>
      <c r="J2449" s="28">
        <v>6</v>
      </c>
      <c r="K2449" s="27">
        <v>0.77713399999999999</v>
      </c>
      <c r="L2449" s="29">
        <f t="shared" si="152"/>
        <v>0.10950409002404002</v>
      </c>
      <c r="M2449" s="29">
        <f t="shared" si="153"/>
        <v>-8.9999999999999455E-2</v>
      </c>
      <c r="N2449" s="30">
        <f t="shared" si="154"/>
        <v>0.16118301047603173</v>
      </c>
      <c r="O2449" s="31">
        <f t="shared" si="155"/>
        <v>0.93952274921401213</v>
      </c>
    </row>
    <row r="2450" spans="1:15" x14ac:dyDescent="0.25">
      <c r="A2450" t="s">
        <v>8187</v>
      </c>
      <c r="B2450" t="s">
        <v>4901</v>
      </c>
      <c r="C2450" s="3" t="s">
        <v>4902</v>
      </c>
      <c r="D2450" s="24">
        <v>0.69044300000000003</v>
      </c>
      <c r="E2450" s="25">
        <v>7.1630000000000003</v>
      </c>
      <c r="F2450" s="25">
        <v>7.4630000000000001</v>
      </c>
      <c r="G2450" s="26">
        <v>-0.29920000000000002</v>
      </c>
      <c r="H2450" s="27">
        <v>0.71560000000000001</v>
      </c>
      <c r="I2450" s="26">
        <v>0.41810000000000003</v>
      </c>
      <c r="J2450" s="28">
        <v>6</v>
      </c>
      <c r="K2450" s="27">
        <v>0.77719800000000006</v>
      </c>
      <c r="L2450" s="29">
        <f t="shared" si="152"/>
        <v>0.10946832566114001</v>
      </c>
      <c r="M2450" s="29">
        <f t="shared" si="153"/>
        <v>-0.29999999999999871</v>
      </c>
      <c r="N2450" s="30">
        <f t="shared" si="154"/>
        <v>0.1608721690871813</v>
      </c>
      <c r="O2450" s="31">
        <f t="shared" si="155"/>
        <v>0.81225239635623625</v>
      </c>
    </row>
    <row r="2451" spans="1:15" x14ac:dyDescent="0.25">
      <c r="A2451" t="s">
        <v>8188</v>
      </c>
      <c r="B2451" t="s">
        <v>4903</v>
      </c>
      <c r="C2451" s="3" t="s">
        <v>4904</v>
      </c>
      <c r="D2451" s="24">
        <v>0.69300799999999996</v>
      </c>
      <c r="E2451" s="25">
        <v>10.15</v>
      </c>
      <c r="F2451" s="25">
        <v>10.23</v>
      </c>
      <c r="G2451" s="26">
        <v>-7.9259999999999997E-2</v>
      </c>
      <c r="H2451" s="27">
        <v>0.1913</v>
      </c>
      <c r="I2451" s="26">
        <v>0.41439999999999999</v>
      </c>
      <c r="J2451" s="28">
        <v>6</v>
      </c>
      <c r="K2451" s="27">
        <v>0.77976800000000002</v>
      </c>
      <c r="L2451" s="29">
        <f t="shared" si="152"/>
        <v>0.10803459129291273</v>
      </c>
      <c r="M2451" s="29">
        <f t="shared" si="153"/>
        <v>-7.9999999999999349E-2</v>
      </c>
      <c r="N2451" s="30">
        <f t="shared" si="154"/>
        <v>0.1592617519166184</v>
      </c>
      <c r="O2451" s="31">
        <f t="shared" si="155"/>
        <v>0.94605764672559634</v>
      </c>
    </row>
    <row r="2452" spans="1:15" x14ac:dyDescent="0.25">
      <c r="A2452" t="s">
        <v>8189</v>
      </c>
      <c r="B2452" t="s">
        <v>4905</v>
      </c>
      <c r="C2452" s="3" t="s">
        <v>4906</v>
      </c>
      <c r="D2452" s="24">
        <v>0.69384500000000005</v>
      </c>
      <c r="E2452" s="25">
        <v>9.11</v>
      </c>
      <c r="F2452" s="25">
        <v>9.1760000000000002</v>
      </c>
      <c r="G2452" s="26">
        <v>-6.5610000000000002E-2</v>
      </c>
      <c r="H2452" s="27">
        <v>0.1588</v>
      </c>
      <c r="I2452" s="26">
        <v>0.41320000000000001</v>
      </c>
      <c r="J2452" s="28">
        <v>6</v>
      </c>
      <c r="K2452" s="27">
        <v>0.78039199999999997</v>
      </c>
      <c r="L2452" s="29">
        <f t="shared" si="152"/>
        <v>0.10768719131963055</v>
      </c>
      <c r="M2452" s="29">
        <f t="shared" si="153"/>
        <v>-6.6000000000001044E-2</v>
      </c>
      <c r="N2452" s="30">
        <f t="shared" si="154"/>
        <v>0.15873753698470044</v>
      </c>
      <c r="O2452" s="31">
        <f t="shared" si="155"/>
        <v>0.95528293638243666</v>
      </c>
    </row>
    <row r="2453" spans="1:15" x14ac:dyDescent="0.25">
      <c r="A2453" t="s">
        <v>8190</v>
      </c>
      <c r="B2453" t="s">
        <v>4907</v>
      </c>
      <c r="C2453" s="3" t="s">
        <v>4908</v>
      </c>
      <c r="D2453" s="24">
        <v>0.69427099999999997</v>
      </c>
      <c r="E2453" s="25">
        <v>7.8449999999999998</v>
      </c>
      <c r="F2453" s="25">
        <v>7.7789999999999999</v>
      </c>
      <c r="G2453" s="26">
        <v>6.6379999999999995E-2</v>
      </c>
      <c r="H2453" s="27">
        <v>0.16089999999999999</v>
      </c>
      <c r="I2453" s="26">
        <v>0.41260000000000002</v>
      </c>
      <c r="J2453" s="28">
        <v>6</v>
      </c>
      <c r="K2453" s="27">
        <v>0.78055300000000005</v>
      </c>
      <c r="L2453" s="29">
        <f t="shared" si="152"/>
        <v>0.10759760275394194</v>
      </c>
      <c r="M2453" s="29">
        <f t="shared" si="153"/>
        <v>6.5999999999999878E-2</v>
      </c>
      <c r="N2453" s="30">
        <f t="shared" si="154"/>
        <v>0.15847097503296306</v>
      </c>
      <c r="O2453" s="31">
        <f t="shared" si="155"/>
        <v>1.0468102819745757</v>
      </c>
    </row>
    <row r="2454" spans="1:15" x14ac:dyDescent="0.25">
      <c r="A2454" t="s">
        <v>8191</v>
      </c>
      <c r="B2454" t="s">
        <v>4909</v>
      </c>
      <c r="C2454" s="3" t="s">
        <v>4910</v>
      </c>
      <c r="D2454" s="24">
        <v>0.69505099999999997</v>
      </c>
      <c r="E2454" s="25">
        <v>8.9060000000000006</v>
      </c>
      <c r="F2454" s="25">
        <v>8.9610000000000003</v>
      </c>
      <c r="G2454" s="26">
        <v>-5.4989999999999997E-2</v>
      </c>
      <c r="H2454" s="27">
        <v>0.13370000000000001</v>
      </c>
      <c r="I2454" s="26">
        <v>0.41139999999999999</v>
      </c>
      <c r="J2454" s="28">
        <v>6</v>
      </c>
      <c r="K2454" s="27">
        <v>0.78111299999999995</v>
      </c>
      <c r="L2454" s="29">
        <f t="shared" si="152"/>
        <v>0.10728613420651864</v>
      </c>
      <c r="M2454" s="29">
        <f t="shared" si="153"/>
        <v>-5.5000000000000208E-2</v>
      </c>
      <c r="N2454" s="30">
        <f t="shared" si="154"/>
        <v>0.15798332748764873</v>
      </c>
      <c r="O2454" s="31">
        <f t="shared" si="155"/>
        <v>0.96259444310175124</v>
      </c>
    </row>
    <row r="2455" spans="1:15" x14ac:dyDescent="0.25">
      <c r="A2455" t="s">
        <v>8192</v>
      </c>
      <c r="B2455" t="s">
        <v>4911</v>
      </c>
      <c r="C2455" s="3" t="s">
        <v>4912</v>
      </c>
      <c r="D2455" s="24">
        <v>0.69700899999999999</v>
      </c>
      <c r="E2455" s="25">
        <v>9.5440000000000005</v>
      </c>
      <c r="F2455" s="25">
        <v>9.4830000000000005</v>
      </c>
      <c r="G2455" s="26">
        <v>6.0659999999999999E-2</v>
      </c>
      <c r="H2455" s="27">
        <v>0.14849999999999999</v>
      </c>
      <c r="I2455" s="26">
        <v>0.40860000000000002</v>
      </c>
      <c r="J2455" s="28">
        <v>6</v>
      </c>
      <c r="K2455" s="27">
        <v>0.78299399999999997</v>
      </c>
      <c r="L2455" s="29">
        <f t="shared" si="152"/>
        <v>0.10624156588187174</v>
      </c>
      <c r="M2455" s="29">
        <f t="shared" si="153"/>
        <v>6.1000000000000235E-2</v>
      </c>
      <c r="N2455" s="30">
        <f t="shared" si="154"/>
        <v>0.15676161411848674</v>
      </c>
      <c r="O2455" s="31">
        <f t="shared" si="155"/>
        <v>1.0431885935298584</v>
      </c>
    </row>
    <row r="2456" spans="1:15" x14ac:dyDescent="0.25">
      <c r="A2456" t="s">
        <v>8193</v>
      </c>
      <c r="B2456" t="s">
        <v>4915</v>
      </c>
      <c r="C2456" s="3" t="s">
        <v>4916</v>
      </c>
      <c r="D2456" s="24">
        <v>0.70059300000000002</v>
      </c>
      <c r="E2456" s="25">
        <v>7.5830000000000002</v>
      </c>
      <c r="F2456" s="25">
        <v>7.6239999999999997</v>
      </c>
      <c r="G2456" s="26">
        <v>-4.0250000000000001E-2</v>
      </c>
      <c r="H2456" s="27">
        <v>9.9760000000000001E-2</v>
      </c>
      <c r="I2456" s="26">
        <v>0.40350000000000003</v>
      </c>
      <c r="J2456" s="28">
        <v>6</v>
      </c>
      <c r="K2456" s="27">
        <v>0.78605999999999998</v>
      </c>
      <c r="L2456" s="29">
        <f t="shared" si="152"/>
        <v>0.10454430297535383</v>
      </c>
      <c r="M2456" s="29">
        <f t="shared" si="153"/>
        <v>-4.0999999999999252E-2</v>
      </c>
      <c r="N2456" s="30">
        <f t="shared" si="154"/>
        <v>0.15453420626548697</v>
      </c>
      <c r="O2456" s="31">
        <f t="shared" si="155"/>
        <v>0.97198098798135302</v>
      </c>
    </row>
    <row r="2457" spans="1:15" x14ac:dyDescent="0.25">
      <c r="A2457" t="s">
        <v>8194</v>
      </c>
      <c r="B2457" t="s">
        <v>4919</v>
      </c>
      <c r="C2457" s="3" t="s">
        <v>4920</v>
      </c>
      <c r="D2457" s="24">
        <v>0.70087600000000005</v>
      </c>
      <c r="E2457" s="25">
        <v>7.8760000000000003</v>
      </c>
      <c r="F2457" s="25">
        <v>7.9939999999999998</v>
      </c>
      <c r="G2457" s="26">
        <v>-0.1183</v>
      </c>
      <c r="H2457" s="27">
        <v>0.29360000000000003</v>
      </c>
      <c r="I2457" s="26">
        <v>0.40310000000000001</v>
      </c>
      <c r="J2457" s="28">
        <v>6</v>
      </c>
      <c r="K2457" s="27">
        <v>0.78605999999999998</v>
      </c>
      <c r="L2457" s="29">
        <f t="shared" si="152"/>
        <v>0.10454430297535383</v>
      </c>
      <c r="M2457" s="29">
        <f t="shared" si="153"/>
        <v>-0.11800000000000015</v>
      </c>
      <c r="N2457" s="30">
        <f t="shared" si="154"/>
        <v>0.15435881124776032</v>
      </c>
      <c r="O2457" s="31">
        <f t="shared" si="155"/>
        <v>0.92146418619870385</v>
      </c>
    </row>
    <row r="2458" spans="1:15" x14ac:dyDescent="0.25">
      <c r="A2458" t="s">
        <v>8195</v>
      </c>
      <c r="B2458" t="s">
        <v>4913</v>
      </c>
      <c r="C2458" s="3" t="s">
        <v>4914</v>
      </c>
      <c r="D2458" s="24">
        <v>0.70057599999999998</v>
      </c>
      <c r="E2458" s="25">
        <v>8.6319999999999997</v>
      </c>
      <c r="F2458" s="25">
        <v>8.5410000000000004</v>
      </c>
      <c r="G2458" s="26">
        <v>9.1380000000000003E-2</v>
      </c>
      <c r="H2458" s="27">
        <v>0.22650000000000001</v>
      </c>
      <c r="I2458" s="26">
        <v>0.40350000000000003</v>
      </c>
      <c r="J2458" s="28">
        <v>6</v>
      </c>
      <c r="K2458" s="27">
        <v>0.78605999999999998</v>
      </c>
      <c r="L2458" s="29">
        <f t="shared" si="152"/>
        <v>0.10454430297535383</v>
      </c>
      <c r="M2458" s="29">
        <f t="shared" si="153"/>
        <v>9.0999999999998665E-2</v>
      </c>
      <c r="N2458" s="30">
        <f t="shared" si="154"/>
        <v>0.15454474461766679</v>
      </c>
      <c r="O2458" s="31">
        <f t="shared" si="155"/>
        <v>1.0651082033934167</v>
      </c>
    </row>
    <row r="2459" spans="1:15" x14ac:dyDescent="0.25">
      <c r="A2459" t="s">
        <v>8196</v>
      </c>
      <c r="B2459" t="s">
        <v>4917</v>
      </c>
      <c r="C2459" s="3" t="s">
        <v>4918</v>
      </c>
      <c r="D2459" s="24">
        <v>0.70073600000000003</v>
      </c>
      <c r="E2459" s="25">
        <v>8.3140000000000001</v>
      </c>
      <c r="F2459" s="25">
        <v>8.3840000000000003</v>
      </c>
      <c r="G2459" s="26">
        <v>-7.0260000000000003E-2</v>
      </c>
      <c r="H2459" s="27">
        <v>0.17419999999999999</v>
      </c>
      <c r="I2459" s="26">
        <v>0.40329999999999999</v>
      </c>
      <c r="J2459" s="28">
        <v>6</v>
      </c>
      <c r="K2459" s="27">
        <v>0.78605999999999998</v>
      </c>
      <c r="L2459" s="29">
        <f t="shared" si="152"/>
        <v>0.10454430297535383</v>
      </c>
      <c r="M2459" s="29">
        <f t="shared" si="153"/>
        <v>-7.0000000000000076E-2</v>
      </c>
      <c r="N2459" s="30">
        <f t="shared" si="154"/>
        <v>0.15444557024763858</v>
      </c>
      <c r="O2459" s="31">
        <f t="shared" si="155"/>
        <v>0.95263799804393734</v>
      </c>
    </row>
    <row r="2460" spans="1:15" x14ac:dyDescent="0.25">
      <c r="A2460" t="s">
        <v>8197</v>
      </c>
      <c r="B2460" t="s">
        <v>4921</v>
      </c>
      <c r="C2460" s="3" t="s">
        <v>4922</v>
      </c>
      <c r="D2460" s="24">
        <v>0.703793</v>
      </c>
      <c r="E2460" s="25">
        <v>13.93</v>
      </c>
      <c r="F2460" s="25">
        <v>14.01</v>
      </c>
      <c r="G2460" s="26">
        <v>-7.8340000000000007E-2</v>
      </c>
      <c r="H2460" s="27">
        <v>0.19639999999999999</v>
      </c>
      <c r="I2460" s="26">
        <v>0.39889999999999998</v>
      </c>
      <c r="J2460" s="28">
        <v>6</v>
      </c>
      <c r="K2460" s="27">
        <v>0.78869500000000003</v>
      </c>
      <c r="L2460" s="29">
        <f t="shared" si="152"/>
        <v>0.10309091241258597</v>
      </c>
      <c r="M2460" s="29">
        <f t="shared" si="153"/>
        <v>-7.9999999999997823E-2</v>
      </c>
      <c r="N2460" s="30">
        <f t="shared" si="154"/>
        <v>0.15255505701843389</v>
      </c>
      <c r="O2460" s="31">
        <f t="shared" si="155"/>
        <v>0.94605764672559733</v>
      </c>
    </row>
    <row r="2461" spans="1:15" x14ac:dyDescent="0.25">
      <c r="A2461" t="s">
        <v>8198</v>
      </c>
      <c r="B2461" t="s">
        <v>4923</v>
      </c>
      <c r="C2461" s="3" t="s">
        <v>4924</v>
      </c>
      <c r="D2461" s="24">
        <v>0.70404</v>
      </c>
      <c r="E2461" s="25">
        <v>9.2240000000000002</v>
      </c>
      <c r="F2461" s="25">
        <v>9.2629999999999999</v>
      </c>
      <c r="G2461" s="26">
        <v>-3.8600000000000002E-2</v>
      </c>
      <c r="H2461" s="27">
        <v>9.6869999999999998E-2</v>
      </c>
      <c r="I2461" s="26">
        <v>0.39850000000000002</v>
      </c>
      <c r="J2461" s="28">
        <v>6</v>
      </c>
      <c r="K2461" s="27">
        <v>0.78869500000000003</v>
      </c>
      <c r="L2461" s="29">
        <f t="shared" si="152"/>
        <v>0.10309091241258597</v>
      </c>
      <c r="M2461" s="29">
        <f t="shared" si="153"/>
        <v>-3.899999999999975E-2</v>
      </c>
      <c r="N2461" s="30">
        <f t="shared" si="154"/>
        <v>0.1524026657360435</v>
      </c>
      <c r="O2461" s="31">
        <f t="shared" si="155"/>
        <v>0.97332937415823839</v>
      </c>
    </row>
    <row r="2462" spans="1:15" x14ac:dyDescent="0.25">
      <c r="A2462" t="s">
        <v>8199</v>
      </c>
      <c r="B2462" t="s">
        <v>4925</v>
      </c>
      <c r="C2462" s="3" t="s">
        <v>4926</v>
      </c>
      <c r="D2462" s="24">
        <v>0.70408199999999999</v>
      </c>
      <c r="E2462" s="25">
        <v>10.58</v>
      </c>
      <c r="F2462" s="25">
        <v>10.62</v>
      </c>
      <c r="G2462" s="26">
        <v>-4.0869999999999997E-2</v>
      </c>
      <c r="H2462" s="27">
        <v>0.1026</v>
      </c>
      <c r="I2462" s="26">
        <v>0.39850000000000002</v>
      </c>
      <c r="J2462" s="28">
        <v>6</v>
      </c>
      <c r="K2462" s="27">
        <v>0.78869500000000003</v>
      </c>
      <c r="L2462" s="29">
        <f t="shared" si="152"/>
        <v>0.10309091241258597</v>
      </c>
      <c r="M2462" s="29">
        <f t="shared" si="153"/>
        <v>-3.9999999999999161E-2</v>
      </c>
      <c r="N2462" s="30">
        <f t="shared" si="154"/>
        <v>0.15237675836687331</v>
      </c>
      <c r="O2462" s="31">
        <f t="shared" si="155"/>
        <v>0.97265494741228609</v>
      </c>
    </row>
    <row r="2463" spans="1:15" x14ac:dyDescent="0.25">
      <c r="A2463" t="s">
        <v>8200</v>
      </c>
      <c r="B2463" t="s">
        <v>4927</v>
      </c>
      <c r="C2463" s="3" t="s">
        <v>4928</v>
      </c>
      <c r="D2463" s="24">
        <v>0.70548599999999995</v>
      </c>
      <c r="E2463" s="25">
        <v>9.9009999999999998</v>
      </c>
      <c r="F2463" s="25">
        <v>9.9329999999999998</v>
      </c>
      <c r="G2463" s="26">
        <v>-3.2289999999999999E-2</v>
      </c>
      <c r="H2463" s="27">
        <v>8.1449999999999995E-2</v>
      </c>
      <c r="I2463" s="26">
        <v>0.39650000000000002</v>
      </c>
      <c r="J2463" s="28">
        <v>6</v>
      </c>
      <c r="K2463" s="27">
        <v>0.78994699999999995</v>
      </c>
      <c r="L2463" s="29">
        <f t="shared" si="152"/>
        <v>0.1024020458990333</v>
      </c>
      <c r="M2463" s="29">
        <f t="shared" si="153"/>
        <v>-3.2000000000000681E-2</v>
      </c>
      <c r="N2463" s="30">
        <f t="shared" si="154"/>
        <v>0.15151160017054716</v>
      </c>
      <c r="O2463" s="31">
        <f t="shared" si="155"/>
        <v>0.9780634734473389</v>
      </c>
    </row>
    <row r="2464" spans="1:15" x14ac:dyDescent="0.25">
      <c r="A2464" t="s">
        <v>8201</v>
      </c>
      <c r="B2464" t="s">
        <v>4929</v>
      </c>
      <c r="C2464" s="3" t="s">
        <v>4930</v>
      </c>
      <c r="D2464" s="24">
        <v>0.70699900000000004</v>
      </c>
      <c r="E2464" s="25">
        <v>7.8789999999999996</v>
      </c>
      <c r="F2464" s="25">
        <v>8.07</v>
      </c>
      <c r="G2464" s="26">
        <v>-0.19059999999999999</v>
      </c>
      <c r="H2464" s="27">
        <v>0.48330000000000001</v>
      </c>
      <c r="I2464" s="26">
        <v>0.39429999999999998</v>
      </c>
      <c r="J2464" s="28">
        <v>6</v>
      </c>
      <c r="K2464" s="27">
        <v>0.79132000000000002</v>
      </c>
      <c r="L2464" s="29">
        <f t="shared" si="152"/>
        <v>0.10164785767717596</v>
      </c>
      <c r="M2464" s="29">
        <f t="shared" si="153"/>
        <v>-0.19100000000000003</v>
      </c>
      <c r="N2464" s="30">
        <f t="shared" si="154"/>
        <v>0.15058120048144433</v>
      </c>
      <c r="O2464" s="31">
        <f t="shared" si="155"/>
        <v>0.87599831506712578</v>
      </c>
    </row>
    <row r="2465" spans="1:15" x14ac:dyDescent="0.25">
      <c r="A2465" t="s">
        <v>8202</v>
      </c>
      <c r="B2465" t="s">
        <v>4937</v>
      </c>
      <c r="C2465" s="3" t="s">
        <v>4938</v>
      </c>
      <c r="D2465" s="24">
        <v>0.70928599999999997</v>
      </c>
      <c r="E2465" s="25">
        <v>7.28</v>
      </c>
      <c r="F2465" s="25">
        <v>7.383</v>
      </c>
      <c r="G2465" s="26">
        <v>-0.1023</v>
      </c>
      <c r="H2465" s="27">
        <v>0.26169999999999999</v>
      </c>
      <c r="I2465" s="26">
        <v>0.39100000000000001</v>
      </c>
      <c r="J2465" s="28">
        <v>6</v>
      </c>
      <c r="K2465" s="27">
        <v>0.79259599999999997</v>
      </c>
      <c r="L2465" s="29">
        <f t="shared" si="152"/>
        <v>0.1009481237534203</v>
      </c>
      <c r="M2465" s="29">
        <f t="shared" si="153"/>
        <v>-0.10300000000000002</v>
      </c>
      <c r="N2465" s="30">
        <f t="shared" si="154"/>
        <v>0.14917861224050261</v>
      </c>
      <c r="O2465" s="31">
        <f t="shared" si="155"/>
        <v>0.93109481983022901</v>
      </c>
    </row>
    <row r="2466" spans="1:15" x14ac:dyDescent="0.25">
      <c r="A2466" t="s">
        <v>8203</v>
      </c>
      <c r="B2466" t="s">
        <v>4931</v>
      </c>
      <c r="C2466" s="3" t="s">
        <v>4932</v>
      </c>
      <c r="D2466" s="24">
        <v>0.70897399999999999</v>
      </c>
      <c r="E2466" s="25">
        <v>8.5830000000000002</v>
      </c>
      <c r="F2466" s="25">
        <v>8.5470000000000006</v>
      </c>
      <c r="G2466" s="26">
        <v>3.6389999999999999E-2</v>
      </c>
      <c r="H2466" s="27">
        <v>9.2950000000000005E-2</v>
      </c>
      <c r="I2466" s="26">
        <v>0.39150000000000001</v>
      </c>
      <c r="J2466" s="28">
        <v>6</v>
      </c>
      <c r="K2466" s="27">
        <v>0.79259599999999997</v>
      </c>
      <c r="L2466" s="29">
        <f t="shared" si="152"/>
        <v>0.1009481237534203</v>
      </c>
      <c r="M2466" s="29">
        <f t="shared" si="153"/>
        <v>3.5999999999999699E-2</v>
      </c>
      <c r="N2466" s="30">
        <f t="shared" si="154"/>
        <v>0.14936969128177802</v>
      </c>
      <c r="O2466" s="31">
        <f t="shared" si="155"/>
        <v>1.0252672378885936</v>
      </c>
    </row>
    <row r="2467" spans="1:15" x14ac:dyDescent="0.25">
      <c r="A2467" t="s">
        <v>8204</v>
      </c>
      <c r="B2467" t="s">
        <v>4933</v>
      </c>
      <c r="C2467" s="3" t="s">
        <v>4934</v>
      </c>
      <c r="D2467" s="24">
        <v>0.709117</v>
      </c>
      <c r="E2467" s="25">
        <v>7.6310000000000002</v>
      </c>
      <c r="F2467" s="25">
        <v>7.673</v>
      </c>
      <c r="G2467" s="26">
        <v>-4.2410000000000003E-2</v>
      </c>
      <c r="H2467" s="27">
        <v>0.1084</v>
      </c>
      <c r="I2467" s="26">
        <v>0.39129999999999998</v>
      </c>
      <c r="J2467" s="28">
        <v>6</v>
      </c>
      <c r="K2467" s="27">
        <v>0.79259599999999997</v>
      </c>
      <c r="L2467" s="29">
        <f t="shared" si="152"/>
        <v>0.1009481237534203</v>
      </c>
      <c r="M2467" s="29">
        <f t="shared" si="153"/>
        <v>-4.2000000000000051E-2</v>
      </c>
      <c r="N2467" s="30">
        <f t="shared" si="154"/>
        <v>0.14928210295194208</v>
      </c>
      <c r="O2467" s="31">
        <f t="shared" si="155"/>
        <v>0.97130749554163331</v>
      </c>
    </row>
    <row r="2468" spans="1:15" x14ac:dyDescent="0.25">
      <c r="A2468" t="s">
        <v>8205</v>
      </c>
      <c r="B2468" t="s">
        <v>4935</v>
      </c>
      <c r="C2468" s="3" t="s">
        <v>4936</v>
      </c>
      <c r="D2468" s="24">
        <v>0.70913400000000004</v>
      </c>
      <c r="E2468" s="25">
        <v>10.53</v>
      </c>
      <c r="F2468" s="25">
        <v>10.5</v>
      </c>
      <c r="G2468" s="26">
        <v>2.6589999999999999E-2</v>
      </c>
      <c r="H2468" s="27">
        <v>6.7960000000000007E-2</v>
      </c>
      <c r="I2468" s="26">
        <v>0.39119999999999999</v>
      </c>
      <c r="J2468" s="28">
        <v>6</v>
      </c>
      <c r="K2468" s="27">
        <v>0.79259599999999997</v>
      </c>
      <c r="L2468" s="29">
        <f t="shared" si="152"/>
        <v>0.1009481237534203</v>
      </c>
      <c r="M2468" s="29">
        <f t="shared" si="153"/>
        <v>2.9999999999998576E-2</v>
      </c>
      <c r="N2468" s="30">
        <f t="shared" si="154"/>
        <v>0.14927169152802244</v>
      </c>
      <c r="O2468" s="31">
        <f t="shared" si="155"/>
        <v>1.0210121257071922</v>
      </c>
    </row>
    <row r="2469" spans="1:15" x14ac:dyDescent="0.25">
      <c r="A2469" t="s">
        <v>8206</v>
      </c>
      <c r="B2469" t="s">
        <v>4941</v>
      </c>
      <c r="C2469" s="3" t="s">
        <v>4942</v>
      </c>
      <c r="D2469" s="24">
        <v>0.71193600000000001</v>
      </c>
      <c r="E2469" s="25">
        <v>9.0860000000000003</v>
      </c>
      <c r="F2469" s="25">
        <v>9.0129999999999999</v>
      </c>
      <c r="G2469" s="26">
        <v>7.3090000000000002E-2</v>
      </c>
      <c r="H2469" s="27">
        <v>0.18870000000000001</v>
      </c>
      <c r="I2469" s="26">
        <v>0.38719999999999999</v>
      </c>
      <c r="J2469" s="28">
        <v>6</v>
      </c>
      <c r="K2469" s="27">
        <v>0.79491299999999998</v>
      </c>
      <c r="L2469" s="29">
        <f t="shared" si="152"/>
        <v>9.9680400510173794E-2</v>
      </c>
      <c r="M2469" s="29">
        <f t="shared" si="153"/>
        <v>7.299999999999994E-2</v>
      </c>
      <c r="N2469" s="30">
        <f t="shared" si="154"/>
        <v>0.1475590458239909</v>
      </c>
      <c r="O2469" s="31">
        <f t="shared" si="155"/>
        <v>1.0519017792038723</v>
      </c>
    </row>
    <row r="2470" spans="1:15" x14ac:dyDescent="0.25">
      <c r="A2470" t="s">
        <v>8207</v>
      </c>
      <c r="B2470" t="s">
        <v>4939</v>
      </c>
      <c r="C2470" s="3" t="s">
        <v>4940</v>
      </c>
      <c r="D2470" s="24">
        <v>0.71186899999999997</v>
      </c>
      <c r="E2470" s="25">
        <v>9.4250000000000007</v>
      </c>
      <c r="F2470" s="25">
        <v>9.5500000000000007</v>
      </c>
      <c r="G2470" s="26">
        <v>-0.125</v>
      </c>
      <c r="H2470" s="27">
        <v>0.3226</v>
      </c>
      <c r="I2470" s="26">
        <v>0.38729999999999998</v>
      </c>
      <c r="J2470" s="28">
        <v>6</v>
      </c>
      <c r="K2470" s="27">
        <v>0.79491299999999998</v>
      </c>
      <c r="L2470" s="29">
        <f t="shared" si="152"/>
        <v>9.9680400510173794E-2</v>
      </c>
      <c r="M2470" s="29">
        <f t="shared" si="153"/>
        <v>-0.12500000000000039</v>
      </c>
      <c r="N2470" s="30">
        <f t="shared" si="154"/>
        <v>0.14759991901984149</v>
      </c>
      <c r="O2470" s="31">
        <f t="shared" si="155"/>
        <v>0.91700404320467099</v>
      </c>
    </row>
    <row r="2471" spans="1:15" x14ac:dyDescent="0.25">
      <c r="A2471" t="s">
        <v>8208</v>
      </c>
      <c r="B2471" t="s">
        <v>4945</v>
      </c>
      <c r="C2471" s="3" t="s">
        <v>4946</v>
      </c>
      <c r="D2471" s="24">
        <v>0.713314</v>
      </c>
      <c r="E2471" s="25">
        <v>9.7929999999999993</v>
      </c>
      <c r="F2471" s="25">
        <v>9.7200000000000006</v>
      </c>
      <c r="G2471" s="26">
        <v>7.2050000000000003E-2</v>
      </c>
      <c r="H2471" s="27">
        <v>0.187</v>
      </c>
      <c r="I2471" s="26">
        <v>0.38529999999999998</v>
      </c>
      <c r="J2471" s="28">
        <v>6</v>
      </c>
      <c r="K2471" s="27">
        <v>0.79547599999999996</v>
      </c>
      <c r="L2471" s="29">
        <f t="shared" si="152"/>
        <v>9.9372918751276837E-2</v>
      </c>
      <c r="M2471" s="29">
        <f t="shared" si="153"/>
        <v>7.2999999999998719E-2</v>
      </c>
      <c r="N2471" s="30">
        <f t="shared" si="154"/>
        <v>0.14671925212809023</v>
      </c>
      <c r="O2471" s="31">
        <f t="shared" si="155"/>
        <v>1.0519017792038714</v>
      </c>
    </row>
    <row r="2472" spans="1:15" x14ac:dyDescent="0.25">
      <c r="A2472" t="s">
        <v>8209</v>
      </c>
      <c r="B2472" t="s">
        <v>4947</v>
      </c>
      <c r="C2472" s="3" t="s">
        <v>4948</v>
      </c>
      <c r="D2472" s="24">
        <v>0.71338900000000005</v>
      </c>
      <c r="E2472" s="25">
        <v>13.45</v>
      </c>
      <c r="F2472" s="25">
        <v>13.5</v>
      </c>
      <c r="G2472" s="26">
        <v>-4.496E-2</v>
      </c>
      <c r="H2472" s="27">
        <v>0.1167</v>
      </c>
      <c r="I2472" s="26">
        <v>0.38519999999999999</v>
      </c>
      <c r="J2472" s="28">
        <v>6</v>
      </c>
      <c r="K2472" s="27">
        <v>0.79547599999999996</v>
      </c>
      <c r="L2472" s="29">
        <f t="shared" si="152"/>
        <v>9.9372918751276837E-2</v>
      </c>
      <c r="M2472" s="29">
        <f t="shared" si="153"/>
        <v>-5.0000000000000586E-2</v>
      </c>
      <c r="N2472" s="30">
        <f t="shared" si="154"/>
        <v>0.14667359148789705</v>
      </c>
      <c r="O2472" s="31">
        <f t="shared" si="155"/>
        <v>0.96593632892484516</v>
      </c>
    </row>
    <row r="2473" spans="1:15" x14ac:dyDescent="0.25">
      <c r="A2473" t="s">
        <v>8210</v>
      </c>
      <c r="B2473" t="s">
        <v>4943</v>
      </c>
      <c r="C2473" s="3" t="s">
        <v>4944</v>
      </c>
      <c r="D2473" s="24">
        <v>0.71329200000000004</v>
      </c>
      <c r="E2473" s="25">
        <v>9.1259999999999994</v>
      </c>
      <c r="F2473" s="25">
        <v>9.1980000000000004</v>
      </c>
      <c r="G2473" s="26">
        <v>-7.2580000000000006E-2</v>
      </c>
      <c r="H2473" s="27">
        <v>0.18840000000000001</v>
      </c>
      <c r="I2473" s="26">
        <v>0.38529999999999998</v>
      </c>
      <c r="J2473" s="28">
        <v>6</v>
      </c>
      <c r="K2473" s="27">
        <v>0.79547599999999996</v>
      </c>
      <c r="L2473" s="29">
        <f t="shared" si="152"/>
        <v>9.9372918751276837E-2</v>
      </c>
      <c r="M2473" s="29">
        <f t="shared" si="153"/>
        <v>-7.2000000000000952E-2</v>
      </c>
      <c r="N2473" s="30">
        <f t="shared" si="154"/>
        <v>0.14673264682656006</v>
      </c>
      <c r="O2473" s="31">
        <f t="shared" si="155"/>
        <v>0.95131827633179855</v>
      </c>
    </row>
    <row r="2474" spans="1:15" x14ac:dyDescent="0.25">
      <c r="A2474" t="s">
        <v>8211</v>
      </c>
      <c r="B2474" t="s">
        <v>4949</v>
      </c>
      <c r="C2474" s="3" t="s">
        <v>4950</v>
      </c>
      <c r="D2474" s="24">
        <v>0.71359099999999998</v>
      </c>
      <c r="E2474" s="25">
        <v>7.3659999999999997</v>
      </c>
      <c r="F2474" s="25">
        <v>7.5259999999999998</v>
      </c>
      <c r="G2474" s="26">
        <v>-0.16039999999999999</v>
      </c>
      <c r="H2474" s="27">
        <v>0.41689999999999999</v>
      </c>
      <c r="I2474" s="26">
        <v>0.38490000000000002</v>
      </c>
      <c r="J2474" s="28">
        <v>6</v>
      </c>
      <c r="K2474" s="27">
        <v>0.79547599999999996</v>
      </c>
      <c r="L2474" s="29">
        <f t="shared" si="152"/>
        <v>9.9372918751276837E-2</v>
      </c>
      <c r="M2474" s="29">
        <f t="shared" si="153"/>
        <v>-0.15999999999999978</v>
      </c>
      <c r="N2474" s="30">
        <f t="shared" si="154"/>
        <v>0.1465506360352202</v>
      </c>
      <c r="O2474" s="31">
        <f t="shared" si="155"/>
        <v>0.89502507092797257</v>
      </c>
    </row>
    <row r="2475" spans="1:15" x14ac:dyDescent="0.25">
      <c r="A2475" t="s">
        <v>8212</v>
      </c>
      <c r="B2475" t="s">
        <v>4955</v>
      </c>
      <c r="C2475" s="3" t="s">
        <v>4956</v>
      </c>
      <c r="D2475" s="24">
        <v>0.71560800000000002</v>
      </c>
      <c r="E2475" s="25">
        <v>9.5429999999999993</v>
      </c>
      <c r="F2475" s="25">
        <v>9.4969999999999999</v>
      </c>
      <c r="G2475" s="26">
        <v>4.5719999999999997E-2</v>
      </c>
      <c r="H2475" s="27">
        <v>0.1197</v>
      </c>
      <c r="I2475" s="26">
        <v>0.38200000000000001</v>
      </c>
      <c r="J2475" s="28">
        <v>6</v>
      </c>
      <c r="K2475" s="27">
        <v>0.796601</v>
      </c>
      <c r="L2475" s="29">
        <f t="shared" si="152"/>
        <v>9.8759152741893758E-2</v>
      </c>
      <c r="M2475" s="29">
        <f t="shared" si="153"/>
        <v>4.5999999999998889E-2</v>
      </c>
      <c r="N2475" s="30">
        <f t="shared" si="154"/>
        <v>0.14532481296710908</v>
      </c>
      <c r="O2475" s="31">
        <f t="shared" si="155"/>
        <v>1.032398535483241</v>
      </c>
    </row>
    <row r="2476" spans="1:15" x14ac:dyDescent="0.25">
      <c r="A2476" t="s">
        <v>8213</v>
      </c>
      <c r="B2476" t="s">
        <v>4957</v>
      </c>
      <c r="C2476" s="3" t="s">
        <v>4958</v>
      </c>
      <c r="D2476" s="24">
        <v>0.715754</v>
      </c>
      <c r="E2476" s="25">
        <v>7.2220000000000004</v>
      </c>
      <c r="F2476" s="25">
        <v>7.02</v>
      </c>
      <c r="G2476" s="26">
        <v>0.2024</v>
      </c>
      <c r="H2476" s="27">
        <v>0.53010000000000002</v>
      </c>
      <c r="I2476" s="26">
        <v>0.38179999999999997</v>
      </c>
      <c r="J2476" s="28">
        <v>6</v>
      </c>
      <c r="K2476" s="27">
        <v>0.796601</v>
      </c>
      <c r="L2476" s="29">
        <f t="shared" si="152"/>
        <v>9.8759152741893758E-2</v>
      </c>
      <c r="M2476" s="29">
        <f t="shared" si="153"/>
        <v>0.20200000000000085</v>
      </c>
      <c r="N2476" s="30">
        <f t="shared" si="154"/>
        <v>0.14523621623954786</v>
      </c>
      <c r="O2476" s="31">
        <f t="shared" si="155"/>
        <v>1.1502918933506059</v>
      </c>
    </row>
    <row r="2477" spans="1:15" x14ac:dyDescent="0.25">
      <c r="A2477" t="s">
        <v>8214</v>
      </c>
      <c r="B2477" t="s">
        <v>4953</v>
      </c>
      <c r="C2477" s="3" t="s">
        <v>4954</v>
      </c>
      <c r="D2477" s="24">
        <v>0.71525499999999997</v>
      </c>
      <c r="E2477" s="25">
        <v>8.2970000000000006</v>
      </c>
      <c r="F2477" s="25">
        <v>8.359</v>
      </c>
      <c r="G2477" s="26">
        <v>-6.1839999999999999E-2</v>
      </c>
      <c r="H2477" s="27">
        <v>0.16170000000000001</v>
      </c>
      <c r="I2477" s="26">
        <v>0.38250000000000001</v>
      </c>
      <c r="J2477" s="28">
        <v>6</v>
      </c>
      <c r="K2477" s="27">
        <v>0.796601</v>
      </c>
      <c r="L2477" s="29">
        <f t="shared" si="152"/>
        <v>9.8759152741893758E-2</v>
      </c>
      <c r="M2477" s="29">
        <f t="shared" si="153"/>
        <v>-6.1999999999999361E-2</v>
      </c>
      <c r="N2477" s="30">
        <f t="shared" si="154"/>
        <v>0.14553909757048775</v>
      </c>
      <c r="O2477" s="31">
        <f t="shared" si="155"/>
        <v>0.95793521822269689</v>
      </c>
    </row>
    <row r="2478" spans="1:15" x14ac:dyDescent="0.25">
      <c r="A2478" t="s">
        <v>8215</v>
      </c>
      <c r="B2478" t="s">
        <v>4951</v>
      </c>
      <c r="C2478" s="3" t="s">
        <v>4952</v>
      </c>
      <c r="D2478" s="24">
        <v>0.71520499999999998</v>
      </c>
      <c r="E2478" s="25">
        <v>10.51</v>
      </c>
      <c r="F2478" s="25">
        <v>10.42</v>
      </c>
      <c r="G2478" s="26">
        <v>8.6940000000000003E-2</v>
      </c>
      <c r="H2478" s="27">
        <v>0.22720000000000001</v>
      </c>
      <c r="I2478" s="26">
        <v>0.3826</v>
      </c>
      <c r="J2478" s="28">
        <v>6</v>
      </c>
      <c r="K2478" s="27">
        <v>0.796601</v>
      </c>
      <c r="L2478" s="29">
        <f t="shared" si="152"/>
        <v>9.8759152741893758E-2</v>
      </c>
      <c r="M2478" s="29">
        <f t="shared" si="153"/>
        <v>8.9999999999999566E-2</v>
      </c>
      <c r="N2478" s="30">
        <f t="shared" si="154"/>
        <v>0.14556945804768248</v>
      </c>
      <c r="O2478" s="31">
        <f t="shared" si="155"/>
        <v>1.0643701824533596</v>
      </c>
    </row>
    <row r="2479" spans="1:15" x14ac:dyDescent="0.25">
      <c r="A2479" t="s">
        <v>8216</v>
      </c>
      <c r="B2479" t="s">
        <v>4959</v>
      </c>
      <c r="C2479" s="3" t="s">
        <v>4960</v>
      </c>
      <c r="D2479" s="24">
        <v>0.71625300000000003</v>
      </c>
      <c r="E2479" s="25">
        <v>9.5039999999999996</v>
      </c>
      <c r="F2479" s="25">
        <v>9.3629999999999995</v>
      </c>
      <c r="G2479" s="26">
        <v>0.14119999999999999</v>
      </c>
      <c r="H2479" s="27">
        <v>0.37040000000000001</v>
      </c>
      <c r="I2479" s="26">
        <v>0.38109999999999999</v>
      </c>
      <c r="J2479" s="28">
        <v>6</v>
      </c>
      <c r="K2479" s="27">
        <v>0.79683499999999996</v>
      </c>
      <c r="L2479" s="29">
        <f t="shared" si="152"/>
        <v>9.8631598312979296E-2</v>
      </c>
      <c r="M2479" s="29">
        <f t="shared" si="153"/>
        <v>0.14099999999999935</v>
      </c>
      <c r="N2479" s="30">
        <f t="shared" si="154"/>
        <v>0.14493354599388389</v>
      </c>
      <c r="O2479" s="31">
        <f t="shared" si="155"/>
        <v>1.1026691630689125</v>
      </c>
    </row>
    <row r="2480" spans="1:15" x14ac:dyDescent="0.25">
      <c r="A2480" t="s">
        <v>8217</v>
      </c>
      <c r="B2480" t="s">
        <v>4961</v>
      </c>
      <c r="C2480" s="3" t="s">
        <v>4962</v>
      </c>
      <c r="D2480" s="24">
        <v>0.71675199999999994</v>
      </c>
      <c r="E2480" s="25">
        <v>8.0389999999999997</v>
      </c>
      <c r="F2480" s="25">
        <v>7.9059999999999997</v>
      </c>
      <c r="G2480" s="26">
        <v>0.1326</v>
      </c>
      <c r="H2480" s="27">
        <v>0.34849999999999998</v>
      </c>
      <c r="I2480" s="26">
        <v>0.38040000000000002</v>
      </c>
      <c r="J2480" s="28">
        <v>6</v>
      </c>
      <c r="K2480" s="27">
        <v>0.79706900000000003</v>
      </c>
      <c r="L2480" s="29">
        <f t="shared" si="152"/>
        <v>9.8504081336429267E-2</v>
      </c>
      <c r="M2480" s="29">
        <f t="shared" si="153"/>
        <v>0.13299999999999987</v>
      </c>
      <c r="N2480" s="30">
        <f t="shared" si="154"/>
        <v>0.14463108653948004</v>
      </c>
      <c r="O2480" s="31">
        <f t="shared" si="155"/>
        <v>1.0965715885878939</v>
      </c>
    </row>
    <row r="2481" spans="1:15" x14ac:dyDescent="0.25">
      <c r="A2481" t="s">
        <v>8218</v>
      </c>
      <c r="B2481" t="s">
        <v>4963</v>
      </c>
      <c r="C2481" s="3" t="s">
        <v>4964</v>
      </c>
      <c r="D2481" s="24">
        <v>0.717692</v>
      </c>
      <c r="E2481" s="25">
        <v>11.3</v>
      </c>
      <c r="F2481" s="25">
        <v>11.36</v>
      </c>
      <c r="G2481" s="26">
        <v>-5.892E-2</v>
      </c>
      <c r="H2481" s="27">
        <v>0.15540000000000001</v>
      </c>
      <c r="I2481" s="26">
        <v>0.37909999999999999</v>
      </c>
      <c r="J2481" s="28">
        <v>6</v>
      </c>
      <c r="K2481" s="27">
        <v>0.797794</v>
      </c>
      <c r="L2481" s="29">
        <f t="shared" si="152"/>
        <v>9.8109234229099812E-2</v>
      </c>
      <c r="M2481" s="29">
        <f t="shared" si="153"/>
        <v>-5.9999999999998575E-2</v>
      </c>
      <c r="N2481" s="30">
        <f t="shared" si="154"/>
        <v>0.14406189475308065</v>
      </c>
      <c r="O2481" s="31">
        <f t="shared" si="155"/>
        <v>0.95926411932526534</v>
      </c>
    </row>
    <row r="2482" spans="1:15" x14ac:dyDescent="0.25">
      <c r="A2482" t="s">
        <v>8219</v>
      </c>
      <c r="B2482" t="s">
        <v>4965</v>
      </c>
      <c r="C2482" s="3" t="s">
        <v>4966</v>
      </c>
      <c r="D2482" s="24">
        <v>0.71798600000000001</v>
      </c>
      <c r="E2482" s="25">
        <v>12.52</v>
      </c>
      <c r="F2482" s="25">
        <v>12.41</v>
      </c>
      <c r="G2482" s="26">
        <v>0.1084</v>
      </c>
      <c r="H2482" s="27">
        <v>0.28639999999999999</v>
      </c>
      <c r="I2482" s="26">
        <v>0.37859999999999999</v>
      </c>
      <c r="J2482" s="28">
        <v>6</v>
      </c>
      <c r="K2482" s="27">
        <v>0.79779999999999995</v>
      </c>
      <c r="L2482" s="29">
        <f t="shared" si="152"/>
        <v>9.8105968026179255E-2</v>
      </c>
      <c r="M2482" s="29">
        <f t="shared" si="153"/>
        <v>0.10999999999999797</v>
      </c>
      <c r="N2482" s="30">
        <f t="shared" si="154"/>
        <v>0.14388402397778929</v>
      </c>
      <c r="O2482" s="31">
        <f t="shared" si="155"/>
        <v>1.0792282365044257</v>
      </c>
    </row>
    <row r="2483" spans="1:15" x14ac:dyDescent="0.25">
      <c r="A2483" t="s">
        <v>8220</v>
      </c>
      <c r="B2483" t="s">
        <v>4967</v>
      </c>
      <c r="C2483" s="3" t="s">
        <v>4968</v>
      </c>
      <c r="D2483" s="24">
        <v>0.718808</v>
      </c>
      <c r="E2483" s="25">
        <v>9.484</v>
      </c>
      <c r="F2483" s="25">
        <v>9.4429999999999996</v>
      </c>
      <c r="G2483" s="26">
        <v>4.1209999999999997E-2</v>
      </c>
      <c r="H2483" s="27">
        <v>0.10920000000000001</v>
      </c>
      <c r="I2483" s="26">
        <v>0.3775</v>
      </c>
      <c r="J2483" s="28">
        <v>6</v>
      </c>
      <c r="K2483" s="27">
        <v>0.79796299999999998</v>
      </c>
      <c r="L2483" s="29">
        <f t="shared" si="152"/>
        <v>9.8017245577048093E-2</v>
      </c>
      <c r="M2483" s="29">
        <f t="shared" si="153"/>
        <v>4.1000000000000522E-2</v>
      </c>
      <c r="N2483" s="30">
        <f t="shared" si="154"/>
        <v>0.14338709803980118</v>
      </c>
      <c r="O2483" s="31">
        <f t="shared" si="155"/>
        <v>1.028826707893576</v>
      </c>
    </row>
    <row r="2484" spans="1:15" x14ac:dyDescent="0.25">
      <c r="A2484" t="s">
        <v>8221</v>
      </c>
      <c r="B2484" t="s">
        <v>4969</v>
      </c>
      <c r="C2484" s="3" t="s">
        <v>4970</v>
      </c>
      <c r="D2484" s="24">
        <v>0.71899999999999997</v>
      </c>
      <c r="E2484" s="25">
        <v>8.3659999999999997</v>
      </c>
      <c r="F2484" s="25">
        <v>8.4190000000000005</v>
      </c>
      <c r="G2484" s="26">
        <v>-5.3240000000000003E-2</v>
      </c>
      <c r="H2484" s="27">
        <v>0.14119999999999999</v>
      </c>
      <c r="I2484" s="26">
        <v>0.37719999999999998</v>
      </c>
      <c r="J2484" s="28">
        <v>6</v>
      </c>
      <c r="K2484" s="27">
        <v>0.79796299999999998</v>
      </c>
      <c r="L2484" s="29">
        <f t="shared" si="152"/>
        <v>9.8017245577048093E-2</v>
      </c>
      <c r="M2484" s="29">
        <f t="shared" si="153"/>
        <v>-5.3000000000000637E-2</v>
      </c>
      <c r="N2484" s="30">
        <f t="shared" si="154"/>
        <v>0.14327110961711739</v>
      </c>
      <c r="O2484" s="31">
        <f t="shared" si="155"/>
        <v>0.96392980774064274</v>
      </c>
    </row>
    <row r="2485" spans="1:15" x14ac:dyDescent="0.25">
      <c r="A2485" t="s">
        <v>8222</v>
      </c>
      <c r="B2485" t="s">
        <v>4971</v>
      </c>
      <c r="C2485" s="3" t="s">
        <v>4972</v>
      </c>
      <c r="D2485" s="24">
        <v>0.71899999999999997</v>
      </c>
      <c r="E2485" s="25">
        <v>8.3659999999999997</v>
      </c>
      <c r="F2485" s="25">
        <v>8.4190000000000005</v>
      </c>
      <c r="G2485" s="26">
        <v>-5.3240000000000003E-2</v>
      </c>
      <c r="H2485" s="27">
        <v>0.14119999999999999</v>
      </c>
      <c r="I2485" s="26">
        <v>0.37719999999999998</v>
      </c>
      <c r="J2485" s="28">
        <v>6</v>
      </c>
      <c r="K2485" s="27">
        <v>0.79796299999999998</v>
      </c>
      <c r="L2485" s="29">
        <f t="shared" si="152"/>
        <v>9.8017245577048093E-2</v>
      </c>
      <c r="M2485" s="29">
        <f t="shared" si="153"/>
        <v>-5.3000000000000637E-2</v>
      </c>
      <c r="N2485" s="30">
        <f t="shared" si="154"/>
        <v>0.14327110961711739</v>
      </c>
      <c r="O2485" s="31">
        <f t="shared" si="155"/>
        <v>0.96392980774064274</v>
      </c>
    </row>
    <row r="2486" spans="1:15" x14ac:dyDescent="0.25">
      <c r="A2486" t="s">
        <v>8223</v>
      </c>
      <c r="B2486" t="s">
        <v>4975</v>
      </c>
      <c r="C2486" s="3" t="s">
        <v>4976</v>
      </c>
      <c r="D2486" s="24">
        <v>0.72204599999999997</v>
      </c>
      <c r="E2486" s="25">
        <v>8.298</v>
      </c>
      <c r="F2486" s="25">
        <v>8.2590000000000003</v>
      </c>
      <c r="G2486" s="26">
        <v>3.918E-2</v>
      </c>
      <c r="H2486" s="27">
        <v>0.1051</v>
      </c>
      <c r="I2486" s="26">
        <v>0.37290000000000001</v>
      </c>
      <c r="J2486" s="28">
        <v>6</v>
      </c>
      <c r="K2486" s="27">
        <v>0.80069999999999997</v>
      </c>
      <c r="L2486" s="29">
        <f t="shared" si="152"/>
        <v>9.6530171492829914E-2</v>
      </c>
      <c r="M2486" s="29">
        <f t="shared" si="153"/>
        <v>3.8999999999999757E-2</v>
      </c>
      <c r="N2486" s="30">
        <f t="shared" si="154"/>
        <v>0.14143513358023518</v>
      </c>
      <c r="O2486" s="31">
        <f t="shared" si="155"/>
        <v>1.0274014393789637</v>
      </c>
    </row>
    <row r="2487" spans="1:15" x14ac:dyDescent="0.25">
      <c r="A2487" t="s">
        <v>8224</v>
      </c>
      <c r="B2487" t="s">
        <v>4973</v>
      </c>
      <c r="C2487" s="3" t="s">
        <v>4974</v>
      </c>
      <c r="D2487" s="24">
        <v>0.72182299999999999</v>
      </c>
      <c r="E2487" s="25">
        <v>9.6560000000000006</v>
      </c>
      <c r="F2487" s="25">
        <v>9.5660000000000007</v>
      </c>
      <c r="G2487" s="26">
        <v>9.0209999999999999E-2</v>
      </c>
      <c r="H2487" s="27">
        <v>0.2417</v>
      </c>
      <c r="I2487" s="26">
        <v>0.37319999999999998</v>
      </c>
      <c r="J2487" s="28">
        <v>6</v>
      </c>
      <c r="K2487" s="27">
        <v>0.80069999999999997</v>
      </c>
      <c r="L2487" s="29">
        <f t="shared" si="152"/>
        <v>9.6530171492829914E-2</v>
      </c>
      <c r="M2487" s="29">
        <f t="shared" si="153"/>
        <v>8.9999999999999566E-2</v>
      </c>
      <c r="N2487" s="30">
        <f t="shared" si="154"/>
        <v>0.14156928379778883</v>
      </c>
      <c r="O2487" s="31">
        <f t="shared" si="155"/>
        <v>1.0643701824533596</v>
      </c>
    </row>
    <row r="2488" spans="1:15" x14ac:dyDescent="0.25">
      <c r="A2488" t="s">
        <v>8225</v>
      </c>
      <c r="B2488" t="s">
        <v>4977</v>
      </c>
      <c r="C2488" s="3" t="s">
        <v>4978</v>
      </c>
      <c r="D2488" s="24">
        <v>0.72279400000000005</v>
      </c>
      <c r="E2488" s="25">
        <v>9.3109999999999999</v>
      </c>
      <c r="F2488" s="25">
        <v>9.4</v>
      </c>
      <c r="G2488" s="26">
        <v>-8.9039999999999994E-2</v>
      </c>
      <c r="H2488" s="27">
        <v>0.23949999999999999</v>
      </c>
      <c r="I2488" s="26">
        <v>0.37180000000000002</v>
      </c>
      <c r="J2488" s="28">
        <v>6</v>
      </c>
      <c r="K2488" s="27">
        <v>0.80120800000000003</v>
      </c>
      <c r="L2488" s="29">
        <f t="shared" si="152"/>
        <v>9.6254722959952146E-2</v>
      </c>
      <c r="M2488" s="29">
        <f t="shared" si="153"/>
        <v>-8.9000000000000468E-2</v>
      </c>
      <c r="N2488" s="30">
        <f t="shared" si="154"/>
        <v>0.14098546122691477</v>
      </c>
      <c r="O2488" s="31">
        <f t="shared" si="155"/>
        <v>0.94017420250912576</v>
      </c>
    </row>
    <row r="2489" spans="1:15" x14ac:dyDescent="0.25">
      <c r="A2489" t="s">
        <v>8226</v>
      </c>
      <c r="B2489" t="s">
        <v>4979</v>
      </c>
      <c r="C2489" s="3" t="s">
        <v>4980</v>
      </c>
      <c r="D2489" s="24">
        <v>0.72312600000000005</v>
      </c>
      <c r="E2489" s="25">
        <v>8.9290000000000003</v>
      </c>
      <c r="F2489" s="25">
        <v>8.8160000000000007</v>
      </c>
      <c r="G2489" s="26">
        <v>0.11260000000000001</v>
      </c>
      <c r="H2489" s="27">
        <v>0.30330000000000001</v>
      </c>
      <c r="I2489" s="26">
        <v>0.37140000000000001</v>
      </c>
      <c r="J2489" s="28">
        <v>6</v>
      </c>
      <c r="K2489" s="27">
        <v>0.80125400000000002</v>
      </c>
      <c r="L2489" s="29">
        <f t="shared" si="152"/>
        <v>9.6229789393760826E-2</v>
      </c>
      <c r="M2489" s="29">
        <f t="shared" si="153"/>
        <v>0.11300000000000027</v>
      </c>
      <c r="N2489" s="30">
        <f t="shared" si="154"/>
        <v>0.14078602312449448</v>
      </c>
      <c r="O2489" s="31">
        <f t="shared" si="155"/>
        <v>1.0814747634836182</v>
      </c>
    </row>
    <row r="2490" spans="1:15" x14ac:dyDescent="0.25">
      <c r="A2490" t="s">
        <v>8227</v>
      </c>
      <c r="B2490" t="s">
        <v>4981</v>
      </c>
      <c r="C2490" s="3" t="s">
        <v>4982</v>
      </c>
      <c r="D2490" s="24">
        <v>0.72387400000000002</v>
      </c>
      <c r="E2490" s="25">
        <v>8.5860000000000003</v>
      </c>
      <c r="F2490" s="25">
        <v>8.3989999999999991</v>
      </c>
      <c r="G2490" s="26">
        <v>0.187</v>
      </c>
      <c r="H2490" s="27">
        <v>0.50509999999999999</v>
      </c>
      <c r="I2490" s="26">
        <v>0.37030000000000002</v>
      </c>
      <c r="J2490" s="28">
        <v>6</v>
      </c>
      <c r="K2490" s="27">
        <v>0.80140100000000003</v>
      </c>
      <c r="L2490" s="29">
        <f t="shared" si="152"/>
        <v>9.6150119983914276E-2</v>
      </c>
      <c r="M2490" s="29">
        <f t="shared" si="153"/>
        <v>0.18700000000000086</v>
      </c>
      <c r="N2490" s="30">
        <f t="shared" si="154"/>
        <v>0.14033702201682466</v>
      </c>
      <c r="O2490" s="31">
        <f t="shared" si="155"/>
        <v>1.1383940290748784</v>
      </c>
    </row>
    <row r="2491" spans="1:15" x14ac:dyDescent="0.25">
      <c r="A2491" t="s">
        <v>8228</v>
      </c>
      <c r="B2491" t="s">
        <v>4983</v>
      </c>
      <c r="C2491" s="3" t="s">
        <v>4984</v>
      </c>
      <c r="D2491" s="24">
        <v>0.72387900000000005</v>
      </c>
      <c r="E2491" s="25">
        <v>8.7349999999999994</v>
      </c>
      <c r="F2491" s="25">
        <v>8.8659999999999997</v>
      </c>
      <c r="G2491" s="26">
        <v>-0.13150000000000001</v>
      </c>
      <c r="H2491" s="27">
        <v>0.35520000000000002</v>
      </c>
      <c r="I2491" s="26">
        <v>0.37030000000000002</v>
      </c>
      <c r="J2491" s="28">
        <v>6</v>
      </c>
      <c r="K2491" s="27">
        <v>0.80140100000000003</v>
      </c>
      <c r="L2491" s="29">
        <f t="shared" si="152"/>
        <v>9.6150119983914276E-2</v>
      </c>
      <c r="M2491" s="29">
        <f t="shared" si="153"/>
        <v>-0.13100000000000042</v>
      </c>
      <c r="N2491" s="30">
        <f t="shared" si="154"/>
        <v>0.14033402223383745</v>
      </c>
      <c r="O2491" s="31">
        <f t="shared" si="155"/>
        <v>0.9131982500119914</v>
      </c>
    </row>
    <row r="2492" spans="1:15" x14ac:dyDescent="0.25">
      <c r="A2492" t="s">
        <v>8229</v>
      </c>
      <c r="B2492" t="s">
        <v>4985</v>
      </c>
      <c r="C2492" s="3" t="s">
        <v>4986</v>
      </c>
      <c r="D2492" s="24">
        <v>0.72412900000000002</v>
      </c>
      <c r="E2492" s="25">
        <v>8.8339999999999996</v>
      </c>
      <c r="F2492" s="25">
        <v>8.9369999999999994</v>
      </c>
      <c r="G2492" s="26">
        <v>-0.1032</v>
      </c>
      <c r="H2492" s="27">
        <v>0.27900000000000003</v>
      </c>
      <c r="I2492" s="26">
        <v>0.36990000000000001</v>
      </c>
      <c r="J2492" s="28">
        <v>6</v>
      </c>
      <c r="K2492" s="27">
        <v>0.80140100000000003</v>
      </c>
      <c r="L2492" s="29">
        <f t="shared" si="152"/>
        <v>9.6150119983914276E-2</v>
      </c>
      <c r="M2492" s="29">
        <f t="shared" si="153"/>
        <v>-0.10299999999999987</v>
      </c>
      <c r="N2492" s="30">
        <f t="shared" si="154"/>
        <v>0.14018405949667773</v>
      </c>
      <c r="O2492" s="31">
        <f t="shared" si="155"/>
        <v>0.93109481983022913</v>
      </c>
    </row>
    <row r="2493" spans="1:15" x14ac:dyDescent="0.25">
      <c r="A2493" t="s">
        <v>8230</v>
      </c>
      <c r="B2493" t="s">
        <v>4989</v>
      </c>
      <c r="C2493" s="3" t="s">
        <v>4990</v>
      </c>
      <c r="D2493" s="24">
        <v>0.724885</v>
      </c>
      <c r="E2493" s="25">
        <v>11.03</v>
      </c>
      <c r="F2493" s="25">
        <v>11.13</v>
      </c>
      <c r="G2493" s="26">
        <v>-9.8350000000000007E-2</v>
      </c>
      <c r="H2493" s="27">
        <v>0.2666</v>
      </c>
      <c r="I2493" s="26">
        <v>0.36890000000000001</v>
      </c>
      <c r="J2493" s="28">
        <v>6</v>
      </c>
      <c r="K2493" s="27">
        <v>0.80159499999999995</v>
      </c>
      <c r="L2493" s="29">
        <f t="shared" si="152"/>
        <v>9.60450004079446E-2</v>
      </c>
      <c r="M2493" s="29">
        <f t="shared" si="153"/>
        <v>-0.10000000000000138</v>
      </c>
      <c r="N2493" s="30">
        <f t="shared" si="154"/>
        <v>0.13973088698335523</v>
      </c>
      <c r="O2493" s="31">
        <f t="shared" si="155"/>
        <v>0.93303299153680652</v>
      </c>
    </row>
    <row r="2494" spans="1:15" x14ac:dyDescent="0.25">
      <c r="A2494" t="s">
        <v>8231</v>
      </c>
      <c r="B2494" t="s">
        <v>4987</v>
      </c>
      <c r="C2494" s="3" t="s">
        <v>4988</v>
      </c>
      <c r="D2494" s="24">
        <v>0.72478399999999998</v>
      </c>
      <c r="E2494" s="25">
        <v>10.57</v>
      </c>
      <c r="F2494" s="25">
        <v>10.5</v>
      </c>
      <c r="G2494" s="26">
        <v>7.5020000000000003E-2</v>
      </c>
      <c r="H2494" s="27">
        <v>0.20330000000000001</v>
      </c>
      <c r="I2494" s="26">
        <v>0.36899999999999999</v>
      </c>
      <c r="J2494" s="28">
        <v>6</v>
      </c>
      <c r="K2494" s="27">
        <v>0.80159499999999995</v>
      </c>
      <c r="L2494" s="29">
        <f t="shared" si="152"/>
        <v>9.60450004079446E-2</v>
      </c>
      <c r="M2494" s="29">
        <f t="shared" si="153"/>
        <v>7.0000000000000132E-2</v>
      </c>
      <c r="N2494" s="30">
        <f t="shared" si="154"/>
        <v>0.1397914025117182</v>
      </c>
      <c r="O2494" s="31">
        <f t="shared" si="155"/>
        <v>1.0497166836230674</v>
      </c>
    </row>
    <row r="2495" spans="1:15" x14ac:dyDescent="0.25">
      <c r="A2495" t="s">
        <v>8232</v>
      </c>
      <c r="B2495" t="s">
        <v>4991</v>
      </c>
      <c r="C2495" s="3" t="s">
        <v>4992</v>
      </c>
      <c r="D2495" s="24">
        <v>0.72609999999999997</v>
      </c>
      <c r="E2495" s="25">
        <v>10.68</v>
      </c>
      <c r="F2495" s="25">
        <v>10.75</v>
      </c>
      <c r="G2495" s="26">
        <v>-6.9059999999999996E-2</v>
      </c>
      <c r="H2495" s="27">
        <v>0.18809999999999999</v>
      </c>
      <c r="I2495" s="26">
        <v>0.36720000000000003</v>
      </c>
      <c r="J2495" s="28">
        <v>6</v>
      </c>
      <c r="K2495" s="27">
        <v>0.80205499999999996</v>
      </c>
      <c r="L2495" s="29">
        <f t="shared" si="152"/>
        <v>9.5795849449624895E-2</v>
      </c>
      <c r="M2495" s="29">
        <f t="shared" si="153"/>
        <v>-7.0000000000000076E-2</v>
      </c>
      <c r="N2495" s="30">
        <f t="shared" si="154"/>
        <v>0.13900356324280419</v>
      </c>
      <c r="O2495" s="31">
        <f t="shared" si="155"/>
        <v>0.95263799804393734</v>
      </c>
    </row>
    <row r="2496" spans="1:15" x14ac:dyDescent="0.25">
      <c r="A2496" t="s">
        <v>8233</v>
      </c>
      <c r="B2496" t="s">
        <v>4993</v>
      </c>
      <c r="C2496" s="3" t="s">
        <v>4994</v>
      </c>
      <c r="D2496" s="24">
        <v>0.72611700000000001</v>
      </c>
      <c r="E2496" s="25">
        <v>8.5190000000000001</v>
      </c>
      <c r="F2496" s="25">
        <v>8.4459999999999997</v>
      </c>
      <c r="G2496" s="26">
        <v>7.3730000000000004E-2</v>
      </c>
      <c r="H2496" s="27">
        <v>0.20080000000000001</v>
      </c>
      <c r="I2496" s="26">
        <v>0.36709999999999998</v>
      </c>
      <c r="J2496" s="28">
        <v>6</v>
      </c>
      <c r="K2496" s="27">
        <v>0.80205499999999996</v>
      </c>
      <c r="L2496" s="29">
        <f t="shared" si="152"/>
        <v>9.5795849449624895E-2</v>
      </c>
      <c r="M2496" s="29">
        <f t="shared" si="153"/>
        <v>7.299999999999994E-2</v>
      </c>
      <c r="N2496" s="30">
        <f t="shared" si="154"/>
        <v>0.13899339533237109</v>
      </c>
      <c r="O2496" s="31">
        <f t="shared" si="155"/>
        <v>1.0519017792038723</v>
      </c>
    </row>
    <row r="2497" spans="1:15" x14ac:dyDescent="0.25">
      <c r="A2497" t="s">
        <v>8234</v>
      </c>
      <c r="B2497" t="s">
        <v>4995</v>
      </c>
      <c r="C2497" s="3" t="s">
        <v>4996</v>
      </c>
      <c r="D2497" s="24">
        <v>0.72617100000000001</v>
      </c>
      <c r="E2497" s="25">
        <v>10.31</v>
      </c>
      <c r="F2497" s="25">
        <v>10.34</v>
      </c>
      <c r="G2497" s="26">
        <v>-2.8469999999999999E-2</v>
      </c>
      <c r="H2497" s="27">
        <v>7.757E-2</v>
      </c>
      <c r="I2497" s="26">
        <v>0.36709999999999998</v>
      </c>
      <c r="J2497" s="28">
        <v>6</v>
      </c>
      <c r="K2497" s="27">
        <v>0.80205499999999996</v>
      </c>
      <c r="L2497" s="29">
        <f t="shared" si="152"/>
        <v>9.5795849449624895E-2</v>
      </c>
      <c r="M2497" s="29">
        <f t="shared" si="153"/>
        <v>-2.999999999999858E-2</v>
      </c>
      <c r="N2497" s="30">
        <f t="shared" si="154"/>
        <v>0.13896109884292329</v>
      </c>
      <c r="O2497" s="31">
        <f t="shared" si="155"/>
        <v>0.97942029758692783</v>
      </c>
    </row>
    <row r="2498" spans="1:15" x14ac:dyDescent="0.25">
      <c r="A2498" t="s">
        <v>8235</v>
      </c>
      <c r="B2498" t="s">
        <v>4997</v>
      </c>
      <c r="C2498" s="3" t="s">
        <v>4998</v>
      </c>
      <c r="D2498" s="24">
        <v>0.72691399999999995</v>
      </c>
      <c r="E2498" s="25">
        <v>9.3369999999999997</v>
      </c>
      <c r="F2498" s="25">
        <v>9.2929999999999993</v>
      </c>
      <c r="G2498" s="26">
        <v>4.3650000000000001E-2</v>
      </c>
      <c r="H2498" s="27">
        <v>0.1193</v>
      </c>
      <c r="I2498" s="26">
        <v>0.36599999999999999</v>
      </c>
      <c r="J2498" s="28">
        <v>6</v>
      </c>
      <c r="K2498" s="27">
        <v>0.80255399999999999</v>
      </c>
      <c r="L2498" s="29">
        <f t="shared" ref="L2498:L2561" si="156">-LOG(K2498,10)</f>
        <v>9.5525736352346111E-2</v>
      </c>
      <c r="M2498" s="29">
        <f t="shared" ref="M2498:M2561" si="157">LOG(O2498,2)</f>
        <v>4.3999999999999546E-2</v>
      </c>
      <c r="N2498" s="30">
        <f t="shared" ref="N2498:N2561" si="158">-LOG(D2498,10)</f>
        <v>0.13851696676781941</v>
      </c>
      <c r="O2498" s="31">
        <f t="shared" ref="O2498:O2561" si="159">((2^E2498)/(2^F2498))</f>
        <v>1.0309683187947885</v>
      </c>
    </row>
    <row r="2499" spans="1:15" x14ac:dyDescent="0.25">
      <c r="A2499" t="s">
        <v>8236</v>
      </c>
      <c r="B2499" t="s">
        <v>4999</v>
      </c>
      <c r="C2499" s="3" t="s">
        <v>5000</v>
      </c>
      <c r="D2499" s="24">
        <v>0.72775900000000004</v>
      </c>
      <c r="E2499" s="25">
        <v>8.9380000000000006</v>
      </c>
      <c r="F2499" s="25">
        <v>8.8960000000000008</v>
      </c>
      <c r="G2499" s="26">
        <v>4.2520000000000002E-2</v>
      </c>
      <c r="H2499" s="27">
        <v>0.1166</v>
      </c>
      <c r="I2499" s="26">
        <v>0.36480000000000001</v>
      </c>
      <c r="J2499" s="28">
        <v>6</v>
      </c>
      <c r="K2499" s="27">
        <v>0.80316600000000005</v>
      </c>
      <c r="L2499" s="29">
        <f t="shared" si="156"/>
        <v>9.5194684567732613E-2</v>
      </c>
      <c r="M2499" s="29">
        <f t="shared" si="157"/>
        <v>4.1999999999999732E-2</v>
      </c>
      <c r="N2499" s="30">
        <f t="shared" si="158"/>
        <v>0.13801241505278139</v>
      </c>
      <c r="O2499" s="31">
        <f t="shared" si="159"/>
        <v>1.0295400834339969</v>
      </c>
    </row>
    <row r="2500" spans="1:15" x14ac:dyDescent="0.25">
      <c r="A2500" t="s">
        <v>8237</v>
      </c>
      <c r="B2500" t="s">
        <v>5001</v>
      </c>
      <c r="C2500" s="3" t="s">
        <v>5002</v>
      </c>
      <c r="D2500" s="24">
        <v>0.72823000000000004</v>
      </c>
      <c r="E2500" s="25">
        <v>7.8090000000000002</v>
      </c>
      <c r="F2500" s="25">
        <v>7.8630000000000004</v>
      </c>
      <c r="G2500" s="26">
        <v>-5.4559999999999997E-2</v>
      </c>
      <c r="H2500" s="27">
        <v>0.14979999999999999</v>
      </c>
      <c r="I2500" s="26">
        <v>0.36420000000000002</v>
      </c>
      <c r="J2500" s="28">
        <v>6</v>
      </c>
      <c r="K2500" s="27">
        <v>0.803365</v>
      </c>
      <c r="L2500" s="29">
        <f t="shared" si="156"/>
        <v>9.5087092990177327E-2</v>
      </c>
      <c r="M2500" s="29">
        <f t="shared" si="157"/>
        <v>-5.400000000000113E-2</v>
      </c>
      <c r="N2500" s="30">
        <f t="shared" si="158"/>
        <v>0.13773143393532555</v>
      </c>
      <c r="O2500" s="31">
        <f t="shared" si="159"/>
        <v>0.96326189402014717</v>
      </c>
    </row>
    <row r="2501" spans="1:15" x14ac:dyDescent="0.25">
      <c r="A2501" t="s">
        <v>8238</v>
      </c>
      <c r="B2501" t="s">
        <v>5003</v>
      </c>
      <c r="C2501" s="3" t="s">
        <v>5004</v>
      </c>
      <c r="D2501" s="24">
        <v>0.72948599999999997</v>
      </c>
      <c r="E2501" s="25">
        <v>9.2799999999999994</v>
      </c>
      <c r="F2501" s="25">
        <v>9.234</v>
      </c>
      <c r="G2501" s="26">
        <v>4.6339999999999999E-2</v>
      </c>
      <c r="H2501" s="27">
        <v>0.12790000000000001</v>
      </c>
      <c r="I2501" s="26">
        <v>0.3624</v>
      </c>
      <c r="J2501" s="28">
        <v>6</v>
      </c>
      <c r="K2501" s="27">
        <v>0.804427</v>
      </c>
      <c r="L2501" s="29">
        <f t="shared" si="156"/>
        <v>9.4513361056122694E-2</v>
      </c>
      <c r="M2501" s="29">
        <f t="shared" si="157"/>
        <v>4.5999999999998889E-2</v>
      </c>
      <c r="N2501" s="30">
        <f t="shared" si="158"/>
        <v>0.13698303849443624</v>
      </c>
      <c r="O2501" s="31">
        <f t="shared" si="159"/>
        <v>1.032398535483241</v>
      </c>
    </row>
    <row r="2502" spans="1:15" x14ac:dyDescent="0.25">
      <c r="A2502" t="s">
        <v>8239</v>
      </c>
      <c r="B2502" t="s">
        <v>5005</v>
      </c>
      <c r="C2502" s="3" t="s">
        <v>5006</v>
      </c>
      <c r="D2502" s="24">
        <v>0.729935</v>
      </c>
      <c r="E2502" s="25">
        <v>7.77</v>
      </c>
      <c r="F2502" s="25">
        <v>7.835</v>
      </c>
      <c r="G2502" s="26">
        <v>-6.5909999999999996E-2</v>
      </c>
      <c r="H2502" s="27">
        <v>0.1822</v>
      </c>
      <c r="I2502" s="26">
        <v>0.36180000000000001</v>
      </c>
      <c r="J2502" s="28">
        <v>6</v>
      </c>
      <c r="K2502" s="27">
        <v>0.804427</v>
      </c>
      <c r="L2502" s="29">
        <f t="shared" si="156"/>
        <v>9.4513361056122694E-2</v>
      </c>
      <c r="M2502" s="29">
        <f t="shared" si="157"/>
        <v>-6.4999999999999364E-2</v>
      </c>
      <c r="N2502" s="30">
        <f t="shared" si="158"/>
        <v>0.13671581165786623</v>
      </c>
      <c r="O2502" s="31">
        <f t="shared" si="159"/>
        <v>0.95594531759374257</v>
      </c>
    </row>
    <row r="2503" spans="1:15" x14ac:dyDescent="0.25">
      <c r="A2503" t="s">
        <v>8240</v>
      </c>
      <c r="B2503" t="s">
        <v>5007</v>
      </c>
      <c r="C2503" s="3" t="s">
        <v>5008</v>
      </c>
      <c r="D2503" s="24">
        <v>0.73006599999999999</v>
      </c>
      <c r="E2503" s="25">
        <v>8.6010000000000009</v>
      </c>
      <c r="F2503" s="25">
        <v>8.3659999999999997</v>
      </c>
      <c r="G2503" s="26">
        <v>0.2341</v>
      </c>
      <c r="H2503" s="27">
        <v>0.64759999999999995</v>
      </c>
      <c r="I2503" s="26">
        <v>0.36159999999999998</v>
      </c>
      <c r="J2503" s="28">
        <v>6</v>
      </c>
      <c r="K2503" s="27">
        <v>0.804427</v>
      </c>
      <c r="L2503" s="29">
        <f t="shared" si="156"/>
        <v>9.4513361056122694E-2</v>
      </c>
      <c r="M2503" s="29">
        <f t="shared" si="157"/>
        <v>0.23500000000000057</v>
      </c>
      <c r="N2503" s="30">
        <f t="shared" si="158"/>
        <v>0.13663787667387375</v>
      </c>
      <c r="O2503" s="31">
        <f t="shared" si="159"/>
        <v>1.1769067372187678</v>
      </c>
    </row>
    <row r="2504" spans="1:15" x14ac:dyDescent="0.25">
      <c r="A2504" t="s">
        <v>8241</v>
      </c>
      <c r="B2504" t="s">
        <v>5009</v>
      </c>
      <c r="C2504" s="3" t="s">
        <v>5010</v>
      </c>
      <c r="D2504" s="24">
        <v>0.73065599999999997</v>
      </c>
      <c r="E2504" s="25">
        <v>10.41</v>
      </c>
      <c r="F2504" s="25">
        <v>10.43</v>
      </c>
      <c r="G2504" s="26">
        <v>-2.3859999999999999E-2</v>
      </c>
      <c r="H2504" s="27">
        <v>6.6129999999999994E-2</v>
      </c>
      <c r="I2504" s="26">
        <v>0.36070000000000002</v>
      </c>
      <c r="J2504" s="28">
        <v>6</v>
      </c>
      <c r="K2504" s="27">
        <v>0.80475600000000003</v>
      </c>
      <c r="L2504" s="29">
        <f t="shared" si="156"/>
        <v>9.4335776671329877E-2</v>
      </c>
      <c r="M2504" s="29">
        <f t="shared" si="157"/>
        <v>-1.9999999999999633E-2</v>
      </c>
      <c r="N2504" s="30">
        <f t="shared" si="158"/>
        <v>0.13628704501903843</v>
      </c>
      <c r="O2504" s="31">
        <f t="shared" si="159"/>
        <v>0.98623270449335942</v>
      </c>
    </row>
    <row r="2505" spans="1:15" x14ac:dyDescent="0.25">
      <c r="A2505" t="s">
        <v>8242</v>
      </c>
      <c r="B2505" t="s">
        <v>5015</v>
      </c>
      <c r="C2505" s="3" t="s">
        <v>5016</v>
      </c>
      <c r="D2505" s="24">
        <v>0.73295600000000005</v>
      </c>
      <c r="E2505" s="25">
        <v>12.48</v>
      </c>
      <c r="F2505" s="25">
        <v>12.52</v>
      </c>
      <c r="G2505" s="26">
        <v>-4.1599999999999998E-2</v>
      </c>
      <c r="H2505" s="27">
        <v>0.1164</v>
      </c>
      <c r="I2505" s="26">
        <v>0.35749999999999998</v>
      </c>
      <c r="J2505" s="28">
        <v>6</v>
      </c>
      <c r="K2505" s="27">
        <v>0.80537499999999995</v>
      </c>
      <c r="L2505" s="29">
        <f t="shared" si="156"/>
        <v>9.4001855645597335E-2</v>
      </c>
      <c r="M2505" s="29">
        <f t="shared" si="157"/>
        <v>-3.9999999999999161E-2</v>
      </c>
      <c r="N2505" s="30">
        <f t="shared" si="158"/>
        <v>0.13492209566003999</v>
      </c>
      <c r="O2505" s="31">
        <f t="shared" si="159"/>
        <v>0.97265494741228609</v>
      </c>
    </row>
    <row r="2506" spans="1:15" x14ac:dyDescent="0.25">
      <c r="A2506" t="s">
        <v>8243</v>
      </c>
      <c r="B2506" t="s">
        <v>5019</v>
      </c>
      <c r="C2506" s="3" t="s">
        <v>5020</v>
      </c>
      <c r="D2506" s="24">
        <v>0.73295600000000005</v>
      </c>
      <c r="E2506" s="25">
        <v>12.48</v>
      </c>
      <c r="F2506" s="25">
        <v>12.52</v>
      </c>
      <c r="G2506" s="26">
        <v>-4.1599999999999998E-2</v>
      </c>
      <c r="H2506" s="27">
        <v>0.1164</v>
      </c>
      <c r="I2506" s="26">
        <v>0.35749999999999998</v>
      </c>
      <c r="J2506" s="28">
        <v>6</v>
      </c>
      <c r="K2506" s="27">
        <v>0.80537499999999995</v>
      </c>
      <c r="L2506" s="29">
        <f t="shared" si="156"/>
        <v>9.4001855645597335E-2</v>
      </c>
      <c r="M2506" s="29">
        <f t="shared" si="157"/>
        <v>-3.9999999999999161E-2</v>
      </c>
      <c r="N2506" s="30">
        <f t="shared" si="158"/>
        <v>0.13492209566003999</v>
      </c>
      <c r="O2506" s="31">
        <f t="shared" si="159"/>
        <v>0.97265494741228609</v>
      </c>
    </row>
    <row r="2507" spans="1:15" x14ac:dyDescent="0.25">
      <c r="A2507" t="s">
        <v>8244</v>
      </c>
      <c r="B2507" t="s">
        <v>5013</v>
      </c>
      <c r="C2507" s="3" t="s">
        <v>5014</v>
      </c>
      <c r="D2507" s="24">
        <v>0.73295600000000005</v>
      </c>
      <c r="E2507" s="25">
        <v>12.48</v>
      </c>
      <c r="F2507" s="25">
        <v>12.52</v>
      </c>
      <c r="G2507" s="26">
        <v>-4.1599999999999998E-2</v>
      </c>
      <c r="H2507" s="27">
        <v>0.1164</v>
      </c>
      <c r="I2507" s="26">
        <v>0.35749999999999998</v>
      </c>
      <c r="J2507" s="28">
        <v>6</v>
      </c>
      <c r="K2507" s="27">
        <v>0.80537499999999995</v>
      </c>
      <c r="L2507" s="29">
        <f t="shared" si="156"/>
        <v>9.4001855645597335E-2</v>
      </c>
      <c r="M2507" s="29">
        <f t="shared" si="157"/>
        <v>-3.9999999999999161E-2</v>
      </c>
      <c r="N2507" s="30">
        <f t="shared" si="158"/>
        <v>0.13492209566003999</v>
      </c>
      <c r="O2507" s="31">
        <f t="shared" si="159"/>
        <v>0.97265494741228609</v>
      </c>
    </row>
    <row r="2508" spans="1:15" x14ac:dyDescent="0.25">
      <c r="A2508" t="s">
        <v>8245</v>
      </c>
      <c r="B2508" t="s">
        <v>5017</v>
      </c>
      <c r="C2508" s="3" t="s">
        <v>5018</v>
      </c>
      <c r="D2508" s="24">
        <v>0.73295600000000005</v>
      </c>
      <c r="E2508" s="25">
        <v>12.48</v>
      </c>
      <c r="F2508" s="25">
        <v>12.52</v>
      </c>
      <c r="G2508" s="26">
        <v>-4.1599999999999998E-2</v>
      </c>
      <c r="H2508" s="27">
        <v>0.1164</v>
      </c>
      <c r="I2508" s="26">
        <v>0.35749999999999998</v>
      </c>
      <c r="J2508" s="28">
        <v>6</v>
      </c>
      <c r="K2508" s="27">
        <v>0.80537499999999995</v>
      </c>
      <c r="L2508" s="29">
        <f t="shared" si="156"/>
        <v>9.4001855645597335E-2</v>
      </c>
      <c r="M2508" s="29">
        <f t="shared" si="157"/>
        <v>-3.9999999999999161E-2</v>
      </c>
      <c r="N2508" s="30">
        <f t="shared" si="158"/>
        <v>0.13492209566003999</v>
      </c>
      <c r="O2508" s="31">
        <f t="shared" si="159"/>
        <v>0.97265494741228609</v>
      </c>
    </row>
    <row r="2509" spans="1:15" x14ac:dyDescent="0.25">
      <c r="A2509" t="s">
        <v>8246</v>
      </c>
      <c r="B2509" t="s">
        <v>5011</v>
      </c>
      <c r="C2509" s="3" t="s">
        <v>5012</v>
      </c>
      <c r="D2509" s="24">
        <v>0.73235700000000004</v>
      </c>
      <c r="E2509" s="25">
        <v>8.8059999999999992</v>
      </c>
      <c r="F2509" s="25">
        <v>8.7260000000000009</v>
      </c>
      <c r="G2509" s="26">
        <v>8.0339999999999995E-2</v>
      </c>
      <c r="H2509" s="27">
        <v>0.22420000000000001</v>
      </c>
      <c r="I2509" s="26">
        <v>0.35830000000000001</v>
      </c>
      <c r="J2509" s="28">
        <v>6</v>
      </c>
      <c r="K2509" s="27">
        <v>0.80537499999999995</v>
      </c>
      <c r="L2509" s="29">
        <f t="shared" si="156"/>
        <v>9.4001855645597335E-2</v>
      </c>
      <c r="M2509" s="29">
        <f t="shared" si="157"/>
        <v>7.9999999999998045E-2</v>
      </c>
      <c r="N2509" s="30">
        <f t="shared" si="158"/>
        <v>0.13527716301991535</v>
      </c>
      <c r="O2509" s="31">
        <f t="shared" si="159"/>
        <v>1.0570180405613789</v>
      </c>
    </row>
    <row r="2510" spans="1:15" x14ac:dyDescent="0.25">
      <c r="A2510" t="s">
        <v>8247</v>
      </c>
      <c r="B2510" t="s">
        <v>5021</v>
      </c>
      <c r="C2510" s="3" t="s">
        <v>5022</v>
      </c>
      <c r="D2510" s="24">
        <v>0.73296700000000004</v>
      </c>
      <c r="E2510" s="25">
        <v>9.2210000000000001</v>
      </c>
      <c r="F2510" s="25">
        <v>9.173</v>
      </c>
      <c r="G2510" s="26">
        <v>4.7719999999999999E-2</v>
      </c>
      <c r="H2510" s="27">
        <v>0.13350000000000001</v>
      </c>
      <c r="I2510" s="26">
        <v>0.35749999999999998</v>
      </c>
      <c r="J2510" s="28">
        <v>6</v>
      </c>
      <c r="K2510" s="27">
        <v>0.80537499999999995</v>
      </c>
      <c r="L2510" s="29">
        <f t="shared" si="156"/>
        <v>9.4001855645597335E-2</v>
      </c>
      <c r="M2510" s="29">
        <f t="shared" si="157"/>
        <v>4.7999999999999786E-2</v>
      </c>
      <c r="N2510" s="30">
        <f t="shared" si="158"/>
        <v>0.13491557793802997</v>
      </c>
      <c r="O2510" s="31">
        <f t="shared" si="159"/>
        <v>1.0338307362479642</v>
      </c>
    </row>
    <row r="2511" spans="1:15" x14ac:dyDescent="0.25">
      <c r="A2511" t="s">
        <v>8248</v>
      </c>
      <c r="B2511" t="s">
        <v>5023</v>
      </c>
      <c r="C2511" s="3" t="s">
        <v>5024</v>
      </c>
      <c r="D2511" s="24">
        <v>0.734514</v>
      </c>
      <c r="E2511" s="25">
        <v>10.09</v>
      </c>
      <c r="F2511" s="25">
        <v>10.06</v>
      </c>
      <c r="G2511" s="26">
        <v>3.023E-2</v>
      </c>
      <c r="H2511" s="27">
        <v>8.5080000000000003E-2</v>
      </c>
      <c r="I2511" s="26">
        <v>0.3553</v>
      </c>
      <c r="J2511" s="28">
        <v>6</v>
      </c>
      <c r="K2511" s="27">
        <v>0.80675399999999997</v>
      </c>
      <c r="L2511" s="29">
        <f t="shared" si="156"/>
        <v>9.3258872625487821E-2</v>
      </c>
      <c r="M2511" s="29">
        <f t="shared" si="157"/>
        <v>2.9999999999999832E-2</v>
      </c>
      <c r="N2511" s="30">
        <f t="shared" si="158"/>
        <v>0.13399992204553951</v>
      </c>
      <c r="O2511" s="31">
        <f t="shared" si="159"/>
        <v>1.0210121257071931</v>
      </c>
    </row>
    <row r="2512" spans="1:15" x14ac:dyDescent="0.25">
      <c r="A2512" t="s">
        <v>8249</v>
      </c>
      <c r="B2512" t="s">
        <v>5025</v>
      </c>
      <c r="C2512" s="3" t="s">
        <v>5026</v>
      </c>
      <c r="D2512" s="24">
        <v>0.73651900000000003</v>
      </c>
      <c r="E2512" s="25">
        <v>11.37</v>
      </c>
      <c r="F2512" s="25">
        <v>11.29</v>
      </c>
      <c r="G2512" s="26">
        <v>7.1190000000000003E-2</v>
      </c>
      <c r="H2512" s="27">
        <v>0.20200000000000001</v>
      </c>
      <c r="I2512" s="26">
        <v>0.35249999999999998</v>
      </c>
      <c r="J2512" s="28">
        <v>6</v>
      </c>
      <c r="K2512" s="27">
        <v>0.80863399999999996</v>
      </c>
      <c r="L2512" s="29">
        <f t="shared" si="156"/>
        <v>9.2248002178756991E-2</v>
      </c>
      <c r="M2512" s="29">
        <f t="shared" si="157"/>
        <v>8.000000000000046E-2</v>
      </c>
      <c r="N2512" s="30">
        <f t="shared" si="158"/>
        <v>0.13281604517067552</v>
      </c>
      <c r="O2512" s="31">
        <f t="shared" si="159"/>
        <v>1.0570180405613807</v>
      </c>
    </row>
    <row r="2513" spans="1:15" x14ac:dyDescent="0.25">
      <c r="A2513" t="s">
        <v>8250</v>
      </c>
      <c r="B2513" t="s">
        <v>5027</v>
      </c>
      <c r="C2513" s="3" t="s">
        <v>5028</v>
      </c>
      <c r="D2513" s="24">
        <v>0.73713799999999996</v>
      </c>
      <c r="E2513" s="25">
        <v>8.7059999999999995</v>
      </c>
      <c r="F2513" s="25">
        <v>8.6340000000000003</v>
      </c>
      <c r="G2513" s="26">
        <v>7.2300000000000003E-2</v>
      </c>
      <c r="H2513" s="27">
        <v>0.2056</v>
      </c>
      <c r="I2513" s="26">
        <v>0.35160000000000002</v>
      </c>
      <c r="J2513" s="28">
        <v>6</v>
      </c>
      <c r="K2513" s="27">
        <v>0.80899200000000004</v>
      </c>
      <c r="L2513" s="29">
        <f t="shared" si="156"/>
        <v>9.2055773039191033E-2</v>
      </c>
      <c r="M2513" s="29">
        <f t="shared" si="157"/>
        <v>7.1999999999999606E-2</v>
      </c>
      <c r="N2513" s="30">
        <f t="shared" si="158"/>
        <v>0.13245120002678049</v>
      </c>
      <c r="O2513" s="31">
        <f t="shared" si="159"/>
        <v>1.0511729090877062</v>
      </c>
    </row>
    <row r="2514" spans="1:15" x14ac:dyDescent="0.25">
      <c r="A2514" t="s">
        <v>8251</v>
      </c>
      <c r="B2514" t="s">
        <v>5029</v>
      </c>
      <c r="C2514" s="3" t="s">
        <v>5030</v>
      </c>
      <c r="D2514" s="24">
        <v>0.73918200000000001</v>
      </c>
      <c r="E2514" s="25">
        <v>10.33</v>
      </c>
      <c r="F2514" s="25">
        <v>10.29</v>
      </c>
      <c r="G2514" s="26">
        <v>3.8969999999999998E-2</v>
      </c>
      <c r="H2514" s="27">
        <v>0.11169999999999999</v>
      </c>
      <c r="I2514" s="26">
        <v>0.3488</v>
      </c>
      <c r="J2514" s="28">
        <v>6</v>
      </c>
      <c r="K2514" s="27">
        <v>0.81091299999999999</v>
      </c>
      <c r="L2514" s="29">
        <f t="shared" si="156"/>
        <v>9.1025737215094105E-2</v>
      </c>
      <c r="M2514" s="29">
        <f t="shared" si="157"/>
        <v>4.0000000000001604E-2</v>
      </c>
      <c r="N2514" s="30">
        <f t="shared" si="158"/>
        <v>0.13124861726935391</v>
      </c>
      <c r="O2514" s="31">
        <f t="shared" si="159"/>
        <v>1.0281138266560677</v>
      </c>
    </row>
    <row r="2515" spans="1:15" x14ac:dyDescent="0.25">
      <c r="A2515" t="s">
        <v>8252</v>
      </c>
      <c r="B2515" t="s">
        <v>5031</v>
      </c>
      <c r="C2515" s="3" t="s">
        <v>5032</v>
      </c>
      <c r="D2515" s="24">
        <v>0.740892</v>
      </c>
      <c r="E2515" s="25">
        <v>7.6710000000000003</v>
      </c>
      <c r="F2515" s="25">
        <v>7.6050000000000004</v>
      </c>
      <c r="G2515" s="26">
        <v>6.6299999999999998E-2</v>
      </c>
      <c r="H2515" s="27">
        <v>0.19139999999999999</v>
      </c>
      <c r="I2515" s="26">
        <v>0.34639999999999999</v>
      </c>
      <c r="J2515" s="28">
        <v>6</v>
      </c>
      <c r="K2515" s="27">
        <v>0.81228599999999995</v>
      </c>
      <c r="L2515" s="29">
        <f t="shared" si="156"/>
        <v>9.0291031900633548E-2</v>
      </c>
      <c r="M2515" s="29">
        <f t="shared" si="157"/>
        <v>6.5999999999999878E-2</v>
      </c>
      <c r="N2515" s="30">
        <f t="shared" si="158"/>
        <v>0.13024509461509651</v>
      </c>
      <c r="O2515" s="31">
        <f t="shared" si="159"/>
        <v>1.0468102819745757</v>
      </c>
    </row>
    <row r="2516" spans="1:15" x14ac:dyDescent="0.25">
      <c r="A2516" t="s">
        <v>8253</v>
      </c>
      <c r="B2516" t="s">
        <v>5033</v>
      </c>
      <c r="C2516" s="3" t="s">
        <v>5034</v>
      </c>
      <c r="D2516" s="24">
        <v>0.74102100000000004</v>
      </c>
      <c r="E2516" s="25">
        <v>7.9649999999999999</v>
      </c>
      <c r="F2516" s="25">
        <v>7.9080000000000004</v>
      </c>
      <c r="G2516" s="26">
        <v>5.6529999999999997E-2</v>
      </c>
      <c r="H2516" s="27">
        <v>0.1633</v>
      </c>
      <c r="I2516" s="26">
        <v>0.34620000000000001</v>
      </c>
      <c r="J2516" s="28">
        <v>6</v>
      </c>
      <c r="K2516" s="27">
        <v>0.81228599999999995</v>
      </c>
      <c r="L2516" s="29">
        <f t="shared" si="156"/>
        <v>9.0291031900633548E-2</v>
      </c>
      <c r="M2516" s="29">
        <f t="shared" si="157"/>
        <v>5.6999999999998385E-2</v>
      </c>
      <c r="N2516" s="30">
        <f t="shared" si="158"/>
        <v>0.13016948425428984</v>
      </c>
      <c r="O2516" s="31">
        <f t="shared" si="159"/>
        <v>1.0403002665219847</v>
      </c>
    </row>
    <row r="2517" spans="1:15" x14ac:dyDescent="0.25">
      <c r="A2517" t="s">
        <v>8254</v>
      </c>
      <c r="B2517" t="s">
        <v>5035</v>
      </c>
      <c r="C2517" s="3" t="s">
        <v>5036</v>
      </c>
      <c r="D2517" s="24">
        <v>0.74242300000000006</v>
      </c>
      <c r="E2517" s="25">
        <v>6.9829999999999997</v>
      </c>
      <c r="F2517" s="25">
        <v>7.0350000000000001</v>
      </c>
      <c r="G2517" s="26">
        <v>-5.228E-2</v>
      </c>
      <c r="H2517" s="27">
        <v>0.15190000000000001</v>
      </c>
      <c r="I2517" s="26">
        <v>0.34420000000000001</v>
      </c>
      <c r="J2517" s="28">
        <v>6</v>
      </c>
      <c r="K2517" s="27">
        <v>0.81349899999999997</v>
      </c>
      <c r="L2517" s="29">
        <f t="shared" si="156"/>
        <v>8.9642976586678441E-2</v>
      </c>
      <c r="M2517" s="29">
        <f t="shared" si="157"/>
        <v>-5.2000000000001538E-2</v>
      </c>
      <c r="N2517" s="30">
        <f t="shared" si="158"/>
        <v>0.12934858229248383</v>
      </c>
      <c r="O2517" s="31">
        <f t="shared" si="159"/>
        <v>0.96459818458413726</v>
      </c>
    </row>
    <row r="2518" spans="1:15" x14ac:dyDescent="0.25">
      <c r="A2518" t="s">
        <v>8255</v>
      </c>
      <c r="B2518" t="s">
        <v>5039</v>
      </c>
      <c r="C2518" s="3" t="s">
        <v>5040</v>
      </c>
      <c r="D2518" s="24">
        <v>0.74314999999999998</v>
      </c>
      <c r="E2518" s="25">
        <v>9.3070000000000004</v>
      </c>
      <c r="F2518" s="25">
        <v>9.234</v>
      </c>
      <c r="G2518" s="26">
        <v>7.3260000000000006E-2</v>
      </c>
      <c r="H2518" s="27">
        <v>0.21340000000000001</v>
      </c>
      <c r="I2518" s="26">
        <v>0.34320000000000001</v>
      </c>
      <c r="J2518" s="28">
        <v>6</v>
      </c>
      <c r="K2518" s="27">
        <v>0.81364999999999998</v>
      </c>
      <c r="L2518" s="29">
        <f t="shared" si="156"/>
        <v>8.9562371224839246E-2</v>
      </c>
      <c r="M2518" s="29">
        <f t="shared" si="157"/>
        <v>7.299999999999994E-2</v>
      </c>
      <c r="N2518" s="30">
        <f t="shared" si="158"/>
        <v>0.12892351787148515</v>
      </c>
      <c r="O2518" s="31">
        <f t="shared" si="159"/>
        <v>1.0519017792038723</v>
      </c>
    </row>
    <row r="2519" spans="1:15" x14ac:dyDescent="0.25">
      <c r="A2519" t="s">
        <v>8256</v>
      </c>
      <c r="B2519" t="s">
        <v>5037</v>
      </c>
      <c r="C2519" s="3" t="s">
        <v>5038</v>
      </c>
      <c r="D2519" s="24">
        <v>0.74313499999999999</v>
      </c>
      <c r="E2519" s="25">
        <v>8.1349999999999998</v>
      </c>
      <c r="F2519" s="25">
        <v>8.0559999999999992</v>
      </c>
      <c r="G2519" s="26">
        <v>7.9740000000000005E-2</v>
      </c>
      <c r="H2519" s="27">
        <v>0.23230000000000001</v>
      </c>
      <c r="I2519" s="26">
        <v>0.34320000000000001</v>
      </c>
      <c r="J2519" s="28">
        <v>6</v>
      </c>
      <c r="K2519" s="27">
        <v>0.81364999999999998</v>
      </c>
      <c r="L2519" s="29">
        <f t="shared" si="156"/>
        <v>8.9562371224839246E-2</v>
      </c>
      <c r="M2519" s="29">
        <f t="shared" si="157"/>
        <v>7.9000000000000098E-2</v>
      </c>
      <c r="N2519" s="30">
        <f t="shared" si="158"/>
        <v>0.12893228391195349</v>
      </c>
      <c r="O2519" s="31">
        <f t="shared" si="159"/>
        <v>1.0562856253518573</v>
      </c>
    </row>
    <row r="2520" spans="1:15" x14ac:dyDescent="0.25">
      <c r="A2520" t="s">
        <v>8257</v>
      </c>
      <c r="B2520" t="s">
        <v>5041</v>
      </c>
      <c r="C2520" s="3" t="s">
        <v>5042</v>
      </c>
      <c r="D2520" s="24">
        <v>0.74392599999999998</v>
      </c>
      <c r="E2520" s="25">
        <v>10.93</v>
      </c>
      <c r="F2520" s="25">
        <v>10.9</v>
      </c>
      <c r="G2520" s="26">
        <v>3.5049999999999998E-2</v>
      </c>
      <c r="H2520" s="27">
        <v>0.1024</v>
      </c>
      <c r="I2520" s="26">
        <v>0.34210000000000002</v>
      </c>
      <c r="J2520" s="28">
        <v>6</v>
      </c>
      <c r="K2520" s="27">
        <v>0.81417700000000004</v>
      </c>
      <c r="L2520" s="29">
        <f t="shared" si="156"/>
        <v>8.9281170335605745E-2</v>
      </c>
      <c r="M2520" s="29">
        <f t="shared" si="157"/>
        <v>2.9999999999999832E-2</v>
      </c>
      <c r="N2520" s="30">
        <f t="shared" si="158"/>
        <v>0.12847026255898317</v>
      </c>
      <c r="O2520" s="31">
        <f t="shared" si="159"/>
        <v>1.0210121257071931</v>
      </c>
    </row>
    <row r="2521" spans="1:15" x14ac:dyDescent="0.25">
      <c r="A2521" t="s">
        <v>8258</v>
      </c>
      <c r="B2521" t="s">
        <v>5047</v>
      </c>
      <c r="C2521" s="3" t="s">
        <v>5048</v>
      </c>
      <c r="D2521" s="24">
        <v>0.74714199999999997</v>
      </c>
      <c r="E2521" s="25">
        <v>15</v>
      </c>
      <c r="F2521" s="25">
        <v>15.04</v>
      </c>
      <c r="G2521" s="26">
        <v>-3.3000000000000002E-2</v>
      </c>
      <c r="H2521" s="27">
        <v>9.7750000000000004E-2</v>
      </c>
      <c r="I2521" s="26">
        <v>0.33760000000000001</v>
      </c>
      <c r="J2521" s="28">
        <v>6</v>
      </c>
      <c r="K2521" s="27">
        <v>0.81595600000000001</v>
      </c>
      <c r="L2521" s="29">
        <f t="shared" si="156"/>
        <v>8.8333259717235338E-2</v>
      </c>
      <c r="M2521" s="29">
        <f t="shared" si="157"/>
        <v>-3.9999999999998169E-2</v>
      </c>
      <c r="N2521" s="30">
        <f t="shared" si="158"/>
        <v>0.12659684938185564</v>
      </c>
      <c r="O2521" s="31">
        <f t="shared" si="159"/>
        <v>0.97265494741228675</v>
      </c>
    </row>
    <row r="2522" spans="1:15" x14ac:dyDescent="0.25">
      <c r="A2522" t="s">
        <v>8259</v>
      </c>
      <c r="B2522" t="s">
        <v>5053</v>
      </c>
      <c r="C2522" s="3" t="s">
        <v>5054</v>
      </c>
      <c r="D2522" s="24">
        <v>0.74734400000000001</v>
      </c>
      <c r="E2522" s="25">
        <v>10.39</v>
      </c>
      <c r="F2522" s="25">
        <v>10.33</v>
      </c>
      <c r="G2522" s="26">
        <v>5.1670000000000001E-2</v>
      </c>
      <c r="H2522" s="27">
        <v>0.1532</v>
      </c>
      <c r="I2522" s="26">
        <v>0.33729999999999999</v>
      </c>
      <c r="J2522" s="28">
        <v>6</v>
      </c>
      <c r="K2522" s="27">
        <v>0.81595600000000001</v>
      </c>
      <c r="L2522" s="29">
        <f t="shared" si="156"/>
        <v>8.8333259717235338E-2</v>
      </c>
      <c r="M2522" s="29">
        <f t="shared" si="157"/>
        <v>5.9999999999999422E-2</v>
      </c>
      <c r="N2522" s="30">
        <f t="shared" si="158"/>
        <v>0.12647944783258894</v>
      </c>
      <c r="O2522" s="31">
        <f t="shared" si="159"/>
        <v>1.042465760841121</v>
      </c>
    </row>
    <row r="2523" spans="1:15" x14ac:dyDescent="0.25">
      <c r="A2523" t="s">
        <v>8260</v>
      </c>
      <c r="B2523" t="s">
        <v>5045</v>
      </c>
      <c r="C2523" s="3" t="s">
        <v>5046</v>
      </c>
      <c r="D2523" s="24">
        <v>0.74688399999999999</v>
      </c>
      <c r="E2523" s="25">
        <v>9.0709999999999997</v>
      </c>
      <c r="F2523" s="25">
        <v>9.1300000000000008</v>
      </c>
      <c r="G2523" s="26">
        <v>-5.9020000000000003E-2</v>
      </c>
      <c r="H2523" s="27">
        <v>0.17460000000000001</v>
      </c>
      <c r="I2523" s="26">
        <v>0.33800000000000002</v>
      </c>
      <c r="J2523" s="28">
        <v>6</v>
      </c>
      <c r="K2523" s="27">
        <v>0.81595600000000001</v>
      </c>
      <c r="L2523" s="29">
        <f t="shared" si="156"/>
        <v>8.8333259717235338E-2</v>
      </c>
      <c r="M2523" s="29">
        <f t="shared" si="157"/>
        <v>-5.9000000000001863E-2</v>
      </c>
      <c r="N2523" s="30">
        <f t="shared" si="158"/>
        <v>0.12674684406393594</v>
      </c>
      <c r="O2523" s="31">
        <f t="shared" si="159"/>
        <v>0.95992926103890674</v>
      </c>
    </row>
    <row r="2524" spans="1:15" x14ac:dyDescent="0.25">
      <c r="A2524" t="s">
        <v>8261</v>
      </c>
      <c r="B2524" t="s">
        <v>5051</v>
      </c>
      <c r="C2524" s="3" t="s">
        <v>5052</v>
      </c>
      <c r="D2524" s="24">
        <v>0.74734400000000001</v>
      </c>
      <c r="E2524" s="25">
        <v>10.39</v>
      </c>
      <c r="F2524" s="25">
        <v>10.33</v>
      </c>
      <c r="G2524" s="26">
        <v>5.1670000000000001E-2</v>
      </c>
      <c r="H2524" s="27">
        <v>0.1532</v>
      </c>
      <c r="I2524" s="26">
        <v>0.33729999999999999</v>
      </c>
      <c r="J2524" s="28">
        <v>6</v>
      </c>
      <c r="K2524" s="27">
        <v>0.81595600000000001</v>
      </c>
      <c r="L2524" s="29">
        <f t="shared" si="156"/>
        <v>8.8333259717235338E-2</v>
      </c>
      <c r="M2524" s="29">
        <f t="shared" si="157"/>
        <v>5.9999999999999422E-2</v>
      </c>
      <c r="N2524" s="30">
        <f t="shared" si="158"/>
        <v>0.12647944783258894</v>
      </c>
      <c r="O2524" s="31">
        <f t="shared" si="159"/>
        <v>1.042465760841121</v>
      </c>
    </row>
    <row r="2525" spans="1:15" x14ac:dyDescent="0.25">
      <c r="A2525" t="s">
        <v>8262</v>
      </c>
      <c r="B2525" t="s">
        <v>5055</v>
      </c>
      <c r="C2525" s="3" t="s">
        <v>5056</v>
      </c>
      <c r="D2525" s="24">
        <v>0.74778800000000001</v>
      </c>
      <c r="E2525" s="25">
        <v>9.4390000000000001</v>
      </c>
      <c r="F2525" s="25">
        <v>9.3940000000000001</v>
      </c>
      <c r="G2525" s="26">
        <v>4.4999999999999998E-2</v>
      </c>
      <c r="H2525" s="27">
        <v>0.1336</v>
      </c>
      <c r="I2525" s="26">
        <v>0.3367</v>
      </c>
      <c r="J2525" s="28">
        <v>6</v>
      </c>
      <c r="K2525" s="27">
        <v>0.81595600000000001</v>
      </c>
      <c r="L2525" s="29">
        <f t="shared" si="156"/>
        <v>8.8333259717235338E-2</v>
      </c>
      <c r="M2525" s="29">
        <f t="shared" si="157"/>
        <v>4.4999999999999811E-2</v>
      </c>
      <c r="N2525" s="30">
        <f t="shared" si="158"/>
        <v>0.12622150839228086</v>
      </c>
      <c r="O2525" s="31">
        <f t="shared" si="159"/>
        <v>1.0316831793013588</v>
      </c>
    </row>
    <row r="2526" spans="1:15" x14ac:dyDescent="0.25">
      <c r="A2526" t="s">
        <v>8263</v>
      </c>
      <c r="B2526" t="s">
        <v>5049</v>
      </c>
      <c r="C2526" s="3" t="s">
        <v>5050</v>
      </c>
      <c r="D2526" s="24">
        <v>0.747143</v>
      </c>
      <c r="E2526" s="25">
        <v>7.6689999999999996</v>
      </c>
      <c r="F2526" s="25">
        <v>7.7560000000000002</v>
      </c>
      <c r="G2526" s="26">
        <v>-8.6580000000000004E-2</v>
      </c>
      <c r="H2526" s="27">
        <v>0.25640000000000002</v>
      </c>
      <c r="I2526" s="26">
        <v>0.33760000000000001</v>
      </c>
      <c r="J2526" s="28">
        <v>6</v>
      </c>
      <c r="K2526" s="27">
        <v>0.81595600000000001</v>
      </c>
      <c r="L2526" s="29">
        <f t="shared" si="156"/>
        <v>8.8333259717235338E-2</v>
      </c>
      <c r="M2526" s="29">
        <f t="shared" si="157"/>
        <v>-8.7000000000000896E-2</v>
      </c>
      <c r="N2526" s="30">
        <f t="shared" si="158"/>
        <v>0.12659626810789265</v>
      </c>
      <c r="O2526" s="31">
        <f t="shared" si="159"/>
        <v>0.94147846454120565</v>
      </c>
    </row>
    <row r="2527" spans="1:15" x14ac:dyDescent="0.25">
      <c r="A2527" t="s">
        <v>8264</v>
      </c>
      <c r="B2527" t="s">
        <v>5057</v>
      </c>
      <c r="C2527" s="3" t="s">
        <v>5058</v>
      </c>
      <c r="D2527" s="24">
        <v>0.74802299999999999</v>
      </c>
      <c r="E2527" s="25">
        <v>9.0860000000000003</v>
      </c>
      <c r="F2527" s="25">
        <v>9.0139999999999993</v>
      </c>
      <c r="G2527" s="26">
        <v>7.1959999999999996E-2</v>
      </c>
      <c r="H2527" s="27">
        <v>0.21390000000000001</v>
      </c>
      <c r="I2527" s="26">
        <v>0.33639999999999998</v>
      </c>
      <c r="J2527" s="28">
        <v>6</v>
      </c>
      <c r="K2527" s="27">
        <v>0.81595600000000001</v>
      </c>
      <c r="L2527" s="29">
        <f t="shared" si="156"/>
        <v>8.8333259717235338E-2</v>
      </c>
      <c r="M2527" s="29">
        <f t="shared" si="157"/>
        <v>7.2000000000000827E-2</v>
      </c>
      <c r="N2527" s="30">
        <f t="shared" si="158"/>
        <v>0.12608504836613194</v>
      </c>
      <c r="O2527" s="31">
        <f t="shared" si="159"/>
        <v>1.0511729090877071</v>
      </c>
    </row>
    <row r="2528" spans="1:15" x14ac:dyDescent="0.25">
      <c r="A2528" t="s">
        <v>8265</v>
      </c>
      <c r="B2528" t="s">
        <v>5059</v>
      </c>
      <c r="C2528" s="3" t="s">
        <v>5060</v>
      </c>
      <c r="D2528" s="24">
        <v>0.74821000000000004</v>
      </c>
      <c r="E2528" s="25">
        <v>10.039999999999999</v>
      </c>
      <c r="F2528" s="25">
        <v>9.9830000000000005</v>
      </c>
      <c r="G2528" s="26">
        <v>5.8889999999999998E-2</v>
      </c>
      <c r="H2528" s="27">
        <v>0.17519999999999999</v>
      </c>
      <c r="I2528" s="26">
        <v>0.33610000000000001</v>
      </c>
      <c r="J2528" s="28">
        <v>6</v>
      </c>
      <c r="K2528" s="27">
        <v>0.81595600000000001</v>
      </c>
      <c r="L2528" s="29">
        <f t="shared" si="156"/>
        <v>8.8333259717235338E-2</v>
      </c>
      <c r="M2528" s="29">
        <f t="shared" si="157"/>
        <v>5.6999999999998684E-2</v>
      </c>
      <c r="N2528" s="30">
        <f t="shared" si="158"/>
        <v>0.12597649165265376</v>
      </c>
      <c r="O2528" s="31">
        <f t="shared" si="159"/>
        <v>1.0403002665219849</v>
      </c>
    </row>
    <row r="2529" spans="1:15" x14ac:dyDescent="0.25">
      <c r="A2529" t="s">
        <v>8266</v>
      </c>
      <c r="B2529" t="s">
        <v>5043</v>
      </c>
      <c r="C2529" s="3" t="s">
        <v>5044</v>
      </c>
      <c r="D2529" s="24">
        <v>0.74648999999999999</v>
      </c>
      <c r="E2529" s="25">
        <v>15.64</v>
      </c>
      <c r="F2529" s="25">
        <v>15.75</v>
      </c>
      <c r="G2529" s="26">
        <v>-0.1066</v>
      </c>
      <c r="H2529" s="27">
        <v>0.31480000000000002</v>
      </c>
      <c r="I2529" s="26">
        <v>0.33850000000000002</v>
      </c>
      <c r="J2529" s="28">
        <v>6</v>
      </c>
      <c r="K2529" s="27">
        <v>0.81595600000000001</v>
      </c>
      <c r="L2529" s="29">
        <f t="shared" si="156"/>
        <v>8.8333259717235338E-2</v>
      </c>
      <c r="M2529" s="29">
        <f t="shared" si="157"/>
        <v>-0.10999999999999788</v>
      </c>
      <c r="N2529" s="30">
        <f t="shared" si="158"/>
        <v>0.12697600572048023</v>
      </c>
      <c r="O2529" s="31">
        <f t="shared" si="159"/>
        <v>0.92658806189037224</v>
      </c>
    </row>
    <row r="2530" spans="1:15" x14ac:dyDescent="0.25">
      <c r="A2530" t="s">
        <v>8267</v>
      </c>
      <c r="B2530" t="s">
        <v>5065</v>
      </c>
      <c r="C2530" s="3" t="s">
        <v>5066</v>
      </c>
      <c r="D2530" s="24">
        <v>0.75005500000000003</v>
      </c>
      <c r="E2530" s="25">
        <v>11.4</v>
      </c>
      <c r="F2530" s="25">
        <v>11.37</v>
      </c>
      <c r="G2530" s="26">
        <v>3.7409999999999999E-2</v>
      </c>
      <c r="H2530" s="27">
        <v>0.11219999999999999</v>
      </c>
      <c r="I2530" s="26">
        <v>0.33360000000000001</v>
      </c>
      <c r="J2530" s="28">
        <v>6</v>
      </c>
      <c r="K2530" s="27">
        <v>0.81681999999999999</v>
      </c>
      <c r="L2530" s="29">
        <f t="shared" si="156"/>
        <v>8.7873637004276264E-2</v>
      </c>
      <c r="M2530" s="29">
        <f t="shared" si="157"/>
        <v>3.0000000000001088E-2</v>
      </c>
      <c r="N2530" s="30">
        <f t="shared" si="158"/>
        <v>0.12490688951400619</v>
      </c>
      <c r="O2530" s="31">
        <f t="shared" si="159"/>
        <v>1.021012125707194</v>
      </c>
    </row>
    <row r="2531" spans="1:15" x14ac:dyDescent="0.25">
      <c r="A2531" t="s">
        <v>8268</v>
      </c>
      <c r="B2531" t="s">
        <v>5061</v>
      </c>
      <c r="C2531" s="3" t="s">
        <v>5062</v>
      </c>
      <c r="D2531" s="24">
        <v>0.74941999999999998</v>
      </c>
      <c r="E2531" s="25">
        <v>11.47</v>
      </c>
      <c r="F2531" s="25">
        <v>11.73</v>
      </c>
      <c r="G2531" s="26">
        <v>-0.25590000000000002</v>
      </c>
      <c r="H2531" s="27">
        <v>0.76500000000000001</v>
      </c>
      <c r="I2531" s="26">
        <v>0.33450000000000002</v>
      </c>
      <c r="J2531" s="28">
        <v>6</v>
      </c>
      <c r="K2531" s="27">
        <v>0.81681999999999999</v>
      </c>
      <c r="L2531" s="29">
        <f t="shared" si="156"/>
        <v>8.7873637004276264E-2</v>
      </c>
      <c r="M2531" s="29">
        <f t="shared" si="157"/>
        <v>-0.25999999999999984</v>
      </c>
      <c r="N2531" s="30">
        <f t="shared" si="158"/>
        <v>0.12527472093833036</v>
      </c>
      <c r="O2531" s="31">
        <f t="shared" si="159"/>
        <v>0.83508791942836946</v>
      </c>
    </row>
    <row r="2532" spans="1:15" x14ac:dyDescent="0.25">
      <c r="A2532" t="s">
        <v>8269</v>
      </c>
      <c r="B2532" t="s">
        <v>5063</v>
      </c>
      <c r="C2532" s="3" t="s">
        <v>5064</v>
      </c>
      <c r="D2532" s="24">
        <v>0.74997800000000003</v>
      </c>
      <c r="E2532" s="25">
        <v>7.5590000000000002</v>
      </c>
      <c r="F2532" s="25">
        <v>7.5359999999999996</v>
      </c>
      <c r="G2532" s="26">
        <v>2.256E-2</v>
      </c>
      <c r="H2532" s="27">
        <v>6.7610000000000003E-2</v>
      </c>
      <c r="I2532" s="26">
        <v>0.3337</v>
      </c>
      <c r="J2532" s="28">
        <v>6</v>
      </c>
      <c r="K2532" s="27">
        <v>0.81681999999999999</v>
      </c>
      <c r="L2532" s="29">
        <f t="shared" si="156"/>
        <v>8.7873637004276264E-2</v>
      </c>
      <c r="M2532" s="29">
        <f t="shared" si="157"/>
        <v>2.3000000000000815E-2</v>
      </c>
      <c r="N2532" s="30">
        <f t="shared" si="158"/>
        <v>0.12495147609994921</v>
      </c>
      <c r="O2532" s="31">
        <f t="shared" si="159"/>
        <v>1.0160701429937025</v>
      </c>
    </row>
    <row r="2533" spans="1:15" x14ac:dyDescent="0.25">
      <c r="A2533" t="s">
        <v>8270</v>
      </c>
      <c r="B2533" t="s">
        <v>5067</v>
      </c>
      <c r="C2533" s="3" t="s">
        <v>5068</v>
      </c>
      <c r="D2533" s="24">
        <v>0.75018499999999999</v>
      </c>
      <c r="E2533" s="25">
        <v>7.38</v>
      </c>
      <c r="F2533" s="25">
        <v>7.133</v>
      </c>
      <c r="G2533" s="26">
        <v>0.24679999999999999</v>
      </c>
      <c r="H2533" s="27">
        <v>0.74019999999999997</v>
      </c>
      <c r="I2533" s="26">
        <v>0.33339999999999997</v>
      </c>
      <c r="J2533" s="28">
        <v>6</v>
      </c>
      <c r="K2533" s="27">
        <v>0.81681999999999999</v>
      </c>
      <c r="L2533" s="29">
        <f t="shared" si="156"/>
        <v>8.7873637004276264E-2</v>
      </c>
      <c r="M2533" s="29">
        <f t="shared" si="157"/>
        <v>0.24700000000000066</v>
      </c>
      <c r="N2533" s="30">
        <f t="shared" si="158"/>
        <v>0.1248316238461281</v>
      </c>
      <c r="O2533" s="31">
        <f t="shared" si="159"/>
        <v>1.1867367976565326</v>
      </c>
    </row>
    <row r="2534" spans="1:15" x14ac:dyDescent="0.25">
      <c r="A2534" t="s">
        <v>8271</v>
      </c>
      <c r="B2534" t="s">
        <v>5071</v>
      </c>
      <c r="C2534" s="3" t="s">
        <v>5072</v>
      </c>
      <c r="D2534" s="24">
        <v>0.75189399999999995</v>
      </c>
      <c r="E2534" s="25">
        <v>8.282</v>
      </c>
      <c r="F2534" s="25">
        <v>8.2260000000000009</v>
      </c>
      <c r="G2534" s="26">
        <v>5.5399999999999998E-2</v>
      </c>
      <c r="H2534" s="27">
        <v>0.16739999999999999</v>
      </c>
      <c r="I2534" s="26">
        <v>0.33100000000000002</v>
      </c>
      <c r="J2534" s="28">
        <v>6</v>
      </c>
      <c r="K2534" s="27">
        <v>0.81803700000000001</v>
      </c>
      <c r="L2534" s="29">
        <f t="shared" si="156"/>
        <v>8.7227052646005804E-2</v>
      </c>
      <c r="M2534" s="29">
        <f t="shared" si="157"/>
        <v>5.5999999999999141E-2</v>
      </c>
      <c r="N2534" s="30">
        <f t="shared" si="158"/>
        <v>0.12384338076459428</v>
      </c>
      <c r="O2534" s="31">
        <f t="shared" si="159"/>
        <v>1.0395794351752781</v>
      </c>
    </row>
    <row r="2535" spans="1:15" x14ac:dyDescent="0.25">
      <c r="A2535" t="s">
        <v>8272</v>
      </c>
      <c r="B2535" t="s">
        <v>5069</v>
      </c>
      <c r="C2535" s="3" t="s">
        <v>5070</v>
      </c>
      <c r="D2535" s="24">
        <v>0.75166200000000005</v>
      </c>
      <c r="E2535" s="25">
        <v>7.1559999999999997</v>
      </c>
      <c r="F2535" s="25">
        <v>7.2350000000000003</v>
      </c>
      <c r="G2535" s="26">
        <v>-7.8939999999999996E-2</v>
      </c>
      <c r="H2535" s="27">
        <v>0.23830000000000001</v>
      </c>
      <c r="I2535" s="26">
        <v>0.33129999999999998</v>
      </c>
      <c r="J2535" s="28">
        <v>6</v>
      </c>
      <c r="K2535" s="27">
        <v>0.81803700000000001</v>
      </c>
      <c r="L2535" s="29">
        <f t="shared" si="156"/>
        <v>8.7227052646005804E-2</v>
      </c>
      <c r="M2535" s="29">
        <f t="shared" si="157"/>
        <v>-7.900000000000143E-2</v>
      </c>
      <c r="N2535" s="30">
        <f t="shared" si="158"/>
        <v>0.1239774047990847</v>
      </c>
      <c r="O2535" s="31">
        <f t="shared" si="159"/>
        <v>0.94671363123671304</v>
      </c>
    </row>
    <row r="2536" spans="1:15" x14ac:dyDescent="0.25">
      <c r="A2536" t="s">
        <v>8273</v>
      </c>
      <c r="B2536" t="s">
        <v>5077</v>
      </c>
      <c r="C2536" s="3" t="s">
        <v>5078</v>
      </c>
      <c r="D2536" s="24">
        <v>0.75385500000000005</v>
      </c>
      <c r="E2536" s="25">
        <v>8.5239999999999991</v>
      </c>
      <c r="F2536" s="25">
        <v>8.3970000000000002</v>
      </c>
      <c r="G2536" s="26">
        <v>0.127</v>
      </c>
      <c r="H2536" s="27">
        <v>0.38679999999999998</v>
      </c>
      <c r="I2536" s="26">
        <v>0.32829999999999998</v>
      </c>
      <c r="J2536" s="28">
        <v>6</v>
      </c>
      <c r="K2536" s="27">
        <v>0.81870500000000002</v>
      </c>
      <c r="L2536" s="29">
        <f t="shared" si="156"/>
        <v>8.6872557276522988E-2</v>
      </c>
      <c r="M2536" s="29">
        <f t="shared" si="157"/>
        <v>0.12699999999999884</v>
      </c>
      <c r="N2536" s="30">
        <f t="shared" si="158"/>
        <v>0.12271218033144564</v>
      </c>
      <c r="O2536" s="31">
        <f t="shared" si="159"/>
        <v>1.0920205457456511</v>
      </c>
    </row>
    <row r="2537" spans="1:15" x14ac:dyDescent="0.25">
      <c r="A2537" t="s">
        <v>8274</v>
      </c>
      <c r="B2537" t="s">
        <v>5079</v>
      </c>
      <c r="C2537" s="3" t="s">
        <v>5080</v>
      </c>
      <c r="D2537" s="24">
        <v>0.75385500000000005</v>
      </c>
      <c r="E2537" s="25">
        <v>8.5239999999999991</v>
      </c>
      <c r="F2537" s="25">
        <v>8.3970000000000002</v>
      </c>
      <c r="G2537" s="26">
        <v>0.127</v>
      </c>
      <c r="H2537" s="27">
        <v>0.38679999999999998</v>
      </c>
      <c r="I2537" s="26">
        <v>0.32829999999999998</v>
      </c>
      <c r="J2537" s="28">
        <v>6</v>
      </c>
      <c r="K2537" s="27">
        <v>0.81870500000000002</v>
      </c>
      <c r="L2537" s="29">
        <f t="shared" si="156"/>
        <v>8.6872557276522988E-2</v>
      </c>
      <c r="M2537" s="29">
        <f t="shared" si="157"/>
        <v>0.12699999999999884</v>
      </c>
      <c r="N2537" s="30">
        <f t="shared" si="158"/>
        <v>0.12271218033144564</v>
      </c>
      <c r="O2537" s="31">
        <f t="shared" si="159"/>
        <v>1.0920205457456511</v>
      </c>
    </row>
    <row r="2538" spans="1:15" x14ac:dyDescent="0.25">
      <c r="A2538" t="s">
        <v>8275</v>
      </c>
      <c r="B2538" t="s">
        <v>5075</v>
      </c>
      <c r="C2538" s="3" t="s">
        <v>5076</v>
      </c>
      <c r="D2538" s="24">
        <v>0.75325799999999998</v>
      </c>
      <c r="E2538" s="25">
        <v>8.593</v>
      </c>
      <c r="F2538" s="25">
        <v>8.5120000000000005</v>
      </c>
      <c r="G2538" s="26">
        <v>8.1030000000000005E-2</v>
      </c>
      <c r="H2538" s="27">
        <v>0.2462</v>
      </c>
      <c r="I2538" s="26">
        <v>0.3291</v>
      </c>
      <c r="J2538" s="28">
        <v>6</v>
      </c>
      <c r="K2538" s="27">
        <v>0.81870500000000002</v>
      </c>
      <c r="L2538" s="29">
        <f t="shared" si="156"/>
        <v>8.6872557276522988E-2</v>
      </c>
      <c r="M2538" s="29">
        <f t="shared" si="157"/>
        <v>8.0999999999999781E-2</v>
      </c>
      <c r="N2538" s="30">
        <f t="shared" si="158"/>
        <v>0.12305624719206902</v>
      </c>
      <c r="O2538" s="31">
        <f t="shared" si="159"/>
        <v>1.057750963618427</v>
      </c>
    </row>
    <row r="2539" spans="1:15" x14ac:dyDescent="0.25">
      <c r="A2539" t="s">
        <v>8276</v>
      </c>
      <c r="B2539" t="s">
        <v>5081</v>
      </c>
      <c r="C2539" s="3" t="s">
        <v>5082</v>
      </c>
      <c r="D2539" s="24">
        <v>0.75399000000000005</v>
      </c>
      <c r="E2539" s="25">
        <v>6.5</v>
      </c>
      <c r="F2539" s="25">
        <v>6.2569999999999997</v>
      </c>
      <c r="G2539" s="26">
        <v>0.24329999999999999</v>
      </c>
      <c r="H2539" s="27">
        <v>0.74170000000000003</v>
      </c>
      <c r="I2539" s="26">
        <v>0.3281</v>
      </c>
      <c r="J2539" s="28">
        <v>6</v>
      </c>
      <c r="K2539" s="27">
        <v>0.81870500000000002</v>
      </c>
      <c r="L2539" s="29">
        <f t="shared" si="156"/>
        <v>8.6872557276522988E-2</v>
      </c>
      <c r="M2539" s="29">
        <f t="shared" si="157"/>
        <v>0.24300000000000049</v>
      </c>
      <c r="N2539" s="30">
        <f t="shared" si="158"/>
        <v>0.12263441404218699</v>
      </c>
      <c r="O2539" s="31">
        <f t="shared" si="159"/>
        <v>1.1834510217525716</v>
      </c>
    </row>
    <row r="2540" spans="1:15" x14ac:dyDescent="0.25">
      <c r="A2540" t="s">
        <v>8277</v>
      </c>
      <c r="B2540" t="s">
        <v>5073</v>
      </c>
      <c r="C2540" s="3" t="s">
        <v>5074</v>
      </c>
      <c r="D2540" s="24">
        <v>0.75306300000000004</v>
      </c>
      <c r="E2540" s="25">
        <v>7.6559999999999997</v>
      </c>
      <c r="F2540" s="25">
        <v>7.5990000000000002</v>
      </c>
      <c r="G2540" s="26">
        <v>5.722E-2</v>
      </c>
      <c r="H2540" s="27">
        <v>0.17369999999999999</v>
      </c>
      <c r="I2540" s="26">
        <v>0.32940000000000003</v>
      </c>
      <c r="J2540" s="28">
        <v>6</v>
      </c>
      <c r="K2540" s="27">
        <v>0.81870500000000002</v>
      </c>
      <c r="L2540" s="29">
        <f t="shared" si="156"/>
        <v>8.6872557276522988E-2</v>
      </c>
      <c r="M2540" s="29">
        <f t="shared" si="157"/>
        <v>5.6999999999998385E-2</v>
      </c>
      <c r="N2540" s="30">
        <f t="shared" si="158"/>
        <v>0.12316868992432091</v>
      </c>
      <c r="O2540" s="31">
        <f t="shared" si="159"/>
        <v>1.0403002665219847</v>
      </c>
    </row>
    <row r="2541" spans="1:15" x14ac:dyDescent="0.25">
      <c r="A2541" t="s">
        <v>8278</v>
      </c>
      <c r="B2541" t="s">
        <v>5083</v>
      </c>
      <c r="C2541" s="3" t="s">
        <v>5084</v>
      </c>
      <c r="D2541" s="24">
        <v>0.75496099999999999</v>
      </c>
      <c r="E2541" s="25">
        <v>11.8</v>
      </c>
      <c r="F2541" s="25">
        <v>11.85</v>
      </c>
      <c r="G2541" s="26">
        <v>-4.965E-2</v>
      </c>
      <c r="H2541" s="27">
        <v>0.15190000000000001</v>
      </c>
      <c r="I2541" s="26">
        <v>0.32669999999999999</v>
      </c>
      <c r="J2541" s="28">
        <v>6</v>
      </c>
      <c r="K2541" s="27">
        <v>0.81942899999999996</v>
      </c>
      <c r="L2541" s="29">
        <f t="shared" si="156"/>
        <v>8.6488670213107105E-2</v>
      </c>
      <c r="M2541" s="29">
        <f t="shared" si="157"/>
        <v>-4.9999999999998108E-2</v>
      </c>
      <c r="N2541" s="30">
        <f t="shared" si="158"/>
        <v>0.1220754827049409</v>
      </c>
      <c r="O2541" s="31">
        <f t="shared" si="159"/>
        <v>0.96593632892484682</v>
      </c>
    </row>
    <row r="2542" spans="1:15" x14ac:dyDescent="0.25">
      <c r="A2542" t="s">
        <v>8279</v>
      </c>
      <c r="B2542" t="s">
        <v>5087</v>
      </c>
      <c r="C2542" s="3" t="s">
        <v>5088</v>
      </c>
      <c r="D2542" s="24">
        <v>0.75554699999999997</v>
      </c>
      <c r="E2542" s="25">
        <v>9.3190000000000008</v>
      </c>
      <c r="F2542" s="25">
        <v>9.2129999999999992</v>
      </c>
      <c r="G2542" s="26">
        <v>0.1061</v>
      </c>
      <c r="H2542" s="27">
        <v>0.32569999999999999</v>
      </c>
      <c r="I2542" s="26">
        <v>0.32590000000000002</v>
      </c>
      <c r="J2542" s="28">
        <v>6</v>
      </c>
      <c r="K2542" s="27">
        <v>0.81942899999999996</v>
      </c>
      <c r="L2542" s="29">
        <f t="shared" si="156"/>
        <v>8.6488670213107105E-2</v>
      </c>
      <c r="M2542" s="29">
        <f t="shared" si="157"/>
        <v>0.10600000000000123</v>
      </c>
      <c r="N2542" s="30">
        <f t="shared" si="158"/>
        <v>0.12173851450727109</v>
      </c>
      <c r="O2542" s="31">
        <f t="shared" si="159"/>
        <v>1.076240124783798</v>
      </c>
    </row>
    <row r="2543" spans="1:15" x14ac:dyDescent="0.25">
      <c r="A2543" t="s">
        <v>8280</v>
      </c>
      <c r="B2543" t="s">
        <v>5085</v>
      </c>
      <c r="C2543" s="3" t="s">
        <v>5086</v>
      </c>
      <c r="D2543" s="24">
        <v>0.75532200000000005</v>
      </c>
      <c r="E2543" s="25">
        <v>8.2270000000000003</v>
      </c>
      <c r="F2543" s="25">
        <v>8.1379999999999999</v>
      </c>
      <c r="G2543" s="26">
        <v>8.8370000000000004E-2</v>
      </c>
      <c r="H2543" s="27">
        <v>0.27089999999999997</v>
      </c>
      <c r="I2543" s="26">
        <v>0.32619999999999999</v>
      </c>
      <c r="J2543" s="28">
        <v>6</v>
      </c>
      <c r="K2543" s="27">
        <v>0.81942899999999996</v>
      </c>
      <c r="L2543" s="29">
        <f t="shared" si="156"/>
        <v>8.6488670213107105E-2</v>
      </c>
      <c r="M2543" s="29">
        <f t="shared" si="157"/>
        <v>8.900000000000062E-2</v>
      </c>
      <c r="N2543" s="30">
        <f t="shared" si="158"/>
        <v>0.12186786557496863</v>
      </c>
      <c r="O2543" s="31">
        <f t="shared" si="159"/>
        <v>1.0636326728931851</v>
      </c>
    </row>
    <row r="2544" spans="1:15" x14ac:dyDescent="0.25">
      <c r="A2544" t="s">
        <v>8281</v>
      </c>
      <c r="B2544" t="s">
        <v>5093</v>
      </c>
      <c r="C2544" s="3" t="s">
        <v>5094</v>
      </c>
      <c r="D2544" s="24">
        <v>0.75665199999999999</v>
      </c>
      <c r="E2544" s="25">
        <v>11.76</v>
      </c>
      <c r="F2544" s="25">
        <v>11.71</v>
      </c>
      <c r="G2544" s="26">
        <v>4.7989999999999998E-2</v>
      </c>
      <c r="H2544" s="27">
        <v>0.1479</v>
      </c>
      <c r="I2544" s="26">
        <v>0.32440000000000002</v>
      </c>
      <c r="J2544" s="28">
        <v>6</v>
      </c>
      <c r="K2544" s="27">
        <v>0.819662</v>
      </c>
      <c r="L2544" s="29">
        <f t="shared" si="156"/>
        <v>8.6365198587718309E-2</v>
      </c>
      <c r="M2544" s="29">
        <f t="shared" si="157"/>
        <v>5.0000000000000731E-2</v>
      </c>
      <c r="N2544" s="30">
        <f t="shared" si="158"/>
        <v>0.12110381565094637</v>
      </c>
      <c r="O2544" s="31">
        <f t="shared" si="159"/>
        <v>1.035264923841378</v>
      </c>
    </row>
    <row r="2545" spans="1:15" x14ac:dyDescent="0.25">
      <c r="A2545" t="s">
        <v>8282</v>
      </c>
      <c r="B2545" t="s">
        <v>5091</v>
      </c>
      <c r="C2545" s="3" t="s">
        <v>5092</v>
      </c>
      <c r="D2545" s="24">
        <v>0.75643700000000003</v>
      </c>
      <c r="E2545" s="25">
        <v>12.21</v>
      </c>
      <c r="F2545" s="25">
        <v>12.25</v>
      </c>
      <c r="G2545" s="26">
        <v>-4.4040000000000003E-2</v>
      </c>
      <c r="H2545" s="27">
        <v>0.1356</v>
      </c>
      <c r="I2545" s="26">
        <v>0.32469999999999999</v>
      </c>
      <c r="J2545" s="28">
        <v>6</v>
      </c>
      <c r="K2545" s="27">
        <v>0.819662</v>
      </c>
      <c r="L2545" s="29">
        <f t="shared" si="156"/>
        <v>8.6365198587718309E-2</v>
      </c>
      <c r="M2545" s="29">
        <f t="shared" si="157"/>
        <v>-3.9999999999998995E-2</v>
      </c>
      <c r="N2545" s="30">
        <f t="shared" si="158"/>
        <v>0.12122723643351446</v>
      </c>
      <c r="O2545" s="31">
        <f t="shared" si="159"/>
        <v>0.9726549474122862</v>
      </c>
    </row>
    <row r="2546" spans="1:15" x14ac:dyDescent="0.25">
      <c r="A2546" t="s">
        <v>8283</v>
      </c>
      <c r="B2546" t="s">
        <v>5089</v>
      </c>
      <c r="C2546" s="3" t="s">
        <v>5090</v>
      </c>
      <c r="D2546" s="24">
        <v>0.75625699999999996</v>
      </c>
      <c r="E2546" s="25">
        <v>12.36</v>
      </c>
      <c r="F2546" s="25">
        <v>12.45</v>
      </c>
      <c r="G2546" s="26">
        <v>-8.4519999999999998E-2</v>
      </c>
      <c r="H2546" s="27">
        <v>0.2601</v>
      </c>
      <c r="I2546" s="26">
        <v>0.32490000000000002</v>
      </c>
      <c r="J2546" s="28">
        <v>6</v>
      </c>
      <c r="K2546" s="27">
        <v>0.819662</v>
      </c>
      <c r="L2546" s="29">
        <f t="shared" si="156"/>
        <v>8.6365198587718309E-2</v>
      </c>
      <c r="M2546" s="29">
        <f t="shared" si="157"/>
        <v>-8.9999999999999636E-2</v>
      </c>
      <c r="N2546" s="30">
        <f t="shared" si="158"/>
        <v>0.12133059244221363</v>
      </c>
      <c r="O2546" s="31">
        <f t="shared" si="159"/>
        <v>0.93952274921401202</v>
      </c>
    </row>
    <row r="2547" spans="1:15" x14ac:dyDescent="0.25">
      <c r="A2547" t="s">
        <v>8284</v>
      </c>
      <c r="B2547" t="s">
        <v>5095</v>
      </c>
      <c r="C2547" s="3" t="s">
        <v>5096</v>
      </c>
      <c r="D2547" s="24">
        <v>0.75798299999999996</v>
      </c>
      <c r="E2547" s="25">
        <v>11.92</v>
      </c>
      <c r="F2547" s="25">
        <v>11.96</v>
      </c>
      <c r="G2547" s="26">
        <v>-3.5009999999999999E-2</v>
      </c>
      <c r="H2547" s="27">
        <v>0.1085</v>
      </c>
      <c r="I2547" s="26">
        <v>0.32250000000000001</v>
      </c>
      <c r="J2547" s="28">
        <v>6</v>
      </c>
      <c r="K2547" s="27">
        <v>0.82078200000000001</v>
      </c>
      <c r="L2547" s="29">
        <f t="shared" si="156"/>
        <v>8.5772176338486425E-2</v>
      </c>
      <c r="M2547" s="29">
        <f t="shared" si="157"/>
        <v>-4.0000000000001631E-2</v>
      </c>
      <c r="N2547" s="30">
        <f t="shared" si="158"/>
        <v>0.12034053459088126</v>
      </c>
      <c r="O2547" s="31">
        <f t="shared" si="159"/>
        <v>0.97265494741228442</v>
      </c>
    </row>
    <row r="2548" spans="1:15" x14ac:dyDescent="0.25">
      <c r="A2548" t="s">
        <v>8285</v>
      </c>
      <c r="B2548" t="s">
        <v>5097</v>
      </c>
      <c r="C2548" s="3" t="s">
        <v>5098</v>
      </c>
      <c r="D2548" s="24">
        <v>0.75864399999999999</v>
      </c>
      <c r="E2548" s="25">
        <v>7.7670000000000003</v>
      </c>
      <c r="F2548" s="25">
        <v>7.7030000000000003</v>
      </c>
      <c r="G2548" s="26">
        <v>6.4350000000000004E-2</v>
      </c>
      <c r="H2548" s="27">
        <v>0.2001</v>
      </c>
      <c r="I2548" s="26">
        <v>0.3216</v>
      </c>
      <c r="J2548" s="28">
        <v>6</v>
      </c>
      <c r="K2548" s="27">
        <v>0.82117600000000002</v>
      </c>
      <c r="L2548" s="29">
        <f t="shared" si="156"/>
        <v>8.5563751970562194E-2</v>
      </c>
      <c r="M2548" s="29">
        <f t="shared" si="157"/>
        <v>6.4000000000000237E-2</v>
      </c>
      <c r="N2548" s="30">
        <f t="shared" si="158"/>
        <v>0.11996197259677914</v>
      </c>
      <c r="O2548" s="31">
        <f t="shared" si="159"/>
        <v>1.0453601002051651</v>
      </c>
    </row>
    <row r="2549" spans="1:15" x14ac:dyDescent="0.25">
      <c r="A2549" t="s">
        <v>8286</v>
      </c>
      <c r="B2549" t="s">
        <v>5099</v>
      </c>
      <c r="C2549" s="3" t="s">
        <v>5100</v>
      </c>
      <c r="D2549" s="24">
        <v>0.75967399999999996</v>
      </c>
      <c r="E2549" s="25">
        <v>7.9980000000000002</v>
      </c>
      <c r="F2549" s="25">
        <v>7.9269999999999996</v>
      </c>
      <c r="G2549" s="26">
        <v>7.1069999999999994E-2</v>
      </c>
      <c r="H2549" s="27">
        <v>0.22189999999999999</v>
      </c>
      <c r="I2549" s="26">
        <v>0.32019999999999998</v>
      </c>
      <c r="J2549" s="28">
        <v>6</v>
      </c>
      <c r="K2549" s="27">
        <v>0.82196899999999995</v>
      </c>
      <c r="L2549" s="29">
        <f t="shared" si="156"/>
        <v>8.5144561271156632E-2</v>
      </c>
      <c r="M2549" s="29">
        <f t="shared" si="157"/>
        <v>7.1000000000000368E-2</v>
      </c>
      <c r="N2549" s="30">
        <f t="shared" si="158"/>
        <v>0.11937273715996009</v>
      </c>
      <c r="O2549" s="31">
        <f t="shared" si="159"/>
        <v>1.0504445440107535</v>
      </c>
    </row>
    <row r="2550" spans="1:15" x14ac:dyDescent="0.25">
      <c r="A2550" t="s">
        <v>8287</v>
      </c>
      <c r="B2550" t="s">
        <v>5109</v>
      </c>
      <c r="C2550" s="3" t="s">
        <v>5110</v>
      </c>
      <c r="D2550" s="24">
        <v>0.76121000000000005</v>
      </c>
      <c r="E2550" s="25">
        <v>8.1379999999999999</v>
      </c>
      <c r="F2550" s="25">
        <v>8.18</v>
      </c>
      <c r="G2550" s="26">
        <v>-4.2020000000000002E-2</v>
      </c>
      <c r="H2550" s="27">
        <v>0.1321</v>
      </c>
      <c r="I2550" s="26">
        <v>0.31809999999999999</v>
      </c>
      <c r="J2550" s="28">
        <v>6</v>
      </c>
      <c r="K2550" s="27">
        <v>0.822021</v>
      </c>
      <c r="L2550" s="29">
        <f t="shared" si="156"/>
        <v>8.5117087487171922E-2</v>
      </c>
      <c r="M2550" s="29">
        <f t="shared" si="157"/>
        <v>-4.1999999999999885E-2</v>
      </c>
      <c r="N2550" s="30">
        <f t="shared" si="158"/>
        <v>0.11849551502992998</v>
      </c>
      <c r="O2550" s="31">
        <f t="shared" si="159"/>
        <v>0.97130749554163343</v>
      </c>
    </row>
    <row r="2551" spans="1:15" x14ac:dyDescent="0.25">
      <c r="A2551" t="s">
        <v>8288</v>
      </c>
      <c r="B2551" t="s">
        <v>5103</v>
      </c>
      <c r="C2551" s="3" t="s">
        <v>5104</v>
      </c>
      <c r="D2551" s="24">
        <v>0.76065000000000005</v>
      </c>
      <c r="E2551" s="25">
        <v>11.82</v>
      </c>
      <c r="F2551" s="25">
        <v>11.85</v>
      </c>
      <c r="G2551" s="26">
        <v>-2.2159999999999999E-2</v>
      </c>
      <c r="H2551" s="27">
        <v>6.9500000000000006E-2</v>
      </c>
      <c r="I2551" s="26">
        <v>0.31879999999999997</v>
      </c>
      <c r="J2551" s="28">
        <v>6</v>
      </c>
      <c r="K2551" s="27">
        <v>0.822021</v>
      </c>
      <c r="L2551" s="29">
        <f t="shared" si="156"/>
        <v>8.5117087487171922E-2</v>
      </c>
      <c r="M2551" s="29">
        <f t="shared" si="157"/>
        <v>-2.9999999999999725E-2</v>
      </c>
      <c r="N2551" s="30">
        <f t="shared" si="158"/>
        <v>0.11881513039644553</v>
      </c>
      <c r="O2551" s="31">
        <f t="shared" si="159"/>
        <v>0.97942029758692706</v>
      </c>
    </row>
    <row r="2552" spans="1:15" x14ac:dyDescent="0.25">
      <c r="A2552" t="s">
        <v>8289</v>
      </c>
      <c r="B2552" t="s">
        <v>5101</v>
      </c>
      <c r="C2552" s="3" t="s">
        <v>5102</v>
      </c>
      <c r="D2552" s="24">
        <v>0.76032200000000005</v>
      </c>
      <c r="E2552" s="25">
        <v>8.0090000000000003</v>
      </c>
      <c r="F2552" s="25">
        <v>7.944</v>
      </c>
      <c r="G2552" s="26">
        <v>6.5250000000000002E-2</v>
      </c>
      <c r="H2552" s="27">
        <v>0.20430000000000001</v>
      </c>
      <c r="I2552" s="26">
        <v>0.31929999999999997</v>
      </c>
      <c r="J2552" s="28">
        <v>6</v>
      </c>
      <c r="K2552" s="27">
        <v>0.822021</v>
      </c>
      <c r="L2552" s="29">
        <f t="shared" si="156"/>
        <v>8.5117087487171922E-2</v>
      </c>
      <c r="M2552" s="29">
        <f t="shared" si="157"/>
        <v>6.5000000000000474E-2</v>
      </c>
      <c r="N2552" s="30">
        <f t="shared" si="158"/>
        <v>0.11900244297323523</v>
      </c>
      <c r="O2552" s="31">
        <f t="shared" si="159"/>
        <v>1.0460849397925296</v>
      </c>
    </row>
    <row r="2553" spans="1:15" x14ac:dyDescent="0.25">
      <c r="A2553" t="s">
        <v>8290</v>
      </c>
      <c r="B2553" t="s">
        <v>5105</v>
      </c>
      <c r="C2553" s="3" t="s">
        <v>5106</v>
      </c>
      <c r="D2553" s="24">
        <v>0.760876</v>
      </c>
      <c r="E2553" s="25">
        <v>9.6120000000000001</v>
      </c>
      <c r="F2553" s="25">
        <v>9.6449999999999996</v>
      </c>
      <c r="G2553" s="26">
        <v>-3.2800000000000003E-2</v>
      </c>
      <c r="H2553" s="27">
        <v>0.10299999999999999</v>
      </c>
      <c r="I2553" s="26">
        <v>0.31850000000000001</v>
      </c>
      <c r="J2553" s="28">
        <v>6</v>
      </c>
      <c r="K2553" s="27">
        <v>0.822021</v>
      </c>
      <c r="L2553" s="29">
        <f t="shared" si="156"/>
        <v>8.5117087487171922E-2</v>
      </c>
      <c r="M2553" s="29">
        <f t="shared" si="157"/>
        <v>-3.2999999999999877E-2</v>
      </c>
      <c r="N2553" s="30">
        <f t="shared" si="158"/>
        <v>0.11868611445635389</v>
      </c>
      <c r="O2553" s="31">
        <f t="shared" si="159"/>
        <v>0.97738576641080543</v>
      </c>
    </row>
    <row r="2554" spans="1:15" x14ac:dyDescent="0.25">
      <c r="A2554" t="s">
        <v>8291</v>
      </c>
      <c r="B2554" t="s">
        <v>5107</v>
      </c>
      <c r="C2554" s="3" t="s">
        <v>5108</v>
      </c>
      <c r="D2554" s="24">
        <v>0.76104799999999995</v>
      </c>
      <c r="E2554" s="25">
        <v>9.6059999999999999</v>
      </c>
      <c r="F2554" s="25">
        <v>9.5790000000000006</v>
      </c>
      <c r="G2554" s="26">
        <v>2.7099999999999999E-2</v>
      </c>
      <c r="H2554" s="27">
        <v>8.5139999999999993E-2</v>
      </c>
      <c r="I2554" s="26">
        <v>0.31830000000000003</v>
      </c>
      <c r="J2554" s="28">
        <v>6</v>
      </c>
      <c r="K2554" s="27">
        <v>0.822021</v>
      </c>
      <c r="L2554" s="29">
        <f t="shared" si="156"/>
        <v>8.5117087487171922E-2</v>
      </c>
      <c r="M2554" s="29">
        <f t="shared" si="157"/>
        <v>2.6999999999999899E-2</v>
      </c>
      <c r="N2554" s="30">
        <f t="shared" si="158"/>
        <v>0.11858795101165447</v>
      </c>
      <c r="O2554" s="31">
        <f t="shared" si="159"/>
        <v>1.0188911966167227</v>
      </c>
    </row>
    <row r="2555" spans="1:15" x14ac:dyDescent="0.25">
      <c r="A2555" t="s">
        <v>8292</v>
      </c>
      <c r="B2555" t="s">
        <v>5111</v>
      </c>
      <c r="C2555" s="3" t="s">
        <v>5112</v>
      </c>
      <c r="D2555" s="24">
        <v>0.76185899999999995</v>
      </c>
      <c r="E2555" s="25">
        <v>9.5890000000000004</v>
      </c>
      <c r="F2555" s="25">
        <v>9.66</v>
      </c>
      <c r="G2555" s="26">
        <v>-7.0529999999999995E-2</v>
      </c>
      <c r="H2555" s="27">
        <v>0.22239999999999999</v>
      </c>
      <c r="I2555" s="26">
        <v>0.31719999999999998</v>
      </c>
      <c r="J2555" s="28">
        <v>6</v>
      </c>
      <c r="K2555" s="27">
        <v>0.82214399999999999</v>
      </c>
      <c r="L2555" s="29">
        <f t="shared" si="156"/>
        <v>8.5052108338030868E-2</v>
      </c>
      <c r="M2555" s="29">
        <f t="shared" si="157"/>
        <v>-7.0999999999999452E-2</v>
      </c>
      <c r="N2555" s="30">
        <f t="shared" si="158"/>
        <v>0.11812539767370471</v>
      </c>
      <c r="O2555" s="31">
        <f t="shared" si="159"/>
        <v>0.95197790849753183</v>
      </c>
    </row>
    <row r="2556" spans="1:15" x14ac:dyDescent="0.25">
      <c r="A2556" t="s">
        <v>8293</v>
      </c>
      <c r="B2556" t="s">
        <v>5113</v>
      </c>
      <c r="C2556" s="3" t="s">
        <v>5114</v>
      </c>
      <c r="D2556" s="24">
        <v>0.76191900000000001</v>
      </c>
      <c r="E2556" s="25">
        <v>8.577</v>
      </c>
      <c r="F2556" s="25">
        <v>8.6129999999999995</v>
      </c>
      <c r="G2556" s="26">
        <v>-3.5920000000000001E-2</v>
      </c>
      <c r="H2556" s="27">
        <v>0.1133</v>
      </c>
      <c r="I2556" s="26">
        <v>0.31709999999999999</v>
      </c>
      <c r="J2556" s="28">
        <v>6</v>
      </c>
      <c r="K2556" s="27">
        <v>0.82214399999999999</v>
      </c>
      <c r="L2556" s="29">
        <f t="shared" si="156"/>
        <v>8.5052108338030868E-2</v>
      </c>
      <c r="M2556" s="29">
        <f t="shared" si="157"/>
        <v>-3.5999999999999949E-2</v>
      </c>
      <c r="N2556" s="30">
        <f t="shared" si="158"/>
        <v>0.1180911962756957</v>
      </c>
      <c r="O2556" s="31">
        <f t="shared" si="159"/>
        <v>0.97535546152764185</v>
      </c>
    </row>
    <row r="2557" spans="1:15" x14ac:dyDescent="0.25">
      <c r="A2557" t="s">
        <v>8294</v>
      </c>
      <c r="B2557" t="s">
        <v>5115</v>
      </c>
      <c r="C2557" s="3" t="s">
        <v>5116</v>
      </c>
      <c r="D2557" s="24">
        <v>0.76243799999999995</v>
      </c>
      <c r="E2557" s="25">
        <v>8.9740000000000002</v>
      </c>
      <c r="F2557" s="25">
        <v>8.9090000000000007</v>
      </c>
      <c r="G2557" s="26">
        <v>6.4860000000000001E-2</v>
      </c>
      <c r="H2557" s="27">
        <v>0.20499999999999999</v>
      </c>
      <c r="I2557" s="26">
        <v>0.31640000000000001</v>
      </c>
      <c r="J2557" s="28">
        <v>6</v>
      </c>
      <c r="K2557" s="27">
        <v>0.82238199999999995</v>
      </c>
      <c r="L2557" s="29">
        <f t="shared" si="156"/>
        <v>8.4926403925434671E-2</v>
      </c>
      <c r="M2557" s="29">
        <f t="shared" si="157"/>
        <v>6.5000000000000474E-2</v>
      </c>
      <c r="N2557" s="30">
        <f t="shared" si="158"/>
        <v>0.11779546654202146</v>
      </c>
      <c r="O2557" s="31">
        <f t="shared" si="159"/>
        <v>1.0460849397925296</v>
      </c>
    </row>
    <row r="2558" spans="1:15" x14ac:dyDescent="0.25">
      <c r="A2558" t="s">
        <v>8295</v>
      </c>
      <c r="B2558" t="s">
        <v>5117</v>
      </c>
      <c r="C2558" s="3" t="s">
        <v>5118</v>
      </c>
      <c r="D2558" s="24">
        <v>0.76406399999999997</v>
      </c>
      <c r="E2558" s="25">
        <v>9.6069999999999993</v>
      </c>
      <c r="F2558" s="25">
        <v>9.4809999999999999</v>
      </c>
      <c r="G2558" s="26">
        <v>0.12520000000000001</v>
      </c>
      <c r="H2558" s="27">
        <v>0.3987</v>
      </c>
      <c r="I2558" s="26">
        <v>0.31409999999999999</v>
      </c>
      <c r="J2558" s="28">
        <v>6</v>
      </c>
      <c r="K2558" s="27">
        <v>0.82381400000000005</v>
      </c>
      <c r="L2558" s="29">
        <f t="shared" si="156"/>
        <v>8.4170831861170581E-2</v>
      </c>
      <c r="M2558" s="29">
        <f t="shared" si="157"/>
        <v>0.12599999999999945</v>
      </c>
      <c r="N2558" s="30">
        <f t="shared" si="158"/>
        <v>0.11687026225843998</v>
      </c>
      <c r="O2558" s="31">
        <f t="shared" si="159"/>
        <v>1.0912638770549346</v>
      </c>
    </row>
    <row r="2559" spans="1:15" x14ac:dyDescent="0.25">
      <c r="A2559" t="s">
        <v>8296</v>
      </c>
      <c r="B2559" t="s">
        <v>5119</v>
      </c>
      <c r="C2559" s="3" t="s">
        <v>5120</v>
      </c>
      <c r="D2559" s="24">
        <v>0.76463599999999998</v>
      </c>
      <c r="E2559" s="25">
        <v>11.34</v>
      </c>
      <c r="F2559" s="25">
        <v>11.49</v>
      </c>
      <c r="G2559" s="26">
        <v>-0.14530000000000001</v>
      </c>
      <c r="H2559" s="27">
        <v>0.46379999999999999</v>
      </c>
      <c r="I2559" s="26">
        <v>0.31330000000000002</v>
      </c>
      <c r="J2559" s="28">
        <v>6</v>
      </c>
      <c r="K2559" s="27">
        <v>0.82409399999999999</v>
      </c>
      <c r="L2559" s="29">
        <f t="shared" si="156"/>
        <v>8.4023247826014349E-2</v>
      </c>
      <c r="M2559" s="29">
        <f t="shared" si="157"/>
        <v>-0.15000000000000063</v>
      </c>
      <c r="N2559" s="30">
        <f t="shared" si="158"/>
        <v>0.11654525871916878</v>
      </c>
      <c r="O2559" s="31">
        <f t="shared" si="159"/>
        <v>0.90125046261082986</v>
      </c>
    </row>
    <row r="2560" spans="1:15" x14ac:dyDescent="0.25">
      <c r="A2560" t="s">
        <v>8297</v>
      </c>
      <c r="B2560" t="s">
        <v>5121</v>
      </c>
      <c r="C2560" s="3" t="s">
        <v>5122</v>
      </c>
      <c r="D2560" s="24">
        <v>0.76525399999999999</v>
      </c>
      <c r="E2560" s="25">
        <v>11.92</v>
      </c>
      <c r="F2560" s="25">
        <v>11.89</v>
      </c>
      <c r="G2560" s="26">
        <v>3.2030000000000003E-2</v>
      </c>
      <c r="H2560" s="27">
        <v>0.10249999999999999</v>
      </c>
      <c r="I2560" s="26">
        <v>0.3125</v>
      </c>
      <c r="J2560" s="28">
        <v>6</v>
      </c>
      <c r="K2560" s="27">
        <v>0.82409399999999999</v>
      </c>
      <c r="L2560" s="29">
        <f t="shared" si="156"/>
        <v>8.4023247826014349E-2</v>
      </c>
      <c r="M2560" s="29">
        <f t="shared" si="157"/>
        <v>2.9999999999997324E-2</v>
      </c>
      <c r="N2560" s="30">
        <f t="shared" si="158"/>
        <v>0.1161943916575961</v>
      </c>
      <c r="O2560" s="31">
        <f t="shared" si="159"/>
        <v>1.0210121257071914</v>
      </c>
    </row>
    <row r="2561" spans="1:15" x14ac:dyDescent="0.25">
      <c r="A2561" t="s">
        <v>8298</v>
      </c>
      <c r="B2561" t="s">
        <v>5125</v>
      </c>
      <c r="C2561" s="3" t="s">
        <v>5126</v>
      </c>
      <c r="D2561" s="24">
        <v>0.765517</v>
      </c>
      <c r="E2561" s="25">
        <v>7.2569999999999997</v>
      </c>
      <c r="F2561" s="25">
        <v>7.33</v>
      </c>
      <c r="G2561" s="26">
        <v>-7.3150000000000007E-2</v>
      </c>
      <c r="H2561" s="27">
        <v>0.2344</v>
      </c>
      <c r="I2561" s="26">
        <v>0.31209999999999999</v>
      </c>
      <c r="J2561" s="28">
        <v>6</v>
      </c>
      <c r="K2561" s="27">
        <v>0.82409399999999999</v>
      </c>
      <c r="L2561" s="29">
        <f t="shared" si="156"/>
        <v>8.4023247826014349E-2</v>
      </c>
      <c r="M2561" s="29">
        <f t="shared" si="157"/>
        <v>-7.3000000000000204E-2</v>
      </c>
      <c r="N2561" s="30">
        <f t="shared" si="158"/>
        <v>0.11604516038804054</v>
      </c>
      <c r="O2561" s="31">
        <f t="shared" si="159"/>
        <v>0.95065910122981812</v>
      </c>
    </row>
    <row r="2562" spans="1:15" x14ac:dyDescent="0.25">
      <c r="A2562" t="s">
        <v>8299</v>
      </c>
      <c r="B2562" t="s">
        <v>5123</v>
      </c>
      <c r="C2562" s="3" t="s">
        <v>5124</v>
      </c>
      <c r="D2562" s="24">
        <v>0.76533300000000004</v>
      </c>
      <c r="E2562" s="25">
        <v>11.2</v>
      </c>
      <c r="F2562" s="25">
        <v>11.15</v>
      </c>
      <c r="G2562" s="26">
        <v>4.7940000000000003E-2</v>
      </c>
      <c r="H2562" s="27">
        <v>0.1535</v>
      </c>
      <c r="I2562" s="26">
        <v>0.31240000000000001</v>
      </c>
      <c r="J2562" s="28">
        <v>6</v>
      </c>
      <c r="K2562" s="27">
        <v>0.82409399999999999</v>
      </c>
      <c r="L2562" s="29">
        <f t="shared" ref="L2562:L2625" si="160">-LOG(K2562,10)</f>
        <v>8.4023247826014349E-2</v>
      </c>
      <c r="M2562" s="29">
        <f t="shared" ref="M2562:M2625" si="161">LOG(O2562,2)</f>
        <v>4.9999999999999177E-2</v>
      </c>
      <c r="N2562" s="30">
        <f t="shared" ref="N2562:N2625" si="162">-LOG(D2562,10)</f>
        <v>0.11614956014641661</v>
      </c>
      <c r="O2562" s="31">
        <f t="shared" ref="O2562:O2625" si="163">((2^E2562)/(2^F2562))</f>
        <v>1.0352649238413769</v>
      </c>
    </row>
    <row r="2563" spans="1:15" x14ac:dyDescent="0.25">
      <c r="A2563" t="s">
        <v>8300</v>
      </c>
      <c r="B2563" t="s">
        <v>5127</v>
      </c>
      <c r="C2563" s="3" t="s">
        <v>5128</v>
      </c>
      <c r="D2563" s="24">
        <v>0.76670300000000002</v>
      </c>
      <c r="E2563" s="25">
        <v>7.6239999999999997</v>
      </c>
      <c r="F2563" s="25">
        <v>7.726</v>
      </c>
      <c r="G2563" s="26">
        <v>-0.1017</v>
      </c>
      <c r="H2563" s="27">
        <v>0.3276</v>
      </c>
      <c r="I2563" s="26">
        <v>0.3105</v>
      </c>
      <c r="J2563" s="28">
        <v>6</v>
      </c>
      <c r="K2563" s="27">
        <v>0.82475699999999996</v>
      </c>
      <c r="L2563" s="29">
        <f t="shared" si="160"/>
        <v>8.3673989758402387E-2</v>
      </c>
      <c r="M2563" s="29">
        <f t="shared" si="161"/>
        <v>-0.10199999999999966</v>
      </c>
      <c r="N2563" s="30">
        <f t="shared" si="162"/>
        <v>0.11537283740778441</v>
      </c>
      <c r="O2563" s="31">
        <f t="shared" si="163"/>
        <v>0.9317404293047733</v>
      </c>
    </row>
    <row r="2564" spans="1:15" x14ac:dyDescent="0.25">
      <c r="A2564" t="s">
        <v>8301</v>
      </c>
      <c r="B2564" t="s">
        <v>5129</v>
      </c>
      <c r="C2564" s="3" t="s">
        <v>5130</v>
      </c>
      <c r="D2564" s="24">
        <v>0.76673000000000002</v>
      </c>
      <c r="E2564" s="25">
        <v>9.0180000000000007</v>
      </c>
      <c r="F2564" s="25">
        <v>9.048</v>
      </c>
      <c r="G2564" s="26">
        <v>-3.022E-2</v>
      </c>
      <c r="H2564" s="27">
        <v>9.7360000000000002E-2</v>
      </c>
      <c r="I2564" s="26">
        <v>0.31040000000000001</v>
      </c>
      <c r="J2564" s="28">
        <v>6</v>
      </c>
      <c r="K2564" s="27">
        <v>0.82475699999999996</v>
      </c>
      <c r="L2564" s="29">
        <f t="shared" si="160"/>
        <v>8.3673989758402387E-2</v>
      </c>
      <c r="M2564" s="29">
        <f t="shared" si="161"/>
        <v>-2.9999999999999891E-2</v>
      </c>
      <c r="N2564" s="30">
        <f t="shared" si="162"/>
        <v>0.11535754368316442</v>
      </c>
      <c r="O2564" s="31">
        <f t="shared" si="163"/>
        <v>0.97942029758692695</v>
      </c>
    </row>
    <row r="2565" spans="1:15" x14ac:dyDescent="0.25">
      <c r="A2565" t="s">
        <v>8302</v>
      </c>
      <c r="B2565" t="s">
        <v>5131</v>
      </c>
      <c r="C2565" s="3" t="s">
        <v>5132</v>
      </c>
      <c r="D2565" s="24">
        <v>0.76766400000000001</v>
      </c>
      <c r="E2565" s="25">
        <v>8.42</v>
      </c>
      <c r="F2565" s="25">
        <v>8.3390000000000004</v>
      </c>
      <c r="G2565" s="26">
        <v>8.165E-2</v>
      </c>
      <c r="H2565" s="27">
        <v>0.2641</v>
      </c>
      <c r="I2565" s="26">
        <v>0.30909999999999999</v>
      </c>
      <c r="J2565" s="28">
        <v>6</v>
      </c>
      <c r="K2565" s="27">
        <v>0.82543999999999995</v>
      </c>
      <c r="L2565" s="29">
        <f t="shared" si="160"/>
        <v>8.3314489470766931E-2</v>
      </c>
      <c r="M2565" s="29">
        <f t="shared" si="161"/>
        <v>8.0999999999999475E-2</v>
      </c>
      <c r="N2565" s="30">
        <f t="shared" si="162"/>
        <v>0.11482882537978635</v>
      </c>
      <c r="O2565" s="31">
        <f t="shared" si="163"/>
        <v>1.0577509636184268</v>
      </c>
    </row>
    <row r="2566" spans="1:15" x14ac:dyDescent="0.25">
      <c r="A2566" t="s">
        <v>8303</v>
      </c>
      <c r="B2566" t="s">
        <v>5133</v>
      </c>
      <c r="C2566" s="3" t="s">
        <v>5134</v>
      </c>
      <c r="D2566" s="24">
        <v>0.76844299999999999</v>
      </c>
      <c r="E2566" s="25">
        <v>7.6440000000000001</v>
      </c>
      <c r="F2566" s="25">
        <v>7.69</v>
      </c>
      <c r="G2566" s="26">
        <v>-4.6829999999999997E-2</v>
      </c>
      <c r="H2566" s="27">
        <v>0.152</v>
      </c>
      <c r="I2566" s="26">
        <v>0.30809999999999998</v>
      </c>
      <c r="J2566" s="28">
        <v>6</v>
      </c>
      <c r="K2566" s="27">
        <v>0.82572599999999996</v>
      </c>
      <c r="L2566" s="29">
        <f t="shared" si="160"/>
        <v>8.3164040366235342E-2</v>
      </c>
      <c r="M2566" s="29">
        <f t="shared" si="161"/>
        <v>-4.6000000000000325E-2</v>
      </c>
      <c r="N2566" s="30">
        <f t="shared" si="162"/>
        <v>0.11438834118121825</v>
      </c>
      <c r="O2566" s="31">
        <f t="shared" si="163"/>
        <v>0.96861818922662746</v>
      </c>
    </row>
    <row r="2567" spans="1:15" x14ac:dyDescent="0.25">
      <c r="A2567" t="s">
        <v>8304</v>
      </c>
      <c r="B2567" t="s">
        <v>5135</v>
      </c>
      <c r="C2567" s="3" t="s">
        <v>5136</v>
      </c>
      <c r="D2567" s="24">
        <v>0.76852699999999996</v>
      </c>
      <c r="E2567" s="25">
        <v>9.76</v>
      </c>
      <c r="F2567" s="25">
        <v>9.7270000000000003</v>
      </c>
      <c r="G2567" s="26">
        <v>3.3430000000000001E-2</v>
      </c>
      <c r="H2567" s="27">
        <v>0.1085</v>
      </c>
      <c r="I2567" s="26">
        <v>0.308</v>
      </c>
      <c r="J2567" s="28">
        <v>6</v>
      </c>
      <c r="K2567" s="27">
        <v>0.82572599999999996</v>
      </c>
      <c r="L2567" s="29">
        <f t="shared" si="160"/>
        <v>8.3164040366235342E-2</v>
      </c>
      <c r="M2567" s="29">
        <f t="shared" si="161"/>
        <v>3.2999999999999946E-2</v>
      </c>
      <c r="N2567" s="30">
        <f t="shared" si="162"/>
        <v>0.11434087020063154</v>
      </c>
      <c r="O2567" s="31">
        <f t="shared" si="163"/>
        <v>1.023137469734432</v>
      </c>
    </row>
    <row r="2568" spans="1:15" x14ac:dyDescent="0.25">
      <c r="A2568" t="s">
        <v>8305</v>
      </c>
      <c r="B2568" t="s">
        <v>5137</v>
      </c>
      <c r="C2568" s="3" t="s">
        <v>5138</v>
      </c>
      <c r="D2568" s="24">
        <v>0.769513</v>
      </c>
      <c r="E2568" s="25">
        <v>8.4499999999999993</v>
      </c>
      <c r="F2568" s="25">
        <v>8.343</v>
      </c>
      <c r="G2568" s="26">
        <v>0.1069</v>
      </c>
      <c r="H2568" s="27">
        <v>0.34860000000000002</v>
      </c>
      <c r="I2568" s="26">
        <v>0.30659999999999998</v>
      </c>
      <c r="J2568" s="28">
        <v>6</v>
      </c>
      <c r="K2568" s="27">
        <v>0.82646299999999995</v>
      </c>
      <c r="L2568" s="29">
        <f t="shared" si="160"/>
        <v>8.2776584627948138E-2</v>
      </c>
      <c r="M2568" s="29">
        <f t="shared" si="161"/>
        <v>0.10699999999999919</v>
      </c>
      <c r="N2568" s="30">
        <f t="shared" si="162"/>
        <v>0.11378403888568672</v>
      </c>
      <c r="O2568" s="31">
        <f t="shared" si="163"/>
        <v>1.0769863761930478</v>
      </c>
    </row>
    <row r="2569" spans="1:15" x14ac:dyDescent="0.25">
      <c r="A2569" t="s">
        <v>8306</v>
      </c>
      <c r="B2569" t="s">
        <v>5139</v>
      </c>
      <c r="C2569" s="3" t="s">
        <v>5140</v>
      </c>
      <c r="D2569" s="24">
        <v>0.77060200000000001</v>
      </c>
      <c r="E2569" s="25">
        <v>9.3369999999999997</v>
      </c>
      <c r="F2569" s="25">
        <v>9.2449999999999992</v>
      </c>
      <c r="G2569" s="26">
        <v>9.1950000000000004E-2</v>
      </c>
      <c r="H2569" s="27">
        <v>0.3014</v>
      </c>
      <c r="I2569" s="26">
        <v>0.30509999999999998</v>
      </c>
      <c r="J2569" s="28">
        <v>6</v>
      </c>
      <c r="K2569" s="27">
        <v>0.82731200000000005</v>
      </c>
      <c r="L2569" s="29">
        <f t="shared" si="160"/>
        <v>8.2330676269764494E-2</v>
      </c>
      <c r="M2569" s="29">
        <f t="shared" si="161"/>
        <v>9.2000000000000262E-2</v>
      </c>
      <c r="N2569" s="30">
        <f t="shared" si="162"/>
        <v>0.1131698681651712</v>
      </c>
      <c r="O2569" s="31">
        <f t="shared" si="163"/>
        <v>1.0658467360679427</v>
      </c>
    </row>
    <row r="2570" spans="1:15" x14ac:dyDescent="0.25">
      <c r="A2570" t="s">
        <v>8307</v>
      </c>
      <c r="B2570" t="s">
        <v>5141</v>
      </c>
      <c r="C2570" s="3" t="s">
        <v>5142</v>
      </c>
      <c r="D2570" s="24">
        <v>0.77216600000000002</v>
      </c>
      <c r="E2570" s="25">
        <v>12.35</v>
      </c>
      <c r="F2570" s="25">
        <v>12.33</v>
      </c>
      <c r="G2570" s="26">
        <v>2.5149999999999999E-2</v>
      </c>
      <c r="H2570" s="27">
        <v>8.3019999999999997E-2</v>
      </c>
      <c r="I2570" s="26">
        <v>0.3029</v>
      </c>
      <c r="J2570" s="28">
        <v>6</v>
      </c>
      <c r="K2570" s="27">
        <v>0.82866799999999996</v>
      </c>
      <c r="L2570" s="29">
        <f t="shared" si="160"/>
        <v>8.161943163023519E-2</v>
      </c>
      <c r="M2570" s="29">
        <f t="shared" si="161"/>
        <v>1.9999999999998359E-2</v>
      </c>
      <c r="N2570" s="30">
        <f t="shared" si="162"/>
        <v>0.11228932513811359</v>
      </c>
      <c r="O2570" s="31">
        <f t="shared" si="163"/>
        <v>1.013959479790028</v>
      </c>
    </row>
    <row r="2571" spans="1:15" x14ac:dyDescent="0.25">
      <c r="A2571" t="s">
        <v>8308</v>
      </c>
      <c r="B2571" t="s">
        <v>5143</v>
      </c>
      <c r="C2571" s="3" t="s">
        <v>5144</v>
      </c>
      <c r="D2571" s="24">
        <v>0.77367799999999998</v>
      </c>
      <c r="E2571" s="25">
        <v>10.14</v>
      </c>
      <c r="F2571" s="25">
        <v>10.08</v>
      </c>
      <c r="G2571" s="26">
        <v>5.475E-2</v>
      </c>
      <c r="H2571" s="27">
        <v>0.182</v>
      </c>
      <c r="I2571" s="26">
        <v>0.3009</v>
      </c>
      <c r="J2571" s="28">
        <v>6</v>
      </c>
      <c r="K2571" s="27">
        <v>0.82996899999999996</v>
      </c>
      <c r="L2571" s="29">
        <f t="shared" si="160"/>
        <v>8.0938128564125078E-2</v>
      </c>
      <c r="M2571" s="29">
        <f t="shared" si="161"/>
        <v>6.0000000000000955E-2</v>
      </c>
      <c r="N2571" s="30">
        <f t="shared" si="162"/>
        <v>0.11143975239203723</v>
      </c>
      <c r="O2571" s="31">
        <f t="shared" si="163"/>
        <v>1.0424657608411221</v>
      </c>
    </row>
    <row r="2572" spans="1:15" x14ac:dyDescent="0.25">
      <c r="A2572" t="s">
        <v>8309</v>
      </c>
      <c r="B2572" t="s">
        <v>5145</v>
      </c>
      <c r="C2572" s="3" t="s">
        <v>5146</v>
      </c>
      <c r="D2572" s="24">
        <v>0.77516499999999999</v>
      </c>
      <c r="E2572" s="25">
        <v>8.0109999999999992</v>
      </c>
      <c r="F2572" s="25">
        <v>7.9169999999999998</v>
      </c>
      <c r="G2572" s="26">
        <v>9.3979999999999994E-2</v>
      </c>
      <c r="H2572" s="27">
        <v>0.3145</v>
      </c>
      <c r="I2572" s="26">
        <v>0.29880000000000001</v>
      </c>
      <c r="J2572" s="28">
        <v>6</v>
      </c>
      <c r="K2572" s="27">
        <v>0.83124100000000001</v>
      </c>
      <c r="L2572" s="29">
        <f t="shared" si="160"/>
        <v>8.027304385003825E-2</v>
      </c>
      <c r="M2572" s="29">
        <f t="shared" si="161"/>
        <v>9.4000000000000139E-2</v>
      </c>
      <c r="N2572" s="30">
        <f t="shared" si="162"/>
        <v>0.11060584463894889</v>
      </c>
      <c r="O2572" s="31">
        <f t="shared" si="163"/>
        <v>1.0673253380399601</v>
      </c>
    </row>
    <row r="2573" spans="1:15" x14ac:dyDescent="0.25">
      <c r="A2573" t="s">
        <v>8310</v>
      </c>
      <c r="B2573" t="s">
        <v>5147</v>
      </c>
      <c r="C2573" s="3" t="s">
        <v>5148</v>
      </c>
      <c r="D2573" s="24">
        <v>0.77647900000000003</v>
      </c>
      <c r="E2573" s="25">
        <v>9.0399999999999991</v>
      </c>
      <c r="F2573" s="25">
        <v>9.0050000000000008</v>
      </c>
      <c r="G2573" s="26">
        <v>3.5099999999999999E-2</v>
      </c>
      <c r="H2573" s="27">
        <v>0.1182</v>
      </c>
      <c r="I2573" s="26">
        <v>0.29699999999999999</v>
      </c>
      <c r="J2573" s="28">
        <v>6</v>
      </c>
      <c r="K2573" s="27">
        <v>0.83215099999999997</v>
      </c>
      <c r="L2573" s="29">
        <f t="shared" si="160"/>
        <v>7.9797860588414607E-2</v>
      </c>
      <c r="M2573" s="29">
        <f t="shared" si="161"/>
        <v>3.4999999999998151E-2</v>
      </c>
      <c r="N2573" s="30">
        <f t="shared" si="162"/>
        <v>0.1098702853410212</v>
      </c>
      <c r="O2573" s="31">
        <f t="shared" si="163"/>
        <v>1.0245568230328002</v>
      </c>
    </row>
    <row r="2574" spans="1:15" x14ac:dyDescent="0.25">
      <c r="A2574" t="s">
        <v>8311</v>
      </c>
      <c r="B2574" t="s">
        <v>5149</v>
      </c>
      <c r="C2574" s="3" t="s">
        <v>5150</v>
      </c>
      <c r="D2574" s="24">
        <v>0.77661599999999997</v>
      </c>
      <c r="E2574" s="25">
        <v>8.6989999999999998</v>
      </c>
      <c r="F2574" s="25">
        <v>8.6240000000000006</v>
      </c>
      <c r="G2574" s="26">
        <v>7.5340000000000004E-2</v>
      </c>
      <c r="H2574" s="27">
        <v>0.25380000000000003</v>
      </c>
      <c r="I2574" s="26">
        <v>0.29680000000000001</v>
      </c>
      <c r="J2574" s="28">
        <v>6</v>
      </c>
      <c r="K2574" s="27">
        <v>0.83215099999999997</v>
      </c>
      <c r="L2574" s="29">
        <f t="shared" si="160"/>
        <v>7.9797860588414607E-2</v>
      </c>
      <c r="M2574" s="29">
        <f t="shared" si="161"/>
        <v>7.4999999999999567E-2</v>
      </c>
      <c r="N2574" s="30">
        <f t="shared" si="162"/>
        <v>0.10979366627499493</v>
      </c>
      <c r="O2574" s="31">
        <f t="shared" si="163"/>
        <v>1.0533610359548355</v>
      </c>
    </row>
    <row r="2575" spans="1:15" x14ac:dyDescent="0.25">
      <c r="A2575" t="s">
        <v>8312</v>
      </c>
      <c r="B2575" t="s">
        <v>5151</v>
      </c>
      <c r="C2575" s="3" t="s">
        <v>5152</v>
      </c>
      <c r="D2575" s="24">
        <v>0.77700499999999995</v>
      </c>
      <c r="E2575" s="25">
        <v>7.67</v>
      </c>
      <c r="F2575" s="25">
        <v>7.5919999999999996</v>
      </c>
      <c r="G2575" s="26">
        <v>7.8E-2</v>
      </c>
      <c r="H2575" s="27">
        <v>0.26329999999999998</v>
      </c>
      <c r="I2575" s="26">
        <v>0.29630000000000001</v>
      </c>
      <c r="J2575" s="28">
        <v>6</v>
      </c>
      <c r="K2575" s="27">
        <v>0.83224500000000001</v>
      </c>
      <c r="L2575" s="29">
        <f t="shared" si="160"/>
        <v>7.9748805337930551E-2</v>
      </c>
      <c r="M2575" s="29">
        <f t="shared" si="161"/>
        <v>7.8000000000001027E-2</v>
      </c>
      <c r="N2575" s="30">
        <f t="shared" si="162"/>
        <v>0.1095761865202919</v>
      </c>
      <c r="O2575" s="31">
        <f t="shared" si="163"/>
        <v>1.0555537176379675</v>
      </c>
    </row>
    <row r="2576" spans="1:15" x14ac:dyDescent="0.25">
      <c r="A2576" t="s">
        <v>8313</v>
      </c>
      <c r="B2576" t="s">
        <v>5155</v>
      </c>
      <c r="C2576" s="3" t="s">
        <v>5156</v>
      </c>
      <c r="D2576" s="24">
        <v>0.77830900000000003</v>
      </c>
      <c r="E2576" s="25">
        <v>9.9740000000000002</v>
      </c>
      <c r="F2576" s="25">
        <v>10.01</v>
      </c>
      <c r="G2576" s="26">
        <v>-3.6420000000000001E-2</v>
      </c>
      <c r="H2576" s="27">
        <v>0.1237</v>
      </c>
      <c r="I2576" s="26">
        <v>0.29449999999999998</v>
      </c>
      <c r="J2576" s="28">
        <v>6</v>
      </c>
      <c r="K2576" s="27">
        <v>0.83299599999999996</v>
      </c>
      <c r="L2576" s="29">
        <f t="shared" si="160"/>
        <v>7.9357084045911727E-2</v>
      </c>
      <c r="M2576" s="29">
        <f t="shared" si="161"/>
        <v>-3.5999999999999949E-2</v>
      </c>
      <c r="N2576" s="30">
        <f t="shared" si="162"/>
        <v>0.10884794754462718</v>
      </c>
      <c r="O2576" s="31">
        <f t="shared" si="163"/>
        <v>0.97535546152764185</v>
      </c>
    </row>
    <row r="2577" spans="1:15" x14ac:dyDescent="0.25">
      <c r="A2577" t="s">
        <v>8314</v>
      </c>
      <c r="B2577" t="s">
        <v>5153</v>
      </c>
      <c r="C2577" s="3" t="s">
        <v>5154</v>
      </c>
      <c r="D2577" s="24">
        <v>0.77820500000000004</v>
      </c>
      <c r="E2577" s="25">
        <v>9.5129999999999999</v>
      </c>
      <c r="F2577" s="25">
        <v>9.5519999999999996</v>
      </c>
      <c r="G2577" s="26">
        <v>-3.9190000000000003E-2</v>
      </c>
      <c r="H2577" s="27">
        <v>0.13300000000000001</v>
      </c>
      <c r="I2577" s="26">
        <v>0.29459999999999997</v>
      </c>
      <c r="J2577" s="28">
        <v>6</v>
      </c>
      <c r="K2577" s="27">
        <v>0.83299599999999996</v>
      </c>
      <c r="L2577" s="29">
        <f t="shared" si="160"/>
        <v>7.9357084045911727E-2</v>
      </c>
      <c r="M2577" s="29">
        <f t="shared" si="161"/>
        <v>-3.899999999999975E-2</v>
      </c>
      <c r="N2577" s="30">
        <f t="shared" si="162"/>
        <v>0.10890598316291929</v>
      </c>
      <c r="O2577" s="31">
        <f t="shared" si="163"/>
        <v>0.97332937415823839</v>
      </c>
    </row>
    <row r="2578" spans="1:15" x14ac:dyDescent="0.25">
      <c r="A2578" t="s">
        <v>8315</v>
      </c>
      <c r="B2578" t="s">
        <v>5157</v>
      </c>
      <c r="C2578" s="3" t="s">
        <v>5158</v>
      </c>
      <c r="D2578" s="24">
        <v>0.77914099999999997</v>
      </c>
      <c r="E2578" s="25">
        <v>9.0449999999999999</v>
      </c>
      <c r="F2578" s="25">
        <v>8.9990000000000006</v>
      </c>
      <c r="G2578" s="26">
        <v>4.5909999999999999E-2</v>
      </c>
      <c r="H2578" s="27">
        <v>0.1565</v>
      </c>
      <c r="I2578" s="26">
        <v>0.29330000000000001</v>
      </c>
      <c r="J2578" s="28">
        <v>6</v>
      </c>
      <c r="K2578" s="27">
        <v>0.83356300000000005</v>
      </c>
      <c r="L2578" s="29">
        <f t="shared" si="160"/>
        <v>7.9061570978879336E-2</v>
      </c>
      <c r="M2578" s="29">
        <f t="shared" si="161"/>
        <v>4.5999999999998889E-2</v>
      </c>
      <c r="N2578" s="30">
        <f t="shared" si="162"/>
        <v>0.10838394158191186</v>
      </c>
      <c r="O2578" s="31">
        <f t="shared" si="163"/>
        <v>1.032398535483241</v>
      </c>
    </row>
    <row r="2579" spans="1:15" x14ac:dyDescent="0.25">
      <c r="A2579" t="s">
        <v>8316</v>
      </c>
      <c r="B2579" t="s">
        <v>5159</v>
      </c>
      <c r="C2579" s="3" t="s">
        <v>5160</v>
      </c>
      <c r="D2579" s="24">
        <v>0.77976100000000004</v>
      </c>
      <c r="E2579" s="25">
        <v>8.6750000000000007</v>
      </c>
      <c r="F2579" s="25">
        <v>8.6240000000000006</v>
      </c>
      <c r="G2579" s="26">
        <v>5.1110000000000003E-2</v>
      </c>
      <c r="H2579" s="27">
        <v>0.17469999999999999</v>
      </c>
      <c r="I2579" s="26">
        <v>0.29249999999999998</v>
      </c>
      <c r="J2579" s="28">
        <v>6</v>
      </c>
      <c r="K2579" s="27">
        <v>0.83390399999999998</v>
      </c>
      <c r="L2579" s="29">
        <f t="shared" si="160"/>
        <v>7.8883942971376395E-2</v>
      </c>
      <c r="M2579" s="29">
        <f t="shared" si="161"/>
        <v>5.1000000000001093E-2</v>
      </c>
      <c r="N2579" s="30">
        <f t="shared" si="162"/>
        <v>0.10803848998459892</v>
      </c>
      <c r="O2579" s="31">
        <f t="shared" si="163"/>
        <v>1.0359827635600194</v>
      </c>
    </row>
    <row r="2580" spans="1:15" x14ac:dyDescent="0.25">
      <c r="A2580" t="s">
        <v>8317</v>
      </c>
      <c r="B2580" t="s">
        <v>5161</v>
      </c>
      <c r="C2580" s="3" t="s">
        <v>5162</v>
      </c>
      <c r="D2580" s="24">
        <v>0.78028600000000004</v>
      </c>
      <c r="E2580" s="25">
        <v>8.077</v>
      </c>
      <c r="F2580" s="25">
        <v>8.0280000000000005</v>
      </c>
      <c r="G2580" s="26">
        <v>4.861E-2</v>
      </c>
      <c r="H2580" s="27">
        <v>0.1666</v>
      </c>
      <c r="I2580" s="26">
        <v>0.2918</v>
      </c>
      <c r="J2580" s="28">
        <v>6</v>
      </c>
      <c r="K2580" s="27">
        <v>0.83414200000000005</v>
      </c>
      <c r="L2580" s="29">
        <f t="shared" si="160"/>
        <v>7.8760011032575628E-2</v>
      </c>
      <c r="M2580" s="29">
        <f t="shared" si="161"/>
        <v>4.9000000000000245E-2</v>
      </c>
      <c r="N2580" s="30">
        <f t="shared" si="162"/>
        <v>0.10774618518659414</v>
      </c>
      <c r="O2580" s="31">
        <f t="shared" si="163"/>
        <v>1.0345475815189094</v>
      </c>
    </row>
    <row r="2581" spans="1:15" x14ac:dyDescent="0.25">
      <c r="A2581" t="s">
        <v>8318</v>
      </c>
      <c r="B2581" t="s">
        <v>5163</v>
      </c>
      <c r="C2581" s="3" t="s">
        <v>5164</v>
      </c>
      <c r="D2581" s="24">
        <v>0.78225800000000001</v>
      </c>
      <c r="E2581" s="25">
        <v>9.2639999999999993</v>
      </c>
      <c r="F2581" s="25">
        <v>9.2439999999999998</v>
      </c>
      <c r="G2581" s="26">
        <v>2.002E-2</v>
      </c>
      <c r="H2581" s="27">
        <v>6.9250000000000006E-2</v>
      </c>
      <c r="I2581" s="26">
        <v>0.28910000000000002</v>
      </c>
      <c r="J2581" s="28">
        <v>6</v>
      </c>
      <c r="K2581" s="27">
        <v>0.83592599999999995</v>
      </c>
      <c r="L2581" s="29">
        <f t="shared" si="160"/>
        <v>7.7832166597001762E-2</v>
      </c>
      <c r="M2581" s="29">
        <f t="shared" si="161"/>
        <v>1.9999999999999307E-2</v>
      </c>
      <c r="N2581" s="30">
        <f t="shared" si="162"/>
        <v>0.10664998671409329</v>
      </c>
      <c r="O2581" s="31">
        <f t="shared" si="163"/>
        <v>1.0139594797900287</v>
      </c>
    </row>
    <row r="2582" spans="1:15" x14ac:dyDescent="0.25">
      <c r="A2582" t="s">
        <v>8319</v>
      </c>
      <c r="B2582" t="s">
        <v>5165</v>
      </c>
      <c r="C2582" s="3" t="s">
        <v>5166</v>
      </c>
      <c r="D2582" s="24">
        <v>0.78471199999999997</v>
      </c>
      <c r="E2582" s="25">
        <v>9.7100000000000009</v>
      </c>
      <c r="F2582" s="25">
        <v>9.7349999999999994</v>
      </c>
      <c r="G2582" s="26">
        <v>-2.5819999999999999E-2</v>
      </c>
      <c r="H2582" s="27">
        <v>9.0359999999999996E-2</v>
      </c>
      <c r="I2582" s="26">
        <v>0.28570000000000001</v>
      </c>
      <c r="J2582" s="28">
        <v>6</v>
      </c>
      <c r="K2582" s="27">
        <v>0.83822399999999997</v>
      </c>
      <c r="L2582" s="29">
        <f t="shared" si="160"/>
        <v>7.6639908619869773E-2</v>
      </c>
      <c r="M2582" s="29">
        <f t="shared" si="161"/>
        <v>-2.4999999999999026E-2</v>
      </c>
      <c r="N2582" s="30">
        <f t="shared" si="162"/>
        <v>0.10528970600688492</v>
      </c>
      <c r="O2582" s="31">
        <f t="shared" si="163"/>
        <v>0.98282059854525172</v>
      </c>
    </row>
    <row r="2583" spans="1:15" x14ac:dyDescent="0.25">
      <c r="A2583" t="s">
        <v>8320</v>
      </c>
      <c r="B2583" t="s">
        <v>5167</v>
      </c>
      <c r="C2583" s="3" t="s">
        <v>5168</v>
      </c>
      <c r="D2583" s="24">
        <v>0.78644199999999997</v>
      </c>
      <c r="E2583" s="25">
        <v>8.3689999999999998</v>
      </c>
      <c r="F2583" s="25">
        <v>8.25</v>
      </c>
      <c r="G2583" s="26">
        <v>0.11940000000000001</v>
      </c>
      <c r="H2583" s="27">
        <v>0.4214</v>
      </c>
      <c r="I2583" s="26">
        <v>0.2833</v>
      </c>
      <c r="J2583" s="28">
        <v>6</v>
      </c>
      <c r="K2583" s="27">
        <v>0.83974800000000005</v>
      </c>
      <c r="L2583" s="29">
        <f t="shared" si="160"/>
        <v>7.5851021829850498E-2</v>
      </c>
      <c r="M2583" s="29">
        <f t="shared" si="161"/>
        <v>0.11900000000000042</v>
      </c>
      <c r="N2583" s="30">
        <f t="shared" si="162"/>
        <v>0.10433330102387721</v>
      </c>
      <c r="O2583" s="31">
        <f t="shared" si="163"/>
        <v>1.0859818563222945</v>
      </c>
    </row>
    <row r="2584" spans="1:15" x14ac:dyDescent="0.25">
      <c r="A2584" t="s">
        <v>8321</v>
      </c>
      <c r="B2584" t="s">
        <v>5169</v>
      </c>
      <c r="C2584" s="3" t="s">
        <v>5170</v>
      </c>
      <c r="D2584" s="24">
        <v>0.78803699999999999</v>
      </c>
      <c r="E2584" s="25">
        <v>10.47</v>
      </c>
      <c r="F2584" s="25">
        <v>10.52</v>
      </c>
      <c r="G2584" s="26">
        <v>-4.9529999999999998E-2</v>
      </c>
      <c r="H2584" s="27">
        <v>0.1762</v>
      </c>
      <c r="I2584" s="26">
        <v>0.28120000000000001</v>
      </c>
      <c r="J2584" s="28">
        <v>6</v>
      </c>
      <c r="K2584" s="27">
        <v>0.84112600000000004</v>
      </c>
      <c r="L2584" s="29">
        <f t="shared" si="160"/>
        <v>7.5138942363887629E-2</v>
      </c>
      <c r="M2584" s="29">
        <f t="shared" si="161"/>
        <v>-4.9999999999999427E-2</v>
      </c>
      <c r="N2584" s="30">
        <f t="shared" si="162"/>
        <v>0.10345339098939109</v>
      </c>
      <c r="O2584" s="31">
        <f t="shared" si="163"/>
        <v>0.96593632892484593</v>
      </c>
    </row>
    <row r="2585" spans="1:15" x14ac:dyDescent="0.25">
      <c r="A2585" t="s">
        <v>8322</v>
      </c>
      <c r="B2585" t="s">
        <v>5171</v>
      </c>
      <c r="C2585" s="3" t="s">
        <v>5172</v>
      </c>
      <c r="D2585" s="24">
        <v>0.78917700000000002</v>
      </c>
      <c r="E2585" s="25">
        <v>7.4909999999999997</v>
      </c>
      <c r="F2585" s="25">
        <v>7.4130000000000003</v>
      </c>
      <c r="G2585" s="26">
        <v>7.7499999999999999E-2</v>
      </c>
      <c r="H2585" s="27">
        <v>0.2772</v>
      </c>
      <c r="I2585" s="26">
        <v>0.27960000000000002</v>
      </c>
      <c r="J2585" s="28">
        <v>6</v>
      </c>
      <c r="K2585" s="27">
        <v>0.84201700000000002</v>
      </c>
      <c r="L2585" s="29">
        <f t="shared" si="160"/>
        <v>7.467914017296115E-2</v>
      </c>
      <c r="M2585" s="29">
        <f t="shared" si="161"/>
        <v>7.7999999999999806E-2</v>
      </c>
      <c r="N2585" s="30">
        <f t="shared" si="162"/>
        <v>0.10282558043789024</v>
      </c>
      <c r="O2585" s="31">
        <f t="shared" si="163"/>
        <v>1.0555537176379666</v>
      </c>
    </row>
    <row r="2586" spans="1:15" x14ac:dyDescent="0.25">
      <c r="A2586" t="s">
        <v>8323</v>
      </c>
      <c r="B2586" t="s">
        <v>5173</v>
      </c>
      <c r="C2586" s="3" t="s">
        <v>5174</v>
      </c>
      <c r="D2586" s="24">
        <v>0.79096999999999995</v>
      </c>
      <c r="E2586" s="25">
        <v>8.9049999999999994</v>
      </c>
      <c r="F2586" s="25">
        <v>8.8350000000000009</v>
      </c>
      <c r="G2586" s="26">
        <v>7.0220000000000005E-2</v>
      </c>
      <c r="H2586" s="27">
        <v>0.25340000000000001</v>
      </c>
      <c r="I2586" s="26">
        <v>0.27710000000000001</v>
      </c>
      <c r="J2586" s="28">
        <v>6</v>
      </c>
      <c r="K2586" s="27">
        <v>0.84360400000000002</v>
      </c>
      <c r="L2586" s="29">
        <f t="shared" si="160"/>
        <v>7.3861369693801623E-2</v>
      </c>
      <c r="M2586" s="29">
        <f t="shared" si="161"/>
        <v>6.999999999999891E-2</v>
      </c>
      <c r="N2586" s="30">
        <f t="shared" si="162"/>
        <v>0.10183998816039366</v>
      </c>
      <c r="O2586" s="31">
        <f t="shared" si="163"/>
        <v>1.0497166836230665</v>
      </c>
    </row>
    <row r="2587" spans="1:15" x14ac:dyDescent="0.25">
      <c r="A2587" t="s">
        <v>8324</v>
      </c>
      <c r="B2587" t="s">
        <v>5177</v>
      </c>
      <c r="C2587" s="3" t="s">
        <v>5178</v>
      </c>
      <c r="D2587" s="24">
        <v>0.79161300000000001</v>
      </c>
      <c r="E2587" s="25">
        <v>6.9560000000000004</v>
      </c>
      <c r="F2587" s="25">
        <v>6.8739999999999997</v>
      </c>
      <c r="G2587" s="26">
        <v>8.1479999999999997E-2</v>
      </c>
      <c r="H2587" s="27">
        <v>0.2949</v>
      </c>
      <c r="I2587" s="26">
        <v>0.27629999999999999</v>
      </c>
      <c r="J2587" s="28">
        <v>6</v>
      </c>
      <c r="K2587" s="27">
        <v>0.84363900000000003</v>
      </c>
      <c r="L2587" s="29">
        <f t="shared" si="160"/>
        <v>7.3843351771227583E-2</v>
      </c>
      <c r="M2587" s="29">
        <f t="shared" si="161"/>
        <v>8.2000000000001225E-2</v>
      </c>
      <c r="N2587" s="30">
        <f t="shared" si="162"/>
        <v>0.10148708235105552</v>
      </c>
      <c r="O2587" s="31">
        <f t="shared" si="163"/>
        <v>1.0584843948751337</v>
      </c>
    </row>
    <row r="2588" spans="1:15" x14ac:dyDescent="0.25">
      <c r="A2588" t="s">
        <v>8325</v>
      </c>
      <c r="B2588" t="s">
        <v>5175</v>
      </c>
      <c r="C2588" s="3" t="s">
        <v>5176</v>
      </c>
      <c r="D2588" s="24">
        <v>0.79152500000000003</v>
      </c>
      <c r="E2588" s="25">
        <v>12.53</v>
      </c>
      <c r="F2588" s="25">
        <v>12.57</v>
      </c>
      <c r="G2588" s="26">
        <v>-3.4779999999999998E-2</v>
      </c>
      <c r="H2588" s="27">
        <v>0.12590000000000001</v>
      </c>
      <c r="I2588" s="26">
        <v>0.27639999999999998</v>
      </c>
      <c r="J2588" s="28">
        <v>6</v>
      </c>
      <c r="K2588" s="27">
        <v>0.84363900000000003</v>
      </c>
      <c r="L2588" s="29">
        <f t="shared" si="160"/>
        <v>7.3843351771227583E-2</v>
      </c>
      <c r="M2588" s="29">
        <f t="shared" si="161"/>
        <v>-3.9999999999998995E-2</v>
      </c>
      <c r="N2588" s="30">
        <f t="shared" si="162"/>
        <v>0.10153536356778689</v>
      </c>
      <c r="O2588" s="31">
        <f t="shared" si="163"/>
        <v>0.9726549474122862</v>
      </c>
    </row>
    <row r="2589" spans="1:15" x14ac:dyDescent="0.25">
      <c r="A2589" t="s">
        <v>8326</v>
      </c>
      <c r="B2589" t="s">
        <v>5179</v>
      </c>
      <c r="C2589" s="3" t="s">
        <v>5180</v>
      </c>
      <c r="D2589" s="24">
        <v>0.79353300000000004</v>
      </c>
      <c r="E2589" s="25">
        <v>9.3360000000000003</v>
      </c>
      <c r="F2589" s="25">
        <v>9.2850000000000001</v>
      </c>
      <c r="G2589" s="26">
        <v>5.1470000000000002E-2</v>
      </c>
      <c r="H2589" s="27">
        <v>0.18809999999999999</v>
      </c>
      <c r="I2589" s="26">
        <v>0.27360000000000001</v>
      </c>
      <c r="J2589" s="28">
        <v>6</v>
      </c>
      <c r="K2589" s="27">
        <v>0.84535899999999997</v>
      </c>
      <c r="L2589" s="29">
        <f t="shared" si="160"/>
        <v>7.2958819324067933E-2</v>
      </c>
      <c r="M2589" s="29">
        <f t="shared" si="161"/>
        <v>5.0999999999999858E-2</v>
      </c>
      <c r="N2589" s="30">
        <f t="shared" si="162"/>
        <v>0.10043500788846751</v>
      </c>
      <c r="O2589" s="31">
        <f t="shared" si="163"/>
        <v>1.0359827635600185</v>
      </c>
    </row>
    <row r="2590" spans="1:15" x14ac:dyDescent="0.25">
      <c r="A2590" t="s">
        <v>8327</v>
      </c>
      <c r="B2590" t="s">
        <v>5181</v>
      </c>
      <c r="C2590" s="3" t="s">
        <v>5182</v>
      </c>
      <c r="D2590" s="24">
        <v>0.79404799999999998</v>
      </c>
      <c r="E2590" s="25">
        <v>8.8480000000000008</v>
      </c>
      <c r="F2590" s="25">
        <v>8.8160000000000007</v>
      </c>
      <c r="G2590" s="26">
        <v>3.2590000000000001E-2</v>
      </c>
      <c r="H2590" s="27">
        <v>0.11940000000000001</v>
      </c>
      <c r="I2590" s="26">
        <v>0.27289999999999998</v>
      </c>
      <c r="J2590" s="28">
        <v>6</v>
      </c>
      <c r="K2590" s="27">
        <v>0.84558199999999994</v>
      </c>
      <c r="L2590" s="29">
        <f t="shared" si="160"/>
        <v>7.2844270478158016E-2</v>
      </c>
      <c r="M2590" s="29">
        <f t="shared" si="161"/>
        <v>3.200000000000059E-2</v>
      </c>
      <c r="N2590" s="30">
        <f t="shared" si="162"/>
        <v>0.10015324378820994</v>
      </c>
      <c r="O2590" s="31">
        <f t="shared" si="163"/>
        <v>1.0224285306099228</v>
      </c>
    </row>
    <row r="2591" spans="1:15" x14ac:dyDescent="0.25">
      <c r="A2591" t="s">
        <v>8328</v>
      </c>
      <c r="B2591" t="s">
        <v>5183</v>
      </c>
      <c r="C2591" s="3" t="s">
        <v>5184</v>
      </c>
      <c r="D2591" s="24">
        <v>0.79449099999999995</v>
      </c>
      <c r="E2591" s="25">
        <v>9.4789999999999992</v>
      </c>
      <c r="F2591" s="25">
        <v>9.4390000000000001</v>
      </c>
      <c r="G2591" s="26">
        <v>3.9980000000000002E-2</v>
      </c>
      <c r="H2591" s="27">
        <v>0.14680000000000001</v>
      </c>
      <c r="I2591" s="26">
        <v>0.27229999999999999</v>
      </c>
      <c r="J2591" s="28">
        <v>6</v>
      </c>
      <c r="K2591" s="27">
        <v>0.84572700000000001</v>
      </c>
      <c r="L2591" s="29">
        <f t="shared" si="160"/>
        <v>7.2769804251075584E-2</v>
      </c>
      <c r="M2591" s="29">
        <f t="shared" si="161"/>
        <v>3.99999999999988E-2</v>
      </c>
      <c r="N2591" s="30">
        <f t="shared" si="162"/>
        <v>9.9911018119881276E-2</v>
      </c>
      <c r="O2591" s="31">
        <f t="shared" si="163"/>
        <v>1.0281138266560657</v>
      </c>
    </row>
    <row r="2592" spans="1:15" x14ac:dyDescent="0.25">
      <c r="A2592" t="s">
        <v>8329</v>
      </c>
      <c r="B2592" t="s">
        <v>5185</v>
      </c>
      <c r="C2592" s="3" t="s">
        <v>5186</v>
      </c>
      <c r="D2592" s="24">
        <v>0.79523600000000005</v>
      </c>
      <c r="E2592" s="25">
        <v>11.32</v>
      </c>
      <c r="F2592" s="25">
        <v>11.3</v>
      </c>
      <c r="G2592" s="26">
        <v>1.9300000000000001E-2</v>
      </c>
      <c r="H2592" s="27">
        <v>7.1139999999999995E-2</v>
      </c>
      <c r="I2592" s="26">
        <v>0.27129999999999999</v>
      </c>
      <c r="J2592" s="28">
        <v>6</v>
      </c>
      <c r="K2592" s="27">
        <v>0.84619500000000003</v>
      </c>
      <c r="L2592" s="29">
        <f t="shared" si="160"/>
        <v>7.252954515790884E-2</v>
      </c>
      <c r="M2592" s="29">
        <f t="shared" si="161"/>
        <v>1.9999999999999622E-2</v>
      </c>
      <c r="N2592" s="30">
        <f t="shared" si="162"/>
        <v>9.9503967836777701E-2</v>
      </c>
      <c r="O2592" s="31">
        <f t="shared" si="163"/>
        <v>1.0139594797900289</v>
      </c>
    </row>
    <row r="2593" spans="1:15" x14ac:dyDescent="0.25">
      <c r="A2593" t="s">
        <v>8330</v>
      </c>
      <c r="B2593" t="s">
        <v>5187</v>
      </c>
      <c r="C2593" s="3" t="s">
        <v>5188</v>
      </c>
      <c r="D2593" s="24">
        <v>0.79559199999999997</v>
      </c>
      <c r="E2593" s="25">
        <v>8.0990000000000002</v>
      </c>
      <c r="F2593" s="25">
        <v>8.1780000000000008</v>
      </c>
      <c r="G2593" s="26">
        <v>-7.8839999999999993E-2</v>
      </c>
      <c r="H2593" s="27">
        <v>0.29110000000000003</v>
      </c>
      <c r="I2593" s="26">
        <v>0.27079999999999999</v>
      </c>
      <c r="J2593" s="28">
        <v>6</v>
      </c>
      <c r="K2593" s="27">
        <v>0.84624699999999997</v>
      </c>
      <c r="L2593" s="29">
        <f t="shared" si="160"/>
        <v>7.2502857905919052E-2</v>
      </c>
      <c r="M2593" s="29">
        <f t="shared" si="161"/>
        <v>-7.900000000000143E-2</v>
      </c>
      <c r="N2593" s="30">
        <f t="shared" si="162"/>
        <v>9.9309592532673935E-2</v>
      </c>
      <c r="O2593" s="31">
        <f t="shared" si="163"/>
        <v>0.94671363123671304</v>
      </c>
    </row>
    <row r="2594" spans="1:15" x14ac:dyDescent="0.25">
      <c r="A2594" t="s">
        <v>8331</v>
      </c>
      <c r="B2594" t="s">
        <v>5189</v>
      </c>
      <c r="C2594" s="3" t="s">
        <v>5190</v>
      </c>
      <c r="D2594" s="24">
        <v>0.79593599999999998</v>
      </c>
      <c r="E2594" s="25">
        <v>9.1709999999999994</v>
      </c>
      <c r="F2594" s="25">
        <v>9.2070000000000007</v>
      </c>
      <c r="G2594" s="26">
        <v>-3.619E-2</v>
      </c>
      <c r="H2594" s="27">
        <v>0.13389999999999999</v>
      </c>
      <c r="I2594" s="26">
        <v>0.27039999999999997</v>
      </c>
      <c r="J2594" s="28">
        <v>6</v>
      </c>
      <c r="K2594" s="27">
        <v>0.84628700000000001</v>
      </c>
      <c r="L2594" s="29">
        <f t="shared" si="160"/>
        <v>7.2482330366408027E-2</v>
      </c>
      <c r="M2594" s="29">
        <f t="shared" si="161"/>
        <v>-3.6000000000000934E-2</v>
      </c>
      <c r="N2594" s="30">
        <f t="shared" si="162"/>
        <v>9.9121851815449663E-2</v>
      </c>
      <c r="O2594" s="31">
        <f t="shared" si="163"/>
        <v>0.97535546152764119</v>
      </c>
    </row>
    <row r="2595" spans="1:15" x14ac:dyDescent="0.25">
      <c r="A2595" t="s">
        <v>8332</v>
      </c>
      <c r="B2595" t="s">
        <v>5191</v>
      </c>
      <c r="C2595" s="3" t="s">
        <v>5192</v>
      </c>
      <c r="D2595" s="24">
        <v>0.79645600000000005</v>
      </c>
      <c r="E2595" s="25">
        <v>10.7</v>
      </c>
      <c r="F2595" s="25">
        <v>10.74</v>
      </c>
      <c r="G2595" s="26">
        <v>-3.7499999999999999E-2</v>
      </c>
      <c r="H2595" s="27">
        <v>0.1391</v>
      </c>
      <c r="I2595" s="26">
        <v>0.2697</v>
      </c>
      <c r="J2595" s="28">
        <v>6</v>
      </c>
      <c r="K2595" s="27">
        <v>0.84651399999999999</v>
      </c>
      <c r="L2595" s="29">
        <f t="shared" si="160"/>
        <v>7.2365854953192948E-2</v>
      </c>
      <c r="M2595" s="29">
        <f t="shared" si="161"/>
        <v>-4.0000000000001631E-2</v>
      </c>
      <c r="N2595" s="30">
        <f t="shared" si="162"/>
        <v>9.8838211683350163E-2</v>
      </c>
      <c r="O2595" s="31">
        <f t="shared" si="163"/>
        <v>0.97265494741228442</v>
      </c>
    </row>
    <row r="2596" spans="1:15" x14ac:dyDescent="0.25">
      <c r="A2596" t="s">
        <v>8333</v>
      </c>
      <c r="B2596" t="s">
        <v>5193</v>
      </c>
      <c r="C2596" s="3" t="s">
        <v>5194</v>
      </c>
      <c r="D2596" s="24">
        <v>0.79696599999999995</v>
      </c>
      <c r="E2596" s="25">
        <v>8.5719999999999992</v>
      </c>
      <c r="F2596" s="25">
        <v>8.5289999999999999</v>
      </c>
      <c r="G2596" s="26">
        <v>4.3479999999999998E-2</v>
      </c>
      <c r="H2596" s="27">
        <v>0.16170000000000001</v>
      </c>
      <c r="I2596" s="26">
        <v>0.26900000000000002</v>
      </c>
      <c r="J2596" s="28">
        <v>6</v>
      </c>
      <c r="K2596" s="27">
        <v>0.84673100000000001</v>
      </c>
      <c r="L2596" s="29">
        <f t="shared" si="160"/>
        <v>7.2254539812042121E-2</v>
      </c>
      <c r="M2596" s="29">
        <f t="shared" si="161"/>
        <v>4.3000000000000392E-2</v>
      </c>
      <c r="N2596" s="30">
        <f t="shared" si="162"/>
        <v>9.8560205990779179E-2</v>
      </c>
      <c r="O2596" s="31">
        <f t="shared" si="163"/>
        <v>1.0302539536200748</v>
      </c>
    </row>
    <row r="2597" spans="1:15" x14ac:dyDescent="0.25">
      <c r="A2597" t="s">
        <v>8334</v>
      </c>
      <c r="B2597" t="s">
        <v>5197</v>
      </c>
      <c r="C2597" s="3" t="s">
        <v>5198</v>
      </c>
      <c r="D2597" s="24">
        <v>0.79771499999999995</v>
      </c>
      <c r="E2597" s="25">
        <v>8.6120000000000001</v>
      </c>
      <c r="F2597" s="25">
        <v>8.7129999999999992</v>
      </c>
      <c r="G2597" s="26">
        <v>-0.1008</v>
      </c>
      <c r="H2597" s="27">
        <v>0.37630000000000002</v>
      </c>
      <c r="I2597" s="26">
        <v>0.26790000000000003</v>
      </c>
      <c r="J2597" s="28">
        <v>6</v>
      </c>
      <c r="K2597" s="27">
        <v>0.84687400000000002</v>
      </c>
      <c r="L2597" s="29">
        <f t="shared" si="160"/>
        <v>7.2181200265855436E-2</v>
      </c>
      <c r="M2597" s="29">
        <f t="shared" si="161"/>
        <v>-0.10099999999999927</v>
      </c>
      <c r="N2597" s="30">
        <f t="shared" si="162"/>
        <v>9.8152241525327436E-2</v>
      </c>
      <c r="O2597" s="31">
        <f t="shared" si="163"/>
        <v>0.93238648643683297</v>
      </c>
    </row>
    <row r="2598" spans="1:15" x14ac:dyDescent="0.25">
      <c r="A2598" t="s">
        <v>8335</v>
      </c>
      <c r="B2598" t="s">
        <v>5195</v>
      </c>
      <c r="C2598" s="3" t="s">
        <v>5196</v>
      </c>
      <c r="D2598" s="24">
        <v>0.79759400000000003</v>
      </c>
      <c r="E2598" s="25">
        <v>9.1679999999999993</v>
      </c>
      <c r="F2598" s="25">
        <v>9.2159999999999993</v>
      </c>
      <c r="G2598" s="26">
        <v>-4.8480000000000002E-2</v>
      </c>
      <c r="H2598" s="27">
        <v>0.18079999999999999</v>
      </c>
      <c r="I2598" s="26">
        <v>0.2681</v>
      </c>
      <c r="J2598" s="28">
        <v>6</v>
      </c>
      <c r="K2598" s="27">
        <v>0.84687400000000002</v>
      </c>
      <c r="L2598" s="29">
        <f t="shared" si="160"/>
        <v>7.2181200265855436E-2</v>
      </c>
      <c r="M2598" s="29">
        <f t="shared" si="161"/>
        <v>-4.7999999999999654E-2</v>
      </c>
      <c r="N2598" s="30">
        <f t="shared" si="162"/>
        <v>9.8218121718332094E-2</v>
      </c>
      <c r="O2598" s="31">
        <f t="shared" si="163"/>
        <v>0.96727632961393228</v>
      </c>
    </row>
    <row r="2599" spans="1:15" x14ac:dyDescent="0.25">
      <c r="A2599" t="s">
        <v>8336</v>
      </c>
      <c r="B2599" t="s">
        <v>5199</v>
      </c>
      <c r="C2599" s="3" t="s">
        <v>5200</v>
      </c>
      <c r="D2599" s="24">
        <v>0.79981100000000005</v>
      </c>
      <c r="E2599" s="25">
        <v>7.1580000000000004</v>
      </c>
      <c r="F2599" s="25">
        <v>7.1210000000000004</v>
      </c>
      <c r="G2599" s="26">
        <v>3.7490000000000002E-2</v>
      </c>
      <c r="H2599" s="27">
        <v>0.1414</v>
      </c>
      <c r="I2599" s="26">
        <v>0.2651</v>
      </c>
      <c r="J2599" s="28">
        <v>6</v>
      </c>
      <c r="K2599" s="27">
        <v>0.848773</v>
      </c>
      <c r="L2599" s="29">
        <f t="shared" si="160"/>
        <v>7.1208444066087007E-2</v>
      </c>
      <c r="M2599" s="29">
        <f t="shared" si="161"/>
        <v>3.6999999999999228E-2</v>
      </c>
      <c r="N2599" s="30">
        <f t="shared" si="162"/>
        <v>9.7012627201184906E-2</v>
      </c>
      <c r="O2599" s="31">
        <f t="shared" si="163"/>
        <v>1.0259781453371399</v>
      </c>
    </row>
    <row r="2600" spans="1:15" x14ac:dyDescent="0.25">
      <c r="A2600" t="s">
        <v>8337</v>
      </c>
      <c r="B2600" t="s">
        <v>5201</v>
      </c>
      <c r="C2600" s="3" t="s">
        <v>5202</v>
      </c>
      <c r="D2600" s="24">
        <v>0.80045100000000002</v>
      </c>
      <c r="E2600" s="25">
        <v>9.5050000000000008</v>
      </c>
      <c r="F2600" s="25">
        <v>9.4770000000000003</v>
      </c>
      <c r="G2600" s="26">
        <v>2.8070000000000001E-2</v>
      </c>
      <c r="H2600" s="27">
        <v>0.1062</v>
      </c>
      <c r="I2600" s="26">
        <v>0.26419999999999999</v>
      </c>
      <c r="J2600" s="28">
        <v>6</v>
      </c>
      <c r="K2600" s="27">
        <v>0.84912699999999997</v>
      </c>
      <c r="L2600" s="29">
        <f t="shared" si="160"/>
        <v>7.1027349480043786E-2</v>
      </c>
      <c r="M2600" s="29">
        <f t="shared" si="161"/>
        <v>2.8000000000000282E-2</v>
      </c>
      <c r="N2600" s="30">
        <f t="shared" si="162"/>
        <v>9.6665248480404031E-2</v>
      </c>
      <c r="O2600" s="31">
        <f t="shared" si="163"/>
        <v>1.0195976829981908</v>
      </c>
    </row>
    <row r="2601" spans="1:15" x14ac:dyDescent="0.25">
      <c r="A2601" t="s">
        <v>8338</v>
      </c>
      <c r="B2601" t="s">
        <v>5203</v>
      </c>
      <c r="C2601" s="3" t="s">
        <v>5204</v>
      </c>
      <c r="D2601" s="24">
        <v>0.80098899999999995</v>
      </c>
      <c r="E2601" s="25">
        <v>10.97</v>
      </c>
      <c r="F2601" s="25">
        <v>10.99</v>
      </c>
      <c r="G2601" s="26">
        <v>-1.308E-2</v>
      </c>
      <c r="H2601" s="27">
        <v>4.9639999999999997E-2</v>
      </c>
      <c r="I2601" s="26">
        <v>0.26350000000000001</v>
      </c>
      <c r="J2601" s="28">
        <v>6</v>
      </c>
      <c r="K2601" s="27">
        <v>0.84937099999999999</v>
      </c>
      <c r="L2601" s="29">
        <f t="shared" si="160"/>
        <v>7.0902571170839576E-2</v>
      </c>
      <c r="M2601" s="29">
        <f t="shared" si="161"/>
        <v>-1.999999999999947E-2</v>
      </c>
      <c r="N2601" s="30">
        <f t="shared" si="162"/>
        <v>9.6373448050723357E-2</v>
      </c>
      <c r="O2601" s="31">
        <f t="shared" si="163"/>
        <v>0.98623270449335954</v>
      </c>
    </row>
    <row r="2602" spans="1:15" x14ac:dyDescent="0.25">
      <c r="A2602" t="s">
        <v>8339</v>
      </c>
      <c r="B2602" t="s">
        <v>5205</v>
      </c>
      <c r="C2602" s="3" t="s">
        <v>5206</v>
      </c>
      <c r="D2602" s="24">
        <v>0.80201800000000001</v>
      </c>
      <c r="E2602" s="25">
        <v>10.48</v>
      </c>
      <c r="F2602" s="25">
        <v>10.5</v>
      </c>
      <c r="G2602" s="26">
        <v>-1.9439999999999999E-2</v>
      </c>
      <c r="H2602" s="27">
        <v>7.417E-2</v>
      </c>
      <c r="I2602" s="26">
        <v>0.2621</v>
      </c>
      <c r="J2602" s="28">
        <v>6</v>
      </c>
      <c r="K2602" s="27">
        <v>0.850136</v>
      </c>
      <c r="L2602" s="29">
        <f t="shared" si="160"/>
        <v>7.0511592726979225E-2</v>
      </c>
      <c r="M2602" s="29">
        <f t="shared" si="161"/>
        <v>-1.999999999999947E-2</v>
      </c>
      <c r="N2602" s="30">
        <f t="shared" si="162"/>
        <v>9.5815884567519452E-2</v>
      </c>
      <c r="O2602" s="31">
        <f t="shared" si="163"/>
        <v>0.98623270449335954</v>
      </c>
    </row>
    <row r="2603" spans="1:15" x14ac:dyDescent="0.25">
      <c r="A2603" t="s">
        <v>8340</v>
      </c>
      <c r="B2603" t="s">
        <v>5207</v>
      </c>
      <c r="C2603" s="3" t="s">
        <v>5208</v>
      </c>
      <c r="D2603" s="24">
        <v>0.80283899999999997</v>
      </c>
      <c r="E2603" s="25">
        <v>7.8010000000000002</v>
      </c>
      <c r="F2603" s="25">
        <v>7.7409999999999997</v>
      </c>
      <c r="G2603" s="26">
        <v>6.0229999999999999E-2</v>
      </c>
      <c r="H2603" s="27">
        <v>0.23080000000000001</v>
      </c>
      <c r="I2603" s="26">
        <v>0.26100000000000001</v>
      </c>
      <c r="J2603" s="28">
        <v>6</v>
      </c>
      <c r="K2603" s="27">
        <v>0.85065900000000005</v>
      </c>
      <c r="L2603" s="29">
        <f t="shared" si="160"/>
        <v>7.0244498784211726E-2</v>
      </c>
      <c r="M2603" s="29">
        <f t="shared" si="161"/>
        <v>6.0000000000000955E-2</v>
      </c>
      <c r="N2603" s="30">
        <f t="shared" si="162"/>
        <v>9.5371538684058427E-2</v>
      </c>
      <c r="O2603" s="31">
        <f t="shared" si="163"/>
        <v>1.0424657608411221</v>
      </c>
    </row>
    <row r="2604" spans="1:15" x14ac:dyDescent="0.25">
      <c r="A2604" t="s">
        <v>8341</v>
      </c>
      <c r="B2604" t="s">
        <v>5209</v>
      </c>
      <c r="C2604" s="3" t="s">
        <v>5210</v>
      </c>
      <c r="D2604" s="24">
        <v>0.80312700000000004</v>
      </c>
      <c r="E2604" s="25">
        <v>8.4429999999999996</v>
      </c>
      <c r="F2604" s="25">
        <v>8.41</v>
      </c>
      <c r="G2604" s="26">
        <v>3.2739999999999998E-2</v>
      </c>
      <c r="H2604" s="27">
        <v>0.12570000000000001</v>
      </c>
      <c r="I2604" s="26">
        <v>0.2606</v>
      </c>
      <c r="J2604" s="28">
        <v>6</v>
      </c>
      <c r="K2604" s="27">
        <v>0.85065900000000005</v>
      </c>
      <c r="L2604" s="29">
        <f t="shared" si="160"/>
        <v>7.0244498784211726E-2</v>
      </c>
      <c r="M2604" s="29">
        <f t="shared" si="161"/>
        <v>3.299999999999869E-2</v>
      </c>
      <c r="N2604" s="30">
        <f t="shared" si="162"/>
        <v>9.5215773478407775E-2</v>
      </c>
      <c r="O2604" s="31">
        <f t="shared" si="163"/>
        <v>1.0231374697344311</v>
      </c>
    </row>
    <row r="2605" spans="1:15" x14ac:dyDescent="0.25">
      <c r="A2605" t="s">
        <v>8342</v>
      </c>
      <c r="B2605" t="s">
        <v>5211</v>
      </c>
      <c r="C2605" s="3" t="s">
        <v>5212</v>
      </c>
      <c r="D2605" s="24">
        <v>0.80393599999999998</v>
      </c>
      <c r="E2605" s="25">
        <v>7.8630000000000004</v>
      </c>
      <c r="F2605" s="25">
        <v>7.9189999999999996</v>
      </c>
      <c r="G2605" s="26">
        <v>-5.5359999999999999E-2</v>
      </c>
      <c r="H2605" s="27">
        <v>0.21329999999999999</v>
      </c>
      <c r="I2605" s="26">
        <v>0.25950000000000001</v>
      </c>
      <c r="J2605" s="28">
        <v>6</v>
      </c>
      <c r="K2605" s="27">
        <v>0.85118899999999997</v>
      </c>
      <c r="L2605" s="29">
        <f t="shared" si="160"/>
        <v>6.9973997443492711E-2</v>
      </c>
      <c r="M2605" s="29">
        <f t="shared" si="161"/>
        <v>-5.5999999999998051E-2</v>
      </c>
      <c r="N2605" s="30">
        <f t="shared" si="162"/>
        <v>9.4778523332597342E-2</v>
      </c>
      <c r="O2605" s="31">
        <f t="shared" si="163"/>
        <v>0.96192745466477603</v>
      </c>
    </row>
    <row r="2606" spans="1:15" x14ac:dyDescent="0.25">
      <c r="A2606" t="s">
        <v>8343</v>
      </c>
      <c r="B2606" t="s">
        <v>5213</v>
      </c>
      <c r="C2606" s="3" t="s">
        <v>5214</v>
      </c>
      <c r="D2606" s="24">
        <v>0.80443600000000004</v>
      </c>
      <c r="E2606" s="25">
        <v>6.742</v>
      </c>
      <c r="F2606" s="25">
        <v>6.9459999999999997</v>
      </c>
      <c r="G2606" s="26">
        <v>-0.20380000000000001</v>
      </c>
      <c r="H2606" s="27">
        <v>0.78749999999999998</v>
      </c>
      <c r="I2606" s="26">
        <v>0.25879999999999997</v>
      </c>
      <c r="J2606" s="28">
        <v>6</v>
      </c>
      <c r="K2606" s="27">
        <v>0.85139299999999996</v>
      </c>
      <c r="L2606" s="29">
        <f t="shared" si="160"/>
        <v>6.9869924835263289E-2</v>
      </c>
      <c r="M2606" s="29">
        <f t="shared" si="161"/>
        <v>-0.20400000000000043</v>
      </c>
      <c r="N2606" s="30">
        <f t="shared" si="162"/>
        <v>9.4508502158457464E-2</v>
      </c>
      <c r="O2606" s="31">
        <f t="shared" si="163"/>
        <v>0.86814022760104259</v>
      </c>
    </row>
    <row r="2607" spans="1:15" x14ac:dyDescent="0.25">
      <c r="A2607" t="s">
        <v>8344</v>
      </c>
      <c r="B2607" t="s">
        <v>5215</v>
      </c>
      <c r="C2607" s="3" t="s">
        <v>5216</v>
      </c>
      <c r="D2607" s="24">
        <v>0.80663600000000002</v>
      </c>
      <c r="E2607" s="25">
        <v>7.0750000000000002</v>
      </c>
      <c r="F2607" s="25">
        <v>7.173</v>
      </c>
      <c r="G2607" s="26">
        <v>-9.844E-2</v>
      </c>
      <c r="H2607" s="27">
        <v>0.38479999999999998</v>
      </c>
      <c r="I2607" s="26">
        <v>0.25580000000000003</v>
      </c>
      <c r="J2607" s="28">
        <v>6</v>
      </c>
      <c r="K2607" s="27">
        <v>0.85339299999999996</v>
      </c>
      <c r="L2607" s="29">
        <f t="shared" si="160"/>
        <v>6.8850923784934334E-2</v>
      </c>
      <c r="M2607" s="29">
        <f t="shared" si="161"/>
        <v>-9.7999999999999116E-2</v>
      </c>
      <c r="N2607" s="30">
        <f t="shared" si="162"/>
        <v>9.3322399421806063E-2</v>
      </c>
      <c r="O2607" s="31">
        <f t="shared" si="163"/>
        <v>0.93432734688318098</v>
      </c>
    </row>
    <row r="2608" spans="1:15" x14ac:dyDescent="0.25">
      <c r="A2608" t="s">
        <v>8345</v>
      </c>
      <c r="B2608" t="s">
        <v>5217</v>
      </c>
      <c r="C2608" s="3" t="s">
        <v>5218</v>
      </c>
      <c r="D2608" s="24">
        <v>0.80706999999999995</v>
      </c>
      <c r="E2608" s="25">
        <v>9.1809999999999992</v>
      </c>
      <c r="F2608" s="25">
        <v>9.2260000000000009</v>
      </c>
      <c r="G2608" s="26">
        <v>-4.5019999999999998E-2</v>
      </c>
      <c r="H2608" s="27">
        <v>0.1764</v>
      </c>
      <c r="I2608" s="26">
        <v>0.25519999999999998</v>
      </c>
      <c r="J2608" s="28">
        <v>6</v>
      </c>
      <c r="K2608" s="27">
        <v>0.85352499999999998</v>
      </c>
      <c r="L2608" s="29">
        <f t="shared" si="160"/>
        <v>6.8783753748968321E-2</v>
      </c>
      <c r="M2608" s="29">
        <f t="shared" si="161"/>
        <v>-4.5000000000002122E-2</v>
      </c>
      <c r="N2608" s="30">
        <f t="shared" si="162"/>
        <v>9.3088795767000979E-2</v>
      </c>
      <c r="O2608" s="31">
        <f t="shared" si="163"/>
        <v>0.96928981693506355</v>
      </c>
    </row>
    <row r="2609" spans="1:15" x14ac:dyDescent="0.25">
      <c r="A2609" t="s">
        <v>8346</v>
      </c>
      <c r="B2609" t="s">
        <v>5219</v>
      </c>
      <c r="C2609" s="3" t="s">
        <v>5220</v>
      </c>
      <c r="D2609" s="24">
        <v>0.808226</v>
      </c>
      <c r="E2609" s="25">
        <v>8.4760000000000009</v>
      </c>
      <c r="F2609" s="25">
        <v>8.5370000000000008</v>
      </c>
      <c r="G2609" s="26">
        <v>-6.164E-2</v>
      </c>
      <c r="H2609" s="27">
        <v>0.24299999999999999</v>
      </c>
      <c r="I2609" s="26">
        <v>0.25369999999999998</v>
      </c>
      <c r="J2609" s="28">
        <v>6</v>
      </c>
      <c r="K2609" s="27">
        <v>0.85415700000000006</v>
      </c>
      <c r="L2609" s="29">
        <f t="shared" si="160"/>
        <v>6.8462295626092629E-2</v>
      </c>
      <c r="M2609" s="29">
        <f t="shared" si="161"/>
        <v>-6.0999999999998923E-2</v>
      </c>
      <c r="N2609" s="30">
        <f t="shared" si="162"/>
        <v>9.2467182753918076E-2</v>
      </c>
      <c r="O2609" s="31">
        <f t="shared" si="163"/>
        <v>0.95859943849297724</v>
      </c>
    </row>
    <row r="2610" spans="1:15" x14ac:dyDescent="0.25">
      <c r="A2610" t="s">
        <v>8347</v>
      </c>
      <c r="B2610" t="s">
        <v>5221</v>
      </c>
      <c r="C2610" s="3" t="s">
        <v>5222</v>
      </c>
      <c r="D2610" s="24">
        <v>0.80828500000000003</v>
      </c>
      <c r="E2610" s="25">
        <v>9.5980000000000008</v>
      </c>
      <c r="F2610" s="25">
        <v>9.5719999999999992</v>
      </c>
      <c r="G2610" s="26">
        <v>2.6239999999999999E-2</v>
      </c>
      <c r="H2610" s="27">
        <v>0.10349999999999999</v>
      </c>
      <c r="I2610" s="26">
        <v>0.25359999999999999</v>
      </c>
      <c r="J2610" s="28">
        <v>6</v>
      </c>
      <c r="K2610" s="27">
        <v>0.85415700000000006</v>
      </c>
      <c r="L2610" s="29">
        <f t="shared" si="160"/>
        <v>6.8462295626092629E-2</v>
      </c>
      <c r="M2610" s="29">
        <f t="shared" si="161"/>
        <v>2.6000000000002122E-2</v>
      </c>
      <c r="N2610" s="30">
        <f t="shared" si="162"/>
        <v>9.2435480681437684E-2</v>
      </c>
      <c r="O2610" s="31">
        <f t="shared" si="163"/>
        <v>1.0181851997646223</v>
      </c>
    </row>
    <row r="2611" spans="1:15" x14ac:dyDescent="0.25">
      <c r="A2611" t="s">
        <v>8348</v>
      </c>
      <c r="B2611" t="s">
        <v>5223</v>
      </c>
      <c r="C2611" s="3" t="s">
        <v>5224</v>
      </c>
      <c r="D2611" s="24">
        <v>0.80866899999999997</v>
      </c>
      <c r="E2611" s="25">
        <v>9.5039999999999996</v>
      </c>
      <c r="F2611" s="25">
        <v>9.5440000000000005</v>
      </c>
      <c r="G2611" s="26">
        <v>-4.0669999999999998E-2</v>
      </c>
      <c r="H2611" s="27">
        <v>0.16070000000000001</v>
      </c>
      <c r="I2611" s="26">
        <v>0.25309999999999999</v>
      </c>
      <c r="J2611" s="28">
        <v>6</v>
      </c>
      <c r="K2611" s="27">
        <v>0.854236</v>
      </c>
      <c r="L2611" s="29">
        <f t="shared" si="160"/>
        <v>6.8422130085617122E-2</v>
      </c>
      <c r="M2611" s="29">
        <f t="shared" si="161"/>
        <v>-4.0000000000001465E-2</v>
      </c>
      <c r="N2611" s="30">
        <f t="shared" si="162"/>
        <v>9.2229205074109338E-2</v>
      </c>
      <c r="O2611" s="31">
        <f t="shared" si="163"/>
        <v>0.97265494741228453</v>
      </c>
    </row>
    <row r="2612" spans="1:15" x14ac:dyDescent="0.25">
      <c r="A2612" t="s">
        <v>8349</v>
      </c>
      <c r="B2612" t="s">
        <v>5225</v>
      </c>
      <c r="C2612" s="3" t="s">
        <v>5226</v>
      </c>
      <c r="D2612" s="24">
        <v>0.80971499999999996</v>
      </c>
      <c r="E2612" s="25">
        <v>8.5169999999999995</v>
      </c>
      <c r="F2612" s="25">
        <v>8.5530000000000008</v>
      </c>
      <c r="G2612" s="26">
        <v>-3.6130000000000002E-2</v>
      </c>
      <c r="H2612" s="27">
        <v>0.14360000000000001</v>
      </c>
      <c r="I2612" s="26">
        <v>0.25159999999999999</v>
      </c>
      <c r="J2612" s="28">
        <v>6</v>
      </c>
      <c r="K2612" s="27">
        <v>0.85501300000000002</v>
      </c>
      <c r="L2612" s="29">
        <f t="shared" si="160"/>
        <v>6.8027282014115439E-2</v>
      </c>
      <c r="M2612" s="29">
        <f t="shared" si="161"/>
        <v>-3.600000000000126E-2</v>
      </c>
      <c r="N2612" s="30">
        <f t="shared" si="162"/>
        <v>9.1667815328133312E-2</v>
      </c>
      <c r="O2612" s="31">
        <f t="shared" si="163"/>
        <v>0.97535546152764097</v>
      </c>
    </row>
    <row r="2613" spans="1:15" x14ac:dyDescent="0.25">
      <c r="A2613" t="s">
        <v>8350</v>
      </c>
      <c r="B2613" t="s">
        <v>5227</v>
      </c>
      <c r="C2613" s="3" t="s">
        <v>5228</v>
      </c>
      <c r="D2613" s="24">
        <v>0.81011200000000005</v>
      </c>
      <c r="E2613" s="25">
        <v>9.3759999999999994</v>
      </c>
      <c r="F2613" s="25">
        <v>9.3930000000000007</v>
      </c>
      <c r="G2613" s="26">
        <v>-1.7080000000000001E-2</v>
      </c>
      <c r="H2613" s="27">
        <v>6.8029999999999993E-2</v>
      </c>
      <c r="I2613" s="26">
        <v>0.25109999999999999</v>
      </c>
      <c r="J2613" s="28">
        <v>6</v>
      </c>
      <c r="K2613" s="27">
        <v>0.85510600000000003</v>
      </c>
      <c r="L2613" s="29">
        <f t="shared" si="160"/>
        <v>6.7980046252327134E-2</v>
      </c>
      <c r="M2613" s="29">
        <f t="shared" si="161"/>
        <v>-1.7000000000001923E-2</v>
      </c>
      <c r="N2613" s="30">
        <f t="shared" si="162"/>
        <v>9.1454934677585031E-2</v>
      </c>
      <c r="O2613" s="31">
        <f t="shared" si="163"/>
        <v>0.98828565150073122</v>
      </c>
    </row>
    <row r="2614" spans="1:15" x14ac:dyDescent="0.25">
      <c r="A2614" t="s">
        <v>8351</v>
      </c>
      <c r="B2614" t="s">
        <v>5229</v>
      </c>
      <c r="C2614" s="3" t="s">
        <v>5230</v>
      </c>
      <c r="D2614" s="24">
        <v>0.81044099999999997</v>
      </c>
      <c r="E2614" s="25">
        <v>10.66</v>
      </c>
      <c r="F2614" s="25">
        <v>10.75</v>
      </c>
      <c r="G2614" s="26">
        <v>-9.7239999999999993E-2</v>
      </c>
      <c r="H2614" s="27">
        <v>0.38790000000000002</v>
      </c>
      <c r="I2614" s="26">
        <v>0.25069999999999998</v>
      </c>
      <c r="J2614" s="28">
        <v>6</v>
      </c>
      <c r="K2614" s="27">
        <v>0.85512600000000005</v>
      </c>
      <c r="L2614" s="29">
        <f t="shared" si="160"/>
        <v>6.7969888695178782E-2</v>
      </c>
      <c r="M2614" s="29">
        <f t="shared" si="161"/>
        <v>-8.9999999999999636E-2</v>
      </c>
      <c r="N2614" s="30">
        <f t="shared" si="162"/>
        <v>9.1278596246803498E-2</v>
      </c>
      <c r="O2614" s="31">
        <f t="shared" si="163"/>
        <v>0.93952274921401202</v>
      </c>
    </row>
    <row r="2615" spans="1:15" x14ac:dyDescent="0.25">
      <c r="A2615" t="s">
        <v>8352</v>
      </c>
      <c r="B2615" t="s">
        <v>5231</v>
      </c>
      <c r="C2615" s="3" t="s">
        <v>5232</v>
      </c>
      <c r="D2615" s="24">
        <v>0.81125999999999998</v>
      </c>
      <c r="E2615" s="25">
        <v>10.41</v>
      </c>
      <c r="F2615" s="25">
        <v>10.44</v>
      </c>
      <c r="G2615" s="26">
        <v>-3.8350000000000002E-2</v>
      </c>
      <c r="H2615" s="27">
        <v>0.1537</v>
      </c>
      <c r="I2615" s="26">
        <v>0.2495</v>
      </c>
      <c r="J2615" s="28">
        <v>6</v>
      </c>
      <c r="K2615" s="27">
        <v>0.85566399999999998</v>
      </c>
      <c r="L2615" s="29">
        <f t="shared" si="160"/>
        <v>6.7696739519691268E-2</v>
      </c>
      <c r="M2615" s="29">
        <f t="shared" si="161"/>
        <v>-2.999999999999858E-2</v>
      </c>
      <c r="N2615" s="30">
        <f t="shared" si="162"/>
        <v>9.0839936825716408E-2</v>
      </c>
      <c r="O2615" s="31">
        <f t="shared" si="163"/>
        <v>0.97942029758692783</v>
      </c>
    </row>
    <row r="2616" spans="1:15" x14ac:dyDescent="0.25">
      <c r="A2616" t="s">
        <v>8353</v>
      </c>
      <c r="B2616" t="s">
        <v>5233</v>
      </c>
      <c r="C2616" s="3" t="s">
        <v>5234</v>
      </c>
      <c r="D2616" s="24">
        <v>0.81169000000000002</v>
      </c>
      <c r="E2616" s="25">
        <v>8.2379999999999995</v>
      </c>
      <c r="F2616" s="25">
        <v>8.1649999999999991</v>
      </c>
      <c r="G2616" s="26">
        <v>7.3169999999999999E-2</v>
      </c>
      <c r="H2616" s="27">
        <v>0.29389999999999999</v>
      </c>
      <c r="I2616" s="26">
        <v>0.249</v>
      </c>
      <c r="J2616" s="28">
        <v>6</v>
      </c>
      <c r="K2616" s="27">
        <v>0.85579099999999997</v>
      </c>
      <c r="L2616" s="29">
        <f t="shared" si="160"/>
        <v>6.7632285123516142E-2</v>
      </c>
      <c r="M2616" s="29">
        <f t="shared" si="161"/>
        <v>7.3000000000000231E-2</v>
      </c>
      <c r="N2616" s="30">
        <f t="shared" si="162"/>
        <v>9.0609804496823737E-2</v>
      </c>
      <c r="O2616" s="31">
        <f t="shared" si="163"/>
        <v>1.0519017792038725</v>
      </c>
    </row>
    <row r="2617" spans="1:15" x14ac:dyDescent="0.25">
      <c r="A2617" t="s">
        <v>8354</v>
      </c>
      <c r="B2617" t="s">
        <v>5235</v>
      </c>
      <c r="C2617" s="3" t="s">
        <v>5236</v>
      </c>
      <c r="D2617" s="24">
        <v>0.81213900000000006</v>
      </c>
      <c r="E2617" s="25">
        <v>8.2260000000000009</v>
      </c>
      <c r="F2617" s="25">
        <v>8.2799999999999994</v>
      </c>
      <c r="G2617" s="26">
        <v>-5.3339999999999999E-2</v>
      </c>
      <c r="H2617" s="27">
        <v>0.21479999999999999</v>
      </c>
      <c r="I2617" s="26">
        <v>0.24840000000000001</v>
      </c>
      <c r="J2617" s="28">
        <v>6</v>
      </c>
      <c r="K2617" s="27">
        <v>0.85593699999999995</v>
      </c>
      <c r="L2617" s="29">
        <f t="shared" si="160"/>
        <v>6.7558199761225374E-2</v>
      </c>
      <c r="M2617" s="29">
        <f t="shared" si="161"/>
        <v>-5.3999999999998639E-2</v>
      </c>
      <c r="N2617" s="30">
        <f t="shared" si="162"/>
        <v>9.0369633607716354E-2</v>
      </c>
      <c r="O2617" s="31">
        <f t="shared" si="163"/>
        <v>0.96326189402014883</v>
      </c>
    </row>
    <row r="2618" spans="1:15" x14ac:dyDescent="0.25">
      <c r="A2618" t="s">
        <v>8355</v>
      </c>
      <c r="B2618" t="s">
        <v>5237</v>
      </c>
      <c r="C2618" s="3" t="s">
        <v>5238</v>
      </c>
      <c r="D2618" s="24">
        <v>0.81309699999999996</v>
      </c>
      <c r="E2618" s="25">
        <v>8.3759999999999994</v>
      </c>
      <c r="F2618" s="25">
        <v>8.3469999999999995</v>
      </c>
      <c r="G2618" s="26">
        <v>2.9250000000000002E-2</v>
      </c>
      <c r="H2618" s="27">
        <v>0.11840000000000001</v>
      </c>
      <c r="I2618" s="26">
        <v>0.24709999999999999</v>
      </c>
      <c r="J2618" s="28">
        <v>6</v>
      </c>
      <c r="K2618" s="27">
        <v>0.85662099999999997</v>
      </c>
      <c r="L2618" s="29">
        <f t="shared" si="160"/>
        <v>6.7211283112075276E-2</v>
      </c>
      <c r="M2618" s="29">
        <f t="shared" si="161"/>
        <v>2.8999999999999599E-2</v>
      </c>
      <c r="N2618" s="30">
        <f t="shared" si="162"/>
        <v>8.985764130401408E-2</v>
      </c>
      <c r="O2618" s="31">
        <f t="shared" si="163"/>
        <v>1.0203046592484575</v>
      </c>
    </row>
    <row r="2619" spans="1:15" x14ac:dyDescent="0.25">
      <c r="A2619" t="s">
        <v>8356</v>
      </c>
      <c r="B2619" t="s">
        <v>5239</v>
      </c>
      <c r="C2619" s="3" t="s">
        <v>5240</v>
      </c>
      <c r="D2619" s="24">
        <v>0.81446499999999999</v>
      </c>
      <c r="E2619" s="25">
        <v>9.4250000000000007</v>
      </c>
      <c r="F2619" s="25">
        <v>9.4909999999999997</v>
      </c>
      <c r="G2619" s="26">
        <v>-6.6019999999999995E-2</v>
      </c>
      <c r="H2619" s="27">
        <v>0.26919999999999999</v>
      </c>
      <c r="I2619" s="26">
        <v>0.2452</v>
      </c>
      <c r="J2619" s="28">
        <v>6</v>
      </c>
      <c r="K2619" s="27">
        <v>0.85758400000000001</v>
      </c>
      <c r="L2619" s="29">
        <f t="shared" si="160"/>
        <v>6.6723330235879966E-2</v>
      </c>
      <c r="M2619" s="29">
        <f t="shared" si="161"/>
        <v>-6.5999999999999698E-2</v>
      </c>
      <c r="N2619" s="30">
        <f t="shared" si="162"/>
        <v>8.9127573888882844E-2</v>
      </c>
      <c r="O2619" s="31">
        <f t="shared" si="163"/>
        <v>0.95528293638243755</v>
      </c>
    </row>
    <row r="2620" spans="1:15" x14ac:dyDescent="0.25">
      <c r="A2620" t="s">
        <v>8357</v>
      </c>
      <c r="B2620" t="s">
        <v>5241</v>
      </c>
      <c r="C2620" s="3" t="s">
        <v>5242</v>
      </c>
      <c r="D2620" s="24">
        <v>0.81463200000000002</v>
      </c>
      <c r="E2620" s="25">
        <v>7.4420000000000002</v>
      </c>
      <c r="F2620" s="25">
        <v>7.4660000000000002</v>
      </c>
      <c r="G2620" s="26">
        <v>-2.4420000000000001E-2</v>
      </c>
      <c r="H2620" s="27">
        <v>9.9659999999999999E-2</v>
      </c>
      <c r="I2620" s="26">
        <v>0.245</v>
      </c>
      <c r="J2620" s="28">
        <v>6</v>
      </c>
      <c r="K2620" s="27">
        <v>0.85758400000000001</v>
      </c>
      <c r="L2620" s="29">
        <f t="shared" si="160"/>
        <v>6.6723330235879966E-2</v>
      </c>
      <c r="M2620" s="29">
        <f t="shared" si="161"/>
        <v>-2.3999999999999987E-2</v>
      </c>
      <c r="N2620" s="30">
        <f t="shared" si="162"/>
        <v>8.903853415861275E-2</v>
      </c>
      <c r="O2620" s="31">
        <f t="shared" si="163"/>
        <v>0.98350207402624834</v>
      </c>
    </row>
    <row r="2621" spans="1:15" x14ac:dyDescent="0.25">
      <c r="A2621" t="s">
        <v>8358</v>
      </c>
      <c r="B2621" t="s">
        <v>5243</v>
      </c>
      <c r="C2621" s="3" t="s">
        <v>5244</v>
      </c>
      <c r="D2621" s="24">
        <v>0.81585399999999997</v>
      </c>
      <c r="E2621" s="25">
        <v>13.11</v>
      </c>
      <c r="F2621" s="25">
        <v>13.06</v>
      </c>
      <c r="G2621" s="26">
        <v>5.4859999999999999E-2</v>
      </c>
      <c r="H2621" s="27">
        <v>0.22550000000000001</v>
      </c>
      <c r="I2621" s="26">
        <v>0.24329999999999999</v>
      </c>
      <c r="J2621" s="28">
        <v>6</v>
      </c>
      <c r="K2621" s="27">
        <v>0.85844200000000004</v>
      </c>
      <c r="L2621" s="29">
        <f t="shared" si="160"/>
        <v>6.6289042297906858E-2</v>
      </c>
      <c r="M2621" s="29">
        <f t="shared" si="161"/>
        <v>5.0000000000000731E-2</v>
      </c>
      <c r="N2621" s="30">
        <f t="shared" si="162"/>
        <v>8.8387552848435455E-2</v>
      </c>
      <c r="O2621" s="31">
        <f t="shared" si="163"/>
        <v>1.035264923841378</v>
      </c>
    </row>
    <row r="2622" spans="1:15" x14ac:dyDescent="0.25">
      <c r="A2622" t="s">
        <v>8359</v>
      </c>
      <c r="B2622" t="s">
        <v>5247</v>
      </c>
      <c r="C2622" s="3" t="s">
        <v>5248</v>
      </c>
      <c r="D2622" s="24">
        <v>0.81637999999999999</v>
      </c>
      <c r="E2622" s="25">
        <v>6.742</v>
      </c>
      <c r="F2622" s="25">
        <v>6.8360000000000003</v>
      </c>
      <c r="G2622" s="26">
        <v>-9.3160000000000007E-2</v>
      </c>
      <c r="H2622" s="27">
        <v>0.38400000000000001</v>
      </c>
      <c r="I2622" s="26">
        <v>0.24260000000000001</v>
      </c>
      <c r="J2622" s="28">
        <v>6</v>
      </c>
      <c r="K2622" s="27">
        <v>0.85844200000000004</v>
      </c>
      <c r="L2622" s="29">
        <f t="shared" si="160"/>
        <v>6.6289042297906858E-2</v>
      </c>
      <c r="M2622" s="29">
        <f t="shared" si="161"/>
        <v>-9.4000000000000014E-2</v>
      </c>
      <c r="N2622" s="30">
        <f t="shared" si="162"/>
        <v>8.8107643343561873E-2</v>
      </c>
      <c r="O2622" s="31">
        <f t="shared" si="163"/>
        <v>0.93692144687242551</v>
      </c>
    </row>
    <row r="2623" spans="1:15" x14ac:dyDescent="0.25">
      <c r="A2623" t="s">
        <v>8360</v>
      </c>
      <c r="B2623" t="s">
        <v>5245</v>
      </c>
      <c r="C2623" s="3" t="s">
        <v>5246</v>
      </c>
      <c r="D2623" s="24">
        <v>0.81615800000000005</v>
      </c>
      <c r="E2623" s="25">
        <v>10.81</v>
      </c>
      <c r="F2623" s="25">
        <v>10.91</v>
      </c>
      <c r="G2623" s="26">
        <v>-9.8470000000000002E-2</v>
      </c>
      <c r="H2623" s="27">
        <v>0.40539999999999998</v>
      </c>
      <c r="I2623" s="26">
        <v>0.2429</v>
      </c>
      <c r="J2623" s="28">
        <v>6</v>
      </c>
      <c r="K2623" s="27">
        <v>0.85844200000000004</v>
      </c>
      <c r="L2623" s="29">
        <f t="shared" si="160"/>
        <v>6.6289042297906858E-2</v>
      </c>
      <c r="M2623" s="29">
        <f t="shared" si="161"/>
        <v>-9.9999999999998632E-2</v>
      </c>
      <c r="N2623" s="30">
        <f t="shared" si="162"/>
        <v>8.8225758052777561E-2</v>
      </c>
      <c r="O2623" s="31">
        <f t="shared" si="163"/>
        <v>0.9330329915368083</v>
      </c>
    </row>
    <row r="2624" spans="1:15" x14ac:dyDescent="0.25">
      <c r="A2624" t="s">
        <v>8361</v>
      </c>
      <c r="B2624" t="s">
        <v>5249</v>
      </c>
      <c r="C2624" s="3" t="s">
        <v>5250</v>
      </c>
      <c r="D2624" s="24">
        <v>0.81806999999999996</v>
      </c>
      <c r="E2624" s="25">
        <v>9.4480000000000004</v>
      </c>
      <c r="F2624" s="25">
        <v>9.4860000000000007</v>
      </c>
      <c r="G2624" s="26">
        <v>-3.8519999999999999E-2</v>
      </c>
      <c r="H2624" s="27">
        <v>0.1603</v>
      </c>
      <c r="I2624" s="26">
        <v>0.24030000000000001</v>
      </c>
      <c r="J2624" s="28">
        <v>6</v>
      </c>
      <c r="K2624" s="27">
        <v>0.85989199999999999</v>
      </c>
      <c r="L2624" s="29">
        <f t="shared" si="160"/>
        <v>6.5556091488309862E-2</v>
      </c>
      <c r="M2624" s="29">
        <f t="shared" si="161"/>
        <v>-3.8000000000000721E-2</v>
      </c>
      <c r="N2624" s="30">
        <f t="shared" si="162"/>
        <v>8.7209533354291102E-2</v>
      </c>
      <c r="O2624" s="31">
        <f t="shared" si="163"/>
        <v>0.97400426854324051</v>
      </c>
    </row>
    <row r="2625" spans="1:15" x14ac:dyDescent="0.25">
      <c r="A2625" t="s">
        <v>8362</v>
      </c>
      <c r="B2625" t="s">
        <v>5251</v>
      </c>
      <c r="C2625" s="3" t="s">
        <v>5252</v>
      </c>
      <c r="D2625" s="24">
        <v>0.81861399999999995</v>
      </c>
      <c r="E2625" s="25">
        <v>9.5150000000000006</v>
      </c>
      <c r="F2625" s="25">
        <v>9.4629999999999992</v>
      </c>
      <c r="G2625" s="26">
        <v>5.1990000000000001E-2</v>
      </c>
      <c r="H2625" s="27">
        <v>0.217</v>
      </c>
      <c r="I2625" s="26">
        <v>0.23960000000000001</v>
      </c>
      <c r="J2625" s="28">
        <v>6</v>
      </c>
      <c r="K2625" s="27">
        <v>0.86013600000000001</v>
      </c>
      <c r="L2625" s="29">
        <f t="shared" si="160"/>
        <v>6.5432875058931708E-2</v>
      </c>
      <c r="M2625" s="29">
        <f t="shared" si="161"/>
        <v>5.2000000000001434E-2</v>
      </c>
      <c r="N2625" s="30">
        <f t="shared" si="162"/>
        <v>8.6920832289387212E-2</v>
      </c>
      <c r="O2625" s="31">
        <f t="shared" si="163"/>
        <v>1.0367011010197218</v>
      </c>
    </row>
    <row r="2626" spans="1:15" x14ac:dyDescent="0.25">
      <c r="A2626" t="s">
        <v>8363</v>
      </c>
      <c r="B2626" t="s">
        <v>5253</v>
      </c>
      <c r="C2626" s="3" t="s">
        <v>5254</v>
      </c>
      <c r="D2626" s="24">
        <v>0.81981199999999999</v>
      </c>
      <c r="E2626" s="25">
        <v>10.02</v>
      </c>
      <c r="F2626" s="25">
        <v>10.039999999999999</v>
      </c>
      <c r="G2626" s="26">
        <v>-1.9689999999999999E-2</v>
      </c>
      <c r="H2626" s="27">
        <v>8.2729999999999998E-2</v>
      </c>
      <c r="I2626" s="26">
        <v>0.23799999999999999</v>
      </c>
      <c r="J2626" s="28">
        <v>6</v>
      </c>
      <c r="K2626" s="27">
        <v>0.86106799999999994</v>
      </c>
      <c r="L2626" s="29">
        <f t="shared" ref="L2626:L2689" si="164">-LOG(K2626,10)</f>
        <v>6.4962550220396723E-2</v>
      </c>
      <c r="M2626" s="29">
        <f t="shared" ref="M2626:M2689" si="165">LOG(O2626,2)</f>
        <v>-1.999999999999947E-2</v>
      </c>
      <c r="N2626" s="30">
        <f t="shared" ref="N2626:N2689" si="166">-LOG(D2626,10)</f>
        <v>8.6285728986532514E-2</v>
      </c>
      <c r="O2626" s="31">
        <f t="shared" ref="O2626:O2689" si="167">((2^E2626)/(2^F2626))</f>
        <v>0.98623270449335954</v>
      </c>
    </row>
    <row r="2627" spans="1:15" x14ac:dyDescent="0.25">
      <c r="A2627" t="s">
        <v>8364</v>
      </c>
      <c r="B2627" t="s">
        <v>5259</v>
      </c>
      <c r="C2627" s="3" t="s">
        <v>5260</v>
      </c>
      <c r="D2627" s="24">
        <v>0.82075100000000001</v>
      </c>
      <c r="E2627" s="25">
        <v>11.46</v>
      </c>
      <c r="F2627" s="25">
        <v>11.37</v>
      </c>
      <c r="G2627" s="26">
        <v>9.2079999999999995E-2</v>
      </c>
      <c r="H2627" s="27">
        <v>0.38900000000000001</v>
      </c>
      <c r="I2627" s="26">
        <v>0.23669999999999999</v>
      </c>
      <c r="J2627" s="28">
        <v>6</v>
      </c>
      <c r="K2627" s="27">
        <v>0.86107100000000003</v>
      </c>
      <c r="L2627" s="29">
        <f t="shared" si="164"/>
        <v>6.4961037121342866E-2</v>
      </c>
      <c r="M2627" s="29">
        <f t="shared" si="165"/>
        <v>9.0000000000000774E-2</v>
      </c>
      <c r="N2627" s="30">
        <f t="shared" si="166"/>
        <v>8.5788579455500336E-2</v>
      </c>
      <c r="O2627" s="31">
        <f t="shared" si="167"/>
        <v>1.0643701824533605</v>
      </c>
    </row>
    <row r="2628" spans="1:15" x14ac:dyDescent="0.25">
      <c r="A2628" t="s">
        <v>8365</v>
      </c>
      <c r="B2628" t="s">
        <v>5257</v>
      </c>
      <c r="C2628" s="3" t="s">
        <v>5258</v>
      </c>
      <c r="D2628" s="24">
        <v>0.82074999999999998</v>
      </c>
      <c r="E2628" s="25">
        <v>8.9600000000000009</v>
      </c>
      <c r="F2628" s="25">
        <v>8.8629999999999995</v>
      </c>
      <c r="G2628" s="26">
        <v>9.6790000000000001E-2</v>
      </c>
      <c r="H2628" s="27">
        <v>0.40889999999999999</v>
      </c>
      <c r="I2628" s="26">
        <v>0.23669999999999999</v>
      </c>
      <c r="J2628" s="28">
        <v>6</v>
      </c>
      <c r="K2628" s="27">
        <v>0.86107100000000003</v>
      </c>
      <c r="L2628" s="29">
        <f t="shared" si="164"/>
        <v>6.4961037121342866E-2</v>
      </c>
      <c r="M2628" s="29">
        <f t="shared" si="165"/>
        <v>9.7000000000001349E-2</v>
      </c>
      <c r="N2628" s="30">
        <f t="shared" si="166"/>
        <v>8.5789108598622307E-2</v>
      </c>
      <c r="O2628" s="31">
        <f t="shared" si="167"/>
        <v>1.0695470878852458</v>
      </c>
    </row>
    <row r="2629" spans="1:15" x14ac:dyDescent="0.25">
      <c r="A2629" t="s">
        <v>8366</v>
      </c>
      <c r="B2629" t="s">
        <v>5255</v>
      </c>
      <c r="C2629" s="3" t="s">
        <v>5256</v>
      </c>
      <c r="D2629" s="24">
        <v>0.820747</v>
      </c>
      <c r="E2629" s="25">
        <v>12.2</v>
      </c>
      <c r="F2629" s="25">
        <v>12.16</v>
      </c>
      <c r="G2629" s="26">
        <v>4.0239999999999998E-2</v>
      </c>
      <c r="H2629" s="27">
        <v>0.17</v>
      </c>
      <c r="I2629" s="26">
        <v>0.23669999999999999</v>
      </c>
      <c r="J2629" s="28">
        <v>6</v>
      </c>
      <c r="K2629" s="27">
        <v>0.86107100000000003</v>
      </c>
      <c r="L2629" s="29">
        <f t="shared" si="164"/>
        <v>6.4961037121342866E-2</v>
      </c>
      <c r="M2629" s="29">
        <f t="shared" si="165"/>
        <v>3.99999999999988E-2</v>
      </c>
      <c r="N2629" s="30">
        <f t="shared" si="166"/>
        <v>8.5790696031856351E-2</v>
      </c>
      <c r="O2629" s="31">
        <f t="shared" si="167"/>
        <v>1.0281138266560657</v>
      </c>
    </row>
    <row r="2630" spans="1:15" x14ac:dyDescent="0.25">
      <c r="A2630" t="s">
        <v>8367</v>
      </c>
      <c r="B2630" t="s">
        <v>5261</v>
      </c>
      <c r="C2630" s="3" t="s">
        <v>5262</v>
      </c>
      <c r="D2630" s="24">
        <v>0.82198700000000002</v>
      </c>
      <c r="E2630" s="25">
        <v>9.6259999999999994</v>
      </c>
      <c r="F2630" s="25">
        <v>9.7870000000000008</v>
      </c>
      <c r="G2630" s="26">
        <v>-0.16089999999999999</v>
      </c>
      <c r="H2630" s="27">
        <v>0.6845</v>
      </c>
      <c r="I2630" s="26">
        <v>0.23499999999999999</v>
      </c>
      <c r="J2630" s="28">
        <v>6</v>
      </c>
      <c r="K2630" s="27">
        <v>0.86204099999999995</v>
      </c>
      <c r="L2630" s="29">
        <f t="shared" si="164"/>
        <v>6.4472077968432073E-2</v>
      </c>
      <c r="M2630" s="29">
        <f t="shared" si="165"/>
        <v>-0.1610000000000015</v>
      </c>
      <c r="N2630" s="30">
        <f t="shared" si="166"/>
        <v>8.5135050918477367E-2</v>
      </c>
      <c r="O2630" s="31">
        <f t="shared" si="167"/>
        <v>0.89440490178260479</v>
      </c>
    </row>
    <row r="2631" spans="1:15" x14ac:dyDescent="0.25">
      <c r="A2631" t="s">
        <v>8368</v>
      </c>
      <c r="B2631" t="s">
        <v>5265</v>
      </c>
      <c r="C2631" s="3" t="s">
        <v>5266</v>
      </c>
      <c r="D2631" s="24">
        <v>0.825187</v>
      </c>
      <c r="E2631" s="25">
        <v>8.2859999999999996</v>
      </c>
      <c r="F2631" s="25">
        <v>8.3190000000000008</v>
      </c>
      <c r="G2631" s="26">
        <v>-3.2800000000000003E-2</v>
      </c>
      <c r="H2631" s="27">
        <v>0.14219999999999999</v>
      </c>
      <c r="I2631" s="26">
        <v>0.23069999999999999</v>
      </c>
      <c r="J2631" s="28">
        <v>6</v>
      </c>
      <c r="K2631" s="27">
        <v>0.86473999999999995</v>
      </c>
      <c r="L2631" s="29">
        <f t="shared" si="164"/>
        <v>6.3114451539597147E-2</v>
      </c>
      <c r="M2631" s="29">
        <f t="shared" si="165"/>
        <v>-3.3000000000001348E-2</v>
      </c>
      <c r="N2631" s="30">
        <f t="shared" si="166"/>
        <v>8.3447622522367274E-2</v>
      </c>
      <c r="O2631" s="31">
        <f t="shared" si="167"/>
        <v>0.97738576641080444</v>
      </c>
    </row>
    <row r="2632" spans="1:15" x14ac:dyDescent="0.25">
      <c r="A2632" t="s">
        <v>8369</v>
      </c>
      <c r="B2632" t="s">
        <v>5263</v>
      </c>
      <c r="C2632" s="3" t="s">
        <v>5264</v>
      </c>
      <c r="D2632" s="24">
        <v>0.82490799999999997</v>
      </c>
      <c r="E2632" s="25">
        <v>8.8079999999999998</v>
      </c>
      <c r="F2632" s="25">
        <v>8.7669999999999995</v>
      </c>
      <c r="G2632" s="26">
        <v>4.0239999999999998E-2</v>
      </c>
      <c r="H2632" s="27">
        <v>0.1741</v>
      </c>
      <c r="I2632" s="26">
        <v>0.2311</v>
      </c>
      <c r="J2632" s="28">
        <v>6</v>
      </c>
      <c r="K2632" s="27">
        <v>0.86473999999999995</v>
      </c>
      <c r="L2632" s="29">
        <f t="shared" si="164"/>
        <v>6.3114451539597147E-2</v>
      </c>
      <c r="M2632" s="29">
        <f t="shared" si="165"/>
        <v>4.1000000000000522E-2</v>
      </c>
      <c r="N2632" s="30">
        <f t="shared" si="166"/>
        <v>8.3594484565589863E-2</v>
      </c>
      <c r="O2632" s="31">
        <f t="shared" si="167"/>
        <v>1.028826707893576</v>
      </c>
    </row>
    <row r="2633" spans="1:15" x14ac:dyDescent="0.25">
      <c r="A2633" t="s">
        <v>8370</v>
      </c>
      <c r="B2633" t="s">
        <v>5267</v>
      </c>
      <c r="C2633" s="3" t="s">
        <v>5268</v>
      </c>
      <c r="D2633" s="24">
        <v>0.82723999999999998</v>
      </c>
      <c r="E2633" s="25">
        <v>8.5169999999999995</v>
      </c>
      <c r="F2633" s="25">
        <v>8.5839999999999996</v>
      </c>
      <c r="G2633" s="26">
        <v>-6.7129999999999995E-2</v>
      </c>
      <c r="H2633" s="27">
        <v>0.29449999999999998</v>
      </c>
      <c r="I2633" s="26">
        <v>0.22800000000000001</v>
      </c>
      <c r="J2633" s="28">
        <v>6</v>
      </c>
      <c r="K2633" s="27">
        <v>0.86656200000000005</v>
      </c>
      <c r="L2633" s="29">
        <f t="shared" si="164"/>
        <v>6.2200359326743712E-2</v>
      </c>
      <c r="M2633" s="29">
        <f t="shared" si="165"/>
        <v>-6.7000000000000295E-2</v>
      </c>
      <c r="N2633" s="30">
        <f t="shared" si="166"/>
        <v>8.2368474057584767E-2</v>
      </c>
      <c r="O2633" s="31">
        <f t="shared" si="167"/>
        <v>0.95462101413971667</v>
      </c>
    </row>
    <row r="2634" spans="1:15" x14ac:dyDescent="0.25">
      <c r="A2634" t="s">
        <v>8371</v>
      </c>
      <c r="B2634" t="s">
        <v>5269</v>
      </c>
      <c r="C2634" s="3" t="s">
        <v>5270</v>
      </c>
      <c r="D2634" s="24">
        <v>0.82943199999999995</v>
      </c>
      <c r="E2634" s="25">
        <v>11.7</v>
      </c>
      <c r="F2634" s="25">
        <v>11.62</v>
      </c>
      <c r="G2634" s="26">
        <v>7.3550000000000004E-2</v>
      </c>
      <c r="H2634" s="27">
        <v>0.32679999999999998</v>
      </c>
      <c r="I2634" s="26">
        <v>0.22500000000000001</v>
      </c>
      <c r="J2634" s="28">
        <v>6</v>
      </c>
      <c r="K2634" s="27">
        <v>0.86853000000000002</v>
      </c>
      <c r="L2634" s="29">
        <f t="shared" si="164"/>
        <v>6.1215175939462588E-2</v>
      </c>
      <c r="M2634" s="29">
        <f t="shared" si="165"/>
        <v>7.9999999999998045E-2</v>
      </c>
      <c r="N2634" s="30">
        <f t="shared" si="166"/>
        <v>8.121921329882531E-2</v>
      </c>
      <c r="O2634" s="31">
        <f t="shared" si="167"/>
        <v>1.0570180405613789</v>
      </c>
    </row>
    <row r="2635" spans="1:15" x14ac:dyDescent="0.25">
      <c r="A2635" t="s">
        <v>8372</v>
      </c>
      <c r="B2635" t="s">
        <v>5271</v>
      </c>
      <c r="C2635" s="3" t="s">
        <v>5272</v>
      </c>
      <c r="D2635" s="24">
        <v>0.83031600000000005</v>
      </c>
      <c r="E2635" s="25">
        <v>9.1690000000000005</v>
      </c>
      <c r="F2635" s="25">
        <v>9.2309999999999999</v>
      </c>
      <c r="G2635" s="26">
        <v>-6.1120000000000001E-2</v>
      </c>
      <c r="H2635" s="27">
        <v>0.27310000000000001</v>
      </c>
      <c r="I2635" s="26">
        <v>0.2238</v>
      </c>
      <c r="J2635" s="28">
        <v>6</v>
      </c>
      <c r="K2635" s="27">
        <v>0.86912599999999995</v>
      </c>
      <c r="L2635" s="29">
        <f t="shared" si="164"/>
        <v>6.0917257914992272E-2</v>
      </c>
      <c r="M2635" s="29">
        <f t="shared" si="165"/>
        <v>-6.200000000000086E-2</v>
      </c>
      <c r="N2635" s="30">
        <f t="shared" si="166"/>
        <v>8.0756593240473143E-2</v>
      </c>
      <c r="O2635" s="31">
        <f t="shared" si="167"/>
        <v>0.95793521822269589</v>
      </c>
    </row>
    <row r="2636" spans="1:15" x14ac:dyDescent="0.25">
      <c r="A2636" t="s">
        <v>8373</v>
      </c>
      <c r="B2636" t="s">
        <v>5273</v>
      </c>
      <c r="C2636" s="3" t="s">
        <v>5274</v>
      </c>
      <c r="D2636" s="24">
        <v>0.83074599999999998</v>
      </c>
      <c r="E2636" s="25">
        <v>11.46</v>
      </c>
      <c r="F2636" s="25">
        <v>11.44</v>
      </c>
      <c r="G2636" s="26">
        <v>2.2540000000000001E-2</v>
      </c>
      <c r="H2636" s="27">
        <v>0.10100000000000001</v>
      </c>
      <c r="I2636" s="26">
        <v>0.2233</v>
      </c>
      <c r="J2636" s="28">
        <v>6</v>
      </c>
      <c r="K2636" s="27">
        <v>0.86924699999999999</v>
      </c>
      <c r="L2636" s="29">
        <f t="shared" si="164"/>
        <v>6.0856799506589489E-2</v>
      </c>
      <c r="M2636" s="29">
        <f t="shared" si="165"/>
        <v>2.0000000000000569E-2</v>
      </c>
      <c r="N2636" s="30">
        <f t="shared" si="166"/>
        <v>8.0531741150196068E-2</v>
      </c>
      <c r="O2636" s="31">
        <f t="shared" si="167"/>
        <v>1.0139594797900295</v>
      </c>
    </row>
    <row r="2637" spans="1:15" x14ac:dyDescent="0.25">
      <c r="A2637" t="s">
        <v>8374</v>
      </c>
      <c r="B2637" t="s">
        <v>5275</v>
      </c>
      <c r="C2637" s="3" t="s">
        <v>5276</v>
      </c>
      <c r="D2637" s="24">
        <v>0.83144700000000005</v>
      </c>
      <c r="E2637" s="25">
        <v>8.7690000000000001</v>
      </c>
      <c r="F2637" s="25">
        <v>8.7490000000000006</v>
      </c>
      <c r="G2637" s="26">
        <v>2.087E-2</v>
      </c>
      <c r="H2637" s="27">
        <v>9.3880000000000005E-2</v>
      </c>
      <c r="I2637" s="26">
        <v>0.2223</v>
      </c>
      <c r="J2637" s="28">
        <v>6</v>
      </c>
      <c r="K2637" s="27">
        <v>0.86965099999999995</v>
      </c>
      <c r="L2637" s="29">
        <f t="shared" si="164"/>
        <v>6.0654999316071385E-2</v>
      </c>
      <c r="M2637" s="29">
        <f t="shared" si="165"/>
        <v>1.9999999999999307E-2</v>
      </c>
      <c r="N2637" s="30">
        <f t="shared" si="166"/>
        <v>8.0165429356242837E-2</v>
      </c>
      <c r="O2637" s="31">
        <f t="shared" si="167"/>
        <v>1.0139594797900287</v>
      </c>
    </row>
    <row r="2638" spans="1:15" x14ac:dyDescent="0.25">
      <c r="A2638" t="s">
        <v>8375</v>
      </c>
      <c r="B2638" t="s">
        <v>5279</v>
      </c>
      <c r="C2638" s="3" t="s">
        <v>5280</v>
      </c>
      <c r="D2638" s="24">
        <v>0.83221599999999996</v>
      </c>
      <c r="E2638" s="25">
        <v>8.9550000000000001</v>
      </c>
      <c r="F2638" s="25">
        <v>8.9949999999999992</v>
      </c>
      <c r="G2638" s="26">
        <v>-4.0640000000000003E-2</v>
      </c>
      <c r="H2638" s="27">
        <v>0.1837</v>
      </c>
      <c r="I2638" s="26">
        <v>0.2213</v>
      </c>
      <c r="J2638" s="28">
        <v>6</v>
      </c>
      <c r="K2638" s="27">
        <v>0.86979600000000001</v>
      </c>
      <c r="L2638" s="29">
        <f t="shared" si="164"/>
        <v>6.0582593890643806E-2</v>
      </c>
      <c r="M2638" s="29">
        <f t="shared" si="165"/>
        <v>-3.9999999999998995E-2</v>
      </c>
      <c r="N2638" s="30">
        <f t="shared" si="166"/>
        <v>7.9763938813543975E-2</v>
      </c>
      <c r="O2638" s="31">
        <f t="shared" si="167"/>
        <v>0.9726549474122862</v>
      </c>
    </row>
    <row r="2639" spans="1:15" x14ac:dyDescent="0.25">
      <c r="A2639" t="s">
        <v>8376</v>
      </c>
      <c r="B2639" t="s">
        <v>5277</v>
      </c>
      <c r="C2639" s="3" t="s">
        <v>5278</v>
      </c>
      <c r="D2639" s="24">
        <v>0.83211800000000002</v>
      </c>
      <c r="E2639" s="25">
        <v>7.5060000000000002</v>
      </c>
      <c r="F2639" s="25">
        <v>7.4710000000000001</v>
      </c>
      <c r="G2639" s="26">
        <v>3.4970000000000001E-2</v>
      </c>
      <c r="H2639" s="27">
        <v>0.15790000000000001</v>
      </c>
      <c r="I2639" s="26">
        <v>0.22140000000000001</v>
      </c>
      <c r="J2639" s="28">
        <v>6</v>
      </c>
      <c r="K2639" s="27">
        <v>0.86979600000000001</v>
      </c>
      <c r="L2639" s="29">
        <f t="shared" si="164"/>
        <v>6.0582593890643806E-2</v>
      </c>
      <c r="M2639" s="29">
        <f t="shared" si="165"/>
        <v>3.4999999999999407E-2</v>
      </c>
      <c r="N2639" s="30">
        <f t="shared" si="166"/>
        <v>7.9815083426675315E-2</v>
      </c>
      <c r="O2639" s="31">
        <f t="shared" si="167"/>
        <v>1.024556823032801</v>
      </c>
    </row>
    <row r="2640" spans="1:15" x14ac:dyDescent="0.25">
      <c r="A2640" t="s">
        <v>8377</v>
      </c>
      <c r="B2640" t="s">
        <v>5285</v>
      </c>
      <c r="C2640" s="3" t="s">
        <v>5286</v>
      </c>
      <c r="D2640" s="24">
        <v>0.833345</v>
      </c>
      <c r="E2640" s="25">
        <v>6.6859999999999999</v>
      </c>
      <c r="F2640" s="25">
        <v>6.7169999999999996</v>
      </c>
      <c r="G2640" s="26">
        <v>-3.099E-2</v>
      </c>
      <c r="H2640" s="27">
        <v>0.14099999999999999</v>
      </c>
      <c r="I2640" s="26">
        <v>0.2198</v>
      </c>
      <c r="J2640" s="28">
        <v>6</v>
      </c>
      <c r="K2640" s="27">
        <v>0.86998900000000001</v>
      </c>
      <c r="L2640" s="29">
        <f t="shared" si="164"/>
        <v>6.0486238495751729E-2</v>
      </c>
      <c r="M2640" s="29">
        <f t="shared" si="165"/>
        <v>-3.0999999999999084E-2</v>
      </c>
      <c r="N2640" s="30">
        <f t="shared" si="166"/>
        <v>7.9175165967438635E-2</v>
      </c>
      <c r="O2640" s="31">
        <f t="shared" si="167"/>
        <v>0.97874165039743644</v>
      </c>
    </row>
    <row r="2641" spans="1:15" x14ac:dyDescent="0.25">
      <c r="A2641" t="s">
        <v>8378</v>
      </c>
      <c r="B2641" t="s">
        <v>5281</v>
      </c>
      <c r="C2641" s="3" t="s">
        <v>5282</v>
      </c>
      <c r="D2641" s="24">
        <v>0.83306999999999998</v>
      </c>
      <c r="E2641" s="25">
        <v>8.9749999999999996</v>
      </c>
      <c r="F2641" s="25">
        <v>8.9030000000000005</v>
      </c>
      <c r="G2641" s="26">
        <v>7.1609999999999993E-2</v>
      </c>
      <c r="H2641" s="27">
        <v>0.32529999999999998</v>
      </c>
      <c r="I2641" s="26">
        <v>0.22009999999999999</v>
      </c>
      <c r="J2641" s="28">
        <v>6</v>
      </c>
      <c r="K2641" s="27">
        <v>0.86998900000000001</v>
      </c>
      <c r="L2641" s="29">
        <f t="shared" si="164"/>
        <v>6.0486238495751729E-2</v>
      </c>
      <c r="M2641" s="29">
        <f t="shared" si="165"/>
        <v>7.1999999999999606E-2</v>
      </c>
      <c r="N2641" s="30">
        <f t="shared" si="166"/>
        <v>7.9318504791930214E-2</v>
      </c>
      <c r="O2641" s="31">
        <f t="shared" si="167"/>
        <v>1.0511729090877062</v>
      </c>
    </row>
    <row r="2642" spans="1:15" x14ac:dyDescent="0.25">
      <c r="A2642" t="s">
        <v>8379</v>
      </c>
      <c r="B2642" t="s">
        <v>5283</v>
      </c>
      <c r="C2642" s="3" t="s">
        <v>5284</v>
      </c>
      <c r="D2642" s="24">
        <v>0.83328199999999997</v>
      </c>
      <c r="E2642" s="25">
        <v>9.1259999999999994</v>
      </c>
      <c r="F2642" s="25">
        <v>9.1010000000000009</v>
      </c>
      <c r="G2642" s="26">
        <v>2.5860000000000001E-2</v>
      </c>
      <c r="H2642" s="27">
        <v>0.1176</v>
      </c>
      <c r="I2642" s="26">
        <v>0.2198</v>
      </c>
      <c r="J2642" s="28">
        <v>6</v>
      </c>
      <c r="K2642" s="27">
        <v>0.86998900000000001</v>
      </c>
      <c r="L2642" s="29">
        <f t="shared" si="164"/>
        <v>6.0486238495751729E-2</v>
      </c>
      <c r="M2642" s="29">
        <f t="shared" si="165"/>
        <v>2.4999999999998919E-2</v>
      </c>
      <c r="N2642" s="30">
        <f t="shared" si="166"/>
        <v>7.9207999411722144E-2</v>
      </c>
      <c r="O2642" s="31">
        <f t="shared" si="167"/>
        <v>1.0174796921026856</v>
      </c>
    </row>
    <row r="2643" spans="1:15" x14ac:dyDescent="0.25">
      <c r="A2643" t="s">
        <v>8380</v>
      </c>
      <c r="B2643" t="s">
        <v>5287</v>
      </c>
      <c r="C2643" s="3" t="s">
        <v>5288</v>
      </c>
      <c r="D2643" s="24">
        <v>0.83441100000000001</v>
      </c>
      <c r="E2643" s="25">
        <v>8.1029999999999998</v>
      </c>
      <c r="F2643" s="25">
        <v>8.0120000000000005</v>
      </c>
      <c r="G2643" s="26">
        <v>9.1069999999999998E-2</v>
      </c>
      <c r="H2643" s="27">
        <v>0.41710000000000003</v>
      </c>
      <c r="I2643" s="26">
        <v>0.21829999999999999</v>
      </c>
      <c r="J2643" s="28">
        <v>6</v>
      </c>
      <c r="K2643" s="27">
        <v>0.87077199999999999</v>
      </c>
      <c r="L2643" s="29">
        <f t="shared" si="164"/>
        <v>6.0095544308251286E-2</v>
      </c>
      <c r="M2643" s="29">
        <f t="shared" si="165"/>
        <v>9.1000000000000178E-2</v>
      </c>
      <c r="N2643" s="30">
        <f t="shared" si="166"/>
        <v>7.8619979260562273E-2</v>
      </c>
      <c r="O2643" s="31">
        <f t="shared" si="167"/>
        <v>1.0651082033934178</v>
      </c>
    </row>
    <row r="2644" spans="1:15" x14ac:dyDescent="0.25">
      <c r="A2644" t="s">
        <v>8381</v>
      </c>
      <c r="B2644" t="s">
        <v>5301</v>
      </c>
      <c r="C2644" s="3" t="s">
        <v>5302</v>
      </c>
      <c r="D2644" s="24">
        <v>0.83666799999999997</v>
      </c>
      <c r="E2644" s="25">
        <v>11.17</v>
      </c>
      <c r="F2644" s="25">
        <v>11.15</v>
      </c>
      <c r="G2644" s="26">
        <v>2.2030000000000001E-2</v>
      </c>
      <c r="H2644" s="27">
        <v>0.1023</v>
      </c>
      <c r="I2644" s="26">
        <v>0.21529999999999999</v>
      </c>
      <c r="J2644" s="28">
        <v>6</v>
      </c>
      <c r="K2644" s="27">
        <v>0.87082599999999999</v>
      </c>
      <c r="L2644" s="29">
        <f t="shared" si="164"/>
        <v>6.0068612832640624E-2</v>
      </c>
      <c r="M2644" s="29">
        <f t="shared" si="165"/>
        <v>1.9999999999999307E-2</v>
      </c>
      <c r="N2644" s="30">
        <f t="shared" si="166"/>
        <v>7.7446841136415784E-2</v>
      </c>
      <c r="O2644" s="31">
        <f t="shared" si="167"/>
        <v>1.0139594797900287</v>
      </c>
    </row>
    <row r="2645" spans="1:15" x14ac:dyDescent="0.25">
      <c r="A2645" t="s">
        <v>8382</v>
      </c>
      <c r="B2645" t="s">
        <v>5297</v>
      </c>
      <c r="C2645" s="3" t="s">
        <v>5298</v>
      </c>
      <c r="D2645" s="24">
        <v>0.83619100000000002</v>
      </c>
      <c r="E2645" s="25">
        <v>8.2509999999999994</v>
      </c>
      <c r="F2645" s="25">
        <v>8.1959999999999997</v>
      </c>
      <c r="G2645" s="26">
        <v>5.432E-2</v>
      </c>
      <c r="H2645" s="27">
        <v>0.25159999999999999</v>
      </c>
      <c r="I2645" s="26">
        <v>0.21590000000000001</v>
      </c>
      <c r="J2645" s="28">
        <v>6</v>
      </c>
      <c r="K2645" s="27">
        <v>0.87082599999999999</v>
      </c>
      <c r="L2645" s="29">
        <f t="shared" si="164"/>
        <v>6.0068612832640624E-2</v>
      </c>
      <c r="M2645" s="29">
        <f t="shared" si="165"/>
        <v>5.5000000000000111E-2</v>
      </c>
      <c r="N2645" s="30">
        <f t="shared" si="166"/>
        <v>7.769451111156872E-2</v>
      </c>
      <c r="O2645" s="31">
        <f t="shared" si="167"/>
        <v>1.0388591032976644</v>
      </c>
    </row>
    <row r="2646" spans="1:15" x14ac:dyDescent="0.25">
      <c r="A2646" t="s">
        <v>8383</v>
      </c>
      <c r="B2646" t="s">
        <v>5289</v>
      </c>
      <c r="C2646" s="3" t="s">
        <v>5290</v>
      </c>
      <c r="D2646" s="24">
        <v>0.83564499999999997</v>
      </c>
      <c r="E2646" s="25">
        <v>8.9250000000000007</v>
      </c>
      <c r="F2646" s="25">
        <v>8.9090000000000007</v>
      </c>
      <c r="G2646" s="26">
        <v>1.5949999999999999E-2</v>
      </c>
      <c r="H2646" s="27">
        <v>7.3609999999999995E-2</v>
      </c>
      <c r="I2646" s="26">
        <v>0.2167</v>
      </c>
      <c r="J2646" s="28">
        <v>6</v>
      </c>
      <c r="K2646" s="27">
        <v>0.87082599999999999</v>
      </c>
      <c r="L2646" s="29">
        <f t="shared" si="164"/>
        <v>6.0068612832640624E-2</v>
      </c>
      <c r="M2646" s="29">
        <f t="shared" si="165"/>
        <v>1.6000000000000285E-2</v>
      </c>
      <c r="N2646" s="30">
        <f t="shared" si="166"/>
        <v>7.7978181035592009E-2</v>
      </c>
      <c r="O2646" s="31">
        <f t="shared" si="167"/>
        <v>1.0111520808513044</v>
      </c>
    </row>
    <row r="2647" spans="1:15" x14ac:dyDescent="0.25">
      <c r="A2647" t="s">
        <v>8384</v>
      </c>
      <c r="B2647" t="s">
        <v>5293</v>
      </c>
      <c r="C2647" s="3" t="s">
        <v>5294</v>
      </c>
      <c r="D2647" s="24">
        <v>0.83595399999999997</v>
      </c>
      <c r="E2647" s="25">
        <v>8.4920000000000009</v>
      </c>
      <c r="F2647" s="25">
        <v>8.6370000000000005</v>
      </c>
      <c r="G2647" s="26">
        <v>-0.1452</v>
      </c>
      <c r="H2647" s="27">
        <v>0.67169999999999996</v>
      </c>
      <c r="I2647" s="26">
        <v>0.21629999999999999</v>
      </c>
      <c r="J2647" s="28">
        <v>6</v>
      </c>
      <c r="K2647" s="27">
        <v>0.87082599999999999</v>
      </c>
      <c r="L2647" s="29">
        <f t="shared" si="164"/>
        <v>6.0068612832640624E-2</v>
      </c>
      <c r="M2647" s="29">
        <f t="shared" si="165"/>
        <v>-0.14499999999999999</v>
      </c>
      <c r="N2647" s="30">
        <f t="shared" si="166"/>
        <v>7.7817619804774515E-2</v>
      </c>
      <c r="O2647" s="31">
        <f t="shared" si="167"/>
        <v>0.9043793775610881</v>
      </c>
    </row>
    <row r="2648" spans="1:15" x14ac:dyDescent="0.25">
      <c r="A2648" t="s">
        <v>8385</v>
      </c>
      <c r="B2648" t="s">
        <v>5295</v>
      </c>
      <c r="C2648" s="3" t="s">
        <v>5296</v>
      </c>
      <c r="D2648" s="24">
        <v>0.83617799999999998</v>
      </c>
      <c r="E2648" s="25">
        <v>7.8310000000000004</v>
      </c>
      <c r="F2648" s="25">
        <v>7.8780000000000001</v>
      </c>
      <c r="G2648" s="26">
        <v>-4.7329999999999997E-2</v>
      </c>
      <c r="H2648" s="27">
        <v>0.21920000000000001</v>
      </c>
      <c r="I2648" s="26">
        <v>0.216</v>
      </c>
      <c r="J2648" s="28">
        <v>6</v>
      </c>
      <c r="K2648" s="27">
        <v>0.87082599999999999</v>
      </c>
      <c r="L2648" s="29">
        <f t="shared" si="164"/>
        <v>6.0068612832640624E-2</v>
      </c>
      <c r="M2648" s="29">
        <f t="shared" si="165"/>
        <v>-4.6999999999999362E-2</v>
      </c>
      <c r="N2648" s="30">
        <f t="shared" si="166"/>
        <v>7.7701263004559873E-2</v>
      </c>
      <c r="O2648" s="31">
        <f t="shared" si="167"/>
        <v>0.96794702689373779</v>
      </c>
    </row>
    <row r="2649" spans="1:15" x14ac:dyDescent="0.25">
      <c r="A2649" t="s">
        <v>8386</v>
      </c>
      <c r="B2649" t="s">
        <v>5299</v>
      </c>
      <c r="C2649" s="3" t="s">
        <v>5300</v>
      </c>
      <c r="D2649" s="24">
        <v>0.83646500000000001</v>
      </c>
      <c r="E2649" s="25">
        <v>8.7010000000000005</v>
      </c>
      <c r="F2649" s="25">
        <v>8.7309999999999999</v>
      </c>
      <c r="G2649" s="26">
        <v>-3.049E-2</v>
      </c>
      <c r="H2649" s="27">
        <v>0.1414</v>
      </c>
      <c r="I2649" s="26">
        <v>0.21560000000000001</v>
      </c>
      <c r="J2649" s="28">
        <v>6</v>
      </c>
      <c r="K2649" s="27">
        <v>0.87082599999999999</v>
      </c>
      <c r="L2649" s="29">
        <f t="shared" si="164"/>
        <v>6.0068612832640624E-2</v>
      </c>
      <c r="M2649" s="29">
        <f t="shared" si="165"/>
        <v>-2.9999999999999891E-2</v>
      </c>
      <c r="N2649" s="30">
        <f t="shared" si="166"/>
        <v>7.7552226398984805E-2</v>
      </c>
      <c r="O2649" s="31">
        <f t="shared" si="167"/>
        <v>0.97942029758692695</v>
      </c>
    </row>
    <row r="2650" spans="1:15" x14ac:dyDescent="0.25">
      <c r="A2650" t="s">
        <v>8387</v>
      </c>
      <c r="B2650" t="s">
        <v>5291</v>
      </c>
      <c r="C2650" s="3" t="s">
        <v>5292</v>
      </c>
      <c r="D2650" s="24">
        <v>0.83575999999999995</v>
      </c>
      <c r="E2650" s="25">
        <v>9.0050000000000008</v>
      </c>
      <c r="F2650" s="25">
        <v>9.032</v>
      </c>
      <c r="G2650" s="26">
        <v>-2.6460000000000001E-2</v>
      </c>
      <c r="H2650" s="27">
        <v>0.1222</v>
      </c>
      <c r="I2650" s="26">
        <v>0.2165</v>
      </c>
      <c r="J2650" s="28">
        <v>6</v>
      </c>
      <c r="K2650" s="27">
        <v>0.87082599999999999</v>
      </c>
      <c r="L2650" s="29">
        <f t="shared" si="164"/>
        <v>6.0068612832640624E-2</v>
      </c>
      <c r="M2650" s="29">
        <f t="shared" si="165"/>
        <v>-2.6999999999998574E-2</v>
      </c>
      <c r="N2650" s="30">
        <f t="shared" si="166"/>
        <v>7.7918418302445128E-2</v>
      </c>
      <c r="O2650" s="31">
        <f t="shared" si="167"/>
        <v>0.98145906385348025</v>
      </c>
    </row>
    <row r="2651" spans="1:15" x14ac:dyDescent="0.25">
      <c r="A2651" t="s">
        <v>8388</v>
      </c>
      <c r="B2651" t="s">
        <v>5303</v>
      </c>
      <c r="C2651" s="3" t="s">
        <v>5304</v>
      </c>
      <c r="D2651" s="24">
        <v>0.83764799999999995</v>
      </c>
      <c r="E2651" s="25">
        <v>9.9009999999999998</v>
      </c>
      <c r="F2651" s="25">
        <v>9.9390000000000001</v>
      </c>
      <c r="G2651" s="26">
        <v>-3.8199999999999998E-2</v>
      </c>
      <c r="H2651" s="27">
        <v>0.17849999999999999</v>
      </c>
      <c r="I2651" s="26">
        <v>0.214</v>
      </c>
      <c r="J2651" s="28">
        <v>6</v>
      </c>
      <c r="K2651" s="27">
        <v>0.87137399999999998</v>
      </c>
      <c r="L2651" s="29">
        <f t="shared" si="164"/>
        <v>5.979540265707884E-2</v>
      </c>
      <c r="M2651" s="29">
        <f t="shared" si="165"/>
        <v>-3.8000000000000554E-2</v>
      </c>
      <c r="N2651" s="30">
        <f t="shared" si="166"/>
        <v>7.6938444106382536E-2</v>
      </c>
      <c r="O2651" s="31">
        <f t="shared" si="167"/>
        <v>0.97400426854324063</v>
      </c>
    </row>
    <row r="2652" spans="1:15" x14ac:dyDescent="0.25">
      <c r="A2652" t="s">
        <v>8389</v>
      </c>
      <c r="B2652" t="s">
        <v>5305</v>
      </c>
      <c r="C2652" s="3" t="s">
        <v>5306</v>
      </c>
      <c r="D2652" s="24">
        <v>0.83782699999999999</v>
      </c>
      <c r="E2652" s="25">
        <v>8.9450000000000003</v>
      </c>
      <c r="F2652" s="25">
        <v>8.9789999999999992</v>
      </c>
      <c r="G2652" s="26">
        <v>-3.4070000000000003E-2</v>
      </c>
      <c r="H2652" s="27">
        <v>0.15939999999999999</v>
      </c>
      <c r="I2652" s="26">
        <v>0.2137</v>
      </c>
      <c r="J2652" s="28">
        <v>6</v>
      </c>
      <c r="K2652" s="27">
        <v>0.87137399999999998</v>
      </c>
      <c r="L2652" s="29">
        <f t="shared" si="164"/>
        <v>5.979540265707884E-2</v>
      </c>
      <c r="M2652" s="29">
        <f t="shared" si="165"/>
        <v>-3.3999999999999003E-2</v>
      </c>
      <c r="N2652" s="30">
        <f t="shared" si="166"/>
        <v>7.6845648078323087E-2</v>
      </c>
      <c r="O2652" s="31">
        <f t="shared" si="167"/>
        <v>0.97670852896222804</v>
      </c>
    </row>
    <row r="2653" spans="1:15" x14ac:dyDescent="0.25">
      <c r="A2653" t="s">
        <v>8390</v>
      </c>
      <c r="B2653" t="s">
        <v>5307</v>
      </c>
      <c r="C2653" s="3" t="s">
        <v>5308</v>
      </c>
      <c r="D2653" s="24">
        <v>0.83883700000000005</v>
      </c>
      <c r="E2653" s="25">
        <v>9.7959999999999994</v>
      </c>
      <c r="F2653" s="25">
        <v>9.782</v>
      </c>
      <c r="G2653" s="26">
        <v>1.43E-2</v>
      </c>
      <c r="H2653" s="27">
        <v>6.7330000000000001E-2</v>
      </c>
      <c r="I2653" s="26">
        <v>0.21240000000000001</v>
      </c>
      <c r="J2653" s="28">
        <v>6</v>
      </c>
      <c r="K2653" s="27">
        <v>0.87209700000000001</v>
      </c>
      <c r="L2653" s="29">
        <f t="shared" si="164"/>
        <v>5.9435207473545443E-2</v>
      </c>
      <c r="M2653" s="29">
        <f t="shared" si="165"/>
        <v>1.3999999999999495E-2</v>
      </c>
      <c r="N2653" s="30">
        <f t="shared" si="166"/>
        <v>7.6322421624151704E-2</v>
      </c>
      <c r="O2653" s="31">
        <f t="shared" si="167"/>
        <v>1.0097512975966854</v>
      </c>
    </row>
    <row r="2654" spans="1:15" x14ac:dyDescent="0.25">
      <c r="A2654" t="s">
        <v>8391</v>
      </c>
      <c r="B2654" t="s">
        <v>5309</v>
      </c>
      <c r="C2654" s="3" t="s">
        <v>5310</v>
      </c>
      <c r="D2654" s="24">
        <v>0.83982400000000001</v>
      </c>
      <c r="E2654" s="25">
        <v>8.0739999999999998</v>
      </c>
      <c r="F2654" s="25">
        <v>8.1</v>
      </c>
      <c r="G2654" s="26">
        <v>-2.572E-2</v>
      </c>
      <c r="H2654" s="27">
        <v>0.12189999999999999</v>
      </c>
      <c r="I2654" s="26">
        <v>0.21110000000000001</v>
      </c>
      <c r="J2654" s="28">
        <v>6</v>
      </c>
      <c r="K2654" s="27">
        <v>0.87279499999999999</v>
      </c>
      <c r="L2654" s="29">
        <f t="shared" si="164"/>
        <v>5.9087750364981942E-2</v>
      </c>
      <c r="M2654" s="29">
        <f t="shared" si="165"/>
        <v>-2.6000000000000752E-2</v>
      </c>
      <c r="N2654" s="30">
        <f t="shared" si="166"/>
        <v>7.5811718506566761E-2</v>
      </c>
      <c r="O2654" s="31">
        <f t="shared" si="167"/>
        <v>0.9821395952633909</v>
      </c>
    </row>
    <row r="2655" spans="1:15" x14ac:dyDescent="0.25">
      <c r="A2655" t="s">
        <v>8392</v>
      </c>
      <c r="B2655" t="s">
        <v>5313</v>
      </c>
      <c r="C2655" s="3" t="s">
        <v>5314</v>
      </c>
      <c r="D2655" s="24">
        <v>0.84072400000000003</v>
      </c>
      <c r="E2655" s="25">
        <v>9.6669999999999998</v>
      </c>
      <c r="F2655" s="25">
        <v>9.6950000000000003</v>
      </c>
      <c r="G2655" s="26">
        <v>-2.843E-2</v>
      </c>
      <c r="H2655" s="27">
        <v>0.13550000000000001</v>
      </c>
      <c r="I2655" s="26">
        <v>0.2099</v>
      </c>
      <c r="J2655" s="28">
        <v>6</v>
      </c>
      <c r="K2655" s="27">
        <v>0.87297800000000003</v>
      </c>
      <c r="L2655" s="29">
        <f t="shared" si="164"/>
        <v>5.8996700852268179E-2</v>
      </c>
      <c r="M2655" s="29">
        <f t="shared" si="165"/>
        <v>-2.8000000000000278E-2</v>
      </c>
      <c r="N2655" s="30">
        <f t="shared" si="166"/>
        <v>7.5346554677768074E-2</v>
      </c>
      <c r="O2655" s="31">
        <f t="shared" si="167"/>
        <v>0.98077900398855111</v>
      </c>
    </row>
    <row r="2656" spans="1:15" x14ac:dyDescent="0.25">
      <c r="A2656" t="s">
        <v>8393</v>
      </c>
      <c r="B2656" t="s">
        <v>5311</v>
      </c>
      <c r="C2656" s="3" t="s">
        <v>5312</v>
      </c>
      <c r="D2656" s="24">
        <v>0.84045899999999996</v>
      </c>
      <c r="E2656" s="25">
        <v>9.3000000000000007</v>
      </c>
      <c r="F2656" s="25">
        <v>9.2750000000000004</v>
      </c>
      <c r="G2656" s="26">
        <v>2.436E-2</v>
      </c>
      <c r="H2656" s="27">
        <v>0.1159</v>
      </c>
      <c r="I2656" s="26">
        <v>0.2102</v>
      </c>
      <c r="J2656" s="28">
        <v>6</v>
      </c>
      <c r="K2656" s="27">
        <v>0.87297800000000003</v>
      </c>
      <c r="L2656" s="29">
        <f t="shared" si="164"/>
        <v>5.8996700852268179E-2</v>
      </c>
      <c r="M2656" s="29">
        <f t="shared" si="165"/>
        <v>2.5000000000000175E-2</v>
      </c>
      <c r="N2656" s="30">
        <f t="shared" si="166"/>
        <v>7.5483467837914903E-2</v>
      </c>
      <c r="O2656" s="31">
        <f t="shared" si="167"/>
        <v>1.0174796921026865</v>
      </c>
    </row>
    <row r="2657" spans="1:15" x14ac:dyDescent="0.25">
      <c r="A2657" t="s">
        <v>8394</v>
      </c>
      <c r="B2657" t="s">
        <v>5315</v>
      </c>
      <c r="C2657" s="3" t="s">
        <v>5316</v>
      </c>
      <c r="D2657" s="24">
        <v>0.84094800000000003</v>
      </c>
      <c r="E2657" s="25">
        <v>10.01</v>
      </c>
      <c r="F2657" s="25">
        <v>9.9789999999999992</v>
      </c>
      <c r="G2657" s="26">
        <v>3.4180000000000002E-2</v>
      </c>
      <c r="H2657" s="27">
        <v>0.16309999999999999</v>
      </c>
      <c r="I2657" s="26">
        <v>0.20960000000000001</v>
      </c>
      <c r="J2657" s="28">
        <v>6</v>
      </c>
      <c r="K2657" s="27">
        <v>0.87297800000000003</v>
      </c>
      <c r="L2657" s="29">
        <f t="shared" si="164"/>
        <v>5.8996700852268179E-2</v>
      </c>
      <c r="M2657" s="29">
        <f t="shared" si="165"/>
        <v>3.1000000000000246E-2</v>
      </c>
      <c r="N2657" s="30">
        <f t="shared" si="166"/>
        <v>7.5230857961022274E-2</v>
      </c>
      <c r="O2657" s="31">
        <f t="shared" si="167"/>
        <v>1.0217200827143016</v>
      </c>
    </row>
    <row r="2658" spans="1:15" x14ac:dyDescent="0.25">
      <c r="A2658" t="s">
        <v>8395</v>
      </c>
      <c r="B2658" t="s">
        <v>5319</v>
      </c>
      <c r="C2658" s="3" t="s">
        <v>5320</v>
      </c>
      <c r="D2658" s="24">
        <v>0.84213000000000005</v>
      </c>
      <c r="E2658" s="25">
        <v>8.7319999999999993</v>
      </c>
      <c r="F2658" s="25">
        <v>8.7729999999999997</v>
      </c>
      <c r="G2658" s="26">
        <v>-4.1180000000000001E-2</v>
      </c>
      <c r="H2658" s="27">
        <v>0.19800000000000001</v>
      </c>
      <c r="I2658" s="26">
        <v>0.20799999999999999</v>
      </c>
      <c r="J2658" s="28">
        <v>6</v>
      </c>
      <c r="K2658" s="27">
        <v>0.87353400000000003</v>
      </c>
      <c r="L2658" s="29">
        <f t="shared" si="164"/>
        <v>5.8720186588300381E-2</v>
      </c>
      <c r="M2658" s="29">
        <f t="shared" si="165"/>
        <v>-4.1000000000000571E-2</v>
      </c>
      <c r="N2658" s="30">
        <f t="shared" si="166"/>
        <v>7.4620861083868895E-2</v>
      </c>
      <c r="O2658" s="31">
        <f t="shared" si="167"/>
        <v>0.97198098798135213</v>
      </c>
    </row>
    <row r="2659" spans="1:15" x14ac:dyDescent="0.25">
      <c r="A2659" t="s">
        <v>8396</v>
      </c>
      <c r="B2659" t="s">
        <v>5317</v>
      </c>
      <c r="C2659" s="3" t="s">
        <v>5318</v>
      </c>
      <c r="D2659" s="24">
        <v>0.84207799999999999</v>
      </c>
      <c r="E2659" s="25">
        <v>9.0470000000000006</v>
      </c>
      <c r="F2659" s="25">
        <v>9.0640000000000001</v>
      </c>
      <c r="G2659" s="26">
        <v>-1.6660000000000001E-2</v>
      </c>
      <c r="H2659" s="27">
        <v>8.0089999999999995E-2</v>
      </c>
      <c r="I2659" s="26">
        <v>0.20799999999999999</v>
      </c>
      <c r="J2659" s="28">
        <v>6</v>
      </c>
      <c r="K2659" s="27">
        <v>0.87353400000000003</v>
      </c>
      <c r="L2659" s="29">
        <f t="shared" si="164"/>
        <v>5.8720186588300381E-2</v>
      </c>
      <c r="M2659" s="29">
        <f t="shared" si="165"/>
        <v>-1.6999999999999332E-2</v>
      </c>
      <c r="N2659" s="30">
        <f t="shared" si="166"/>
        <v>7.4647678808361553E-2</v>
      </c>
      <c r="O2659" s="31">
        <f t="shared" si="167"/>
        <v>0.988285651500733</v>
      </c>
    </row>
    <row r="2660" spans="1:15" x14ac:dyDescent="0.25">
      <c r="A2660" t="s">
        <v>8397</v>
      </c>
      <c r="B2660" t="s">
        <v>5321</v>
      </c>
      <c r="C2660" s="3" t="s">
        <v>5322</v>
      </c>
      <c r="D2660" s="24">
        <v>0.84243299999999999</v>
      </c>
      <c r="E2660" s="25">
        <v>9.0410000000000004</v>
      </c>
      <c r="F2660" s="25">
        <v>9.1029999999999998</v>
      </c>
      <c r="G2660" s="26">
        <v>-6.1679999999999999E-2</v>
      </c>
      <c r="H2660" s="27">
        <v>0.29720000000000002</v>
      </c>
      <c r="I2660" s="26">
        <v>0.20760000000000001</v>
      </c>
      <c r="J2660" s="28">
        <v>6</v>
      </c>
      <c r="K2660" s="27">
        <v>0.87353400000000003</v>
      </c>
      <c r="L2660" s="29">
        <f t="shared" si="164"/>
        <v>5.8720186588300381E-2</v>
      </c>
      <c r="M2660" s="29">
        <f t="shared" si="165"/>
        <v>-6.1999999999999361E-2</v>
      </c>
      <c r="N2660" s="30">
        <f t="shared" si="166"/>
        <v>7.4464629195318835E-2</v>
      </c>
      <c r="O2660" s="31">
        <f t="shared" si="167"/>
        <v>0.95793521822269689</v>
      </c>
    </row>
    <row r="2661" spans="1:15" x14ac:dyDescent="0.25">
      <c r="A2661" t="s">
        <v>8398</v>
      </c>
      <c r="B2661" t="s">
        <v>5323</v>
      </c>
      <c r="C2661" s="3" t="s">
        <v>5324</v>
      </c>
      <c r="D2661" s="24">
        <v>0.84281899999999998</v>
      </c>
      <c r="E2661" s="25">
        <v>8.9890000000000008</v>
      </c>
      <c r="F2661" s="25">
        <v>8.9559999999999995</v>
      </c>
      <c r="G2661" s="26">
        <v>3.2870000000000003E-2</v>
      </c>
      <c r="H2661" s="27">
        <v>0.15870000000000001</v>
      </c>
      <c r="I2661" s="26">
        <v>0.20710000000000001</v>
      </c>
      <c r="J2661" s="28">
        <v>6</v>
      </c>
      <c r="K2661" s="27">
        <v>0.87360599999999999</v>
      </c>
      <c r="L2661" s="29">
        <f t="shared" si="164"/>
        <v>5.8684391857809728E-2</v>
      </c>
      <c r="M2661" s="29">
        <f t="shared" si="165"/>
        <v>3.3000000000001202E-2</v>
      </c>
      <c r="N2661" s="30">
        <f t="shared" si="166"/>
        <v>7.4265682482368853E-2</v>
      </c>
      <c r="O2661" s="31">
        <f t="shared" si="167"/>
        <v>1.0231374697344329</v>
      </c>
    </row>
    <row r="2662" spans="1:15" x14ac:dyDescent="0.25">
      <c r="A2662" t="s">
        <v>8399</v>
      </c>
      <c r="B2662" t="s">
        <v>5325</v>
      </c>
      <c r="C2662" s="3" t="s">
        <v>5326</v>
      </c>
      <c r="D2662" s="24">
        <v>0.84316800000000003</v>
      </c>
      <c r="E2662" s="25">
        <v>9.9139999999999997</v>
      </c>
      <c r="F2662" s="25">
        <v>9.9</v>
      </c>
      <c r="G2662" s="26">
        <v>1.376E-2</v>
      </c>
      <c r="H2662" s="27">
        <v>6.6589999999999996E-2</v>
      </c>
      <c r="I2662" s="26">
        <v>0.20660000000000001</v>
      </c>
      <c r="J2662" s="28">
        <v>6</v>
      </c>
      <c r="K2662" s="27">
        <v>0.87363999999999997</v>
      </c>
      <c r="L2662" s="29">
        <f t="shared" si="164"/>
        <v>5.866748981609772E-2</v>
      </c>
      <c r="M2662" s="29">
        <f t="shared" si="165"/>
        <v>1.3999999999999495E-2</v>
      </c>
      <c r="N2662" s="30">
        <f t="shared" si="166"/>
        <v>7.4085884208302547E-2</v>
      </c>
      <c r="O2662" s="31">
        <f t="shared" si="167"/>
        <v>1.0097512975966854</v>
      </c>
    </row>
    <row r="2663" spans="1:15" x14ac:dyDescent="0.25">
      <c r="A2663" t="s">
        <v>8400</v>
      </c>
      <c r="B2663" t="s">
        <v>5327</v>
      </c>
      <c r="C2663" s="3" t="s">
        <v>5328</v>
      </c>
      <c r="D2663" s="24">
        <v>0.84363200000000005</v>
      </c>
      <c r="E2663" s="25">
        <v>9.4610000000000003</v>
      </c>
      <c r="F2663" s="25">
        <v>9.4179999999999993</v>
      </c>
      <c r="G2663" s="26">
        <v>4.2759999999999999E-2</v>
      </c>
      <c r="H2663" s="27">
        <v>0.20760000000000001</v>
      </c>
      <c r="I2663" s="26">
        <v>0.20599999999999999</v>
      </c>
      <c r="J2663" s="28">
        <v>6</v>
      </c>
      <c r="K2663" s="27">
        <v>0.87379399999999996</v>
      </c>
      <c r="L2663" s="29">
        <f t="shared" si="164"/>
        <v>5.8590941745742857E-2</v>
      </c>
      <c r="M2663" s="29">
        <f t="shared" si="165"/>
        <v>4.3000000000001641E-2</v>
      </c>
      <c r="N2663" s="30">
        <f t="shared" si="166"/>
        <v>7.3846955295940958E-2</v>
      </c>
      <c r="O2663" s="31">
        <f t="shared" si="167"/>
        <v>1.0302539536200757</v>
      </c>
    </row>
    <row r="2664" spans="1:15" x14ac:dyDescent="0.25">
      <c r="A2664" t="s">
        <v>8401</v>
      </c>
      <c r="B2664" t="s">
        <v>5329</v>
      </c>
      <c r="C2664" s="3" t="s">
        <v>5330</v>
      </c>
      <c r="D2664" s="24">
        <v>0.84427099999999999</v>
      </c>
      <c r="E2664" s="25">
        <v>8.1270000000000007</v>
      </c>
      <c r="F2664" s="25">
        <v>8.0879999999999992</v>
      </c>
      <c r="G2664" s="26">
        <v>3.8690000000000002E-2</v>
      </c>
      <c r="H2664" s="27">
        <v>0.18859999999999999</v>
      </c>
      <c r="I2664" s="26">
        <v>0.2051</v>
      </c>
      <c r="J2664" s="28">
        <v>6</v>
      </c>
      <c r="K2664" s="27">
        <v>0.87412699999999999</v>
      </c>
      <c r="L2664" s="29">
        <f t="shared" si="164"/>
        <v>5.8425465086072936E-2</v>
      </c>
      <c r="M2664" s="29">
        <f t="shared" si="165"/>
        <v>3.900000000000256E-2</v>
      </c>
      <c r="N2664" s="30">
        <f t="shared" si="166"/>
        <v>7.3518128121400794E-2</v>
      </c>
      <c r="O2664" s="31">
        <f t="shared" si="167"/>
        <v>1.0274014393789657</v>
      </c>
    </row>
    <row r="2665" spans="1:15" x14ac:dyDescent="0.25">
      <c r="A2665" t="s">
        <v>8402</v>
      </c>
      <c r="B2665" t="s">
        <v>5333</v>
      </c>
      <c r="C2665" s="3" t="s">
        <v>5334</v>
      </c>
      <c r="D2665" s="24">
        <v>0.84535099999999996</v>
      </c>
      <c r="E2665" s="25">
        <v>6.9989999999999997</v>
      </c>
      <c r="F2665" s="25">
        <v>6.9119999999999999</v>
      </c>
      <c r="G2665" s="26">
        <v>8.6330000000000004E-2</v>
      </c>
      <c r="H2665" s="27">
        <v>0.4239</v>
      </c>
      <c r="I2665" s="26">
        <v>0.20369999999999999</v>
      </c>
      <c r="J2665" s="28">
        <v>6</v>
      </c>
      <c r="K2665" s="27">
        <v>0.87458999999999998</v>
      </c>
      <c r="L2665" s="29">
        <f t="shared" si="164"/>
        <v>5.8195492655062339E-2</v>
      </c>
      <c r="M2665" s="29">
        <f t="shared" si="165"/>
        <v>8.6999999999999494E-2</v>
      </c>
      <c r="N2665" s="30">
        <f t="shared" si="166"/>
        <v>7.2962929261142007E-2</v>
      </c>
      <c r="O2665" s="31">
        <f t="shared" si="167"/>
        <v>1.0621591864953721</v>
      </c>
    </row>
    <row r="2666" spans="1:15" x14ac:dyDescent="0.25">
      <c r="A2666" t="s">
        <v>8403</v>
      </c>
      <c r="B2666" t="s">
        <v>5331</v>
      </c>
      <c r="C2666" s="3" t="s">
        <v>5332</v>
      </c>
      <c r="D2666" s="24">
        <v>0.84532600000000002</v>
      </c>
      <c r="E2666" s="25">
        <v>8.8539999999999992</v>
      </c>
      <c r="F2666" s="25">
        <v>8.8279999999999994</v>
      </c>
      <c r="G2666" s="26">
        <v>2.597E-2</v>
      </c>
      <c r="H2666" s="27">
        <v>0.1275</v>
      </c>
      <c r="I2666" s="26">
        <v>0.20369999999999999</v>
      </c>
      <c r="J2666" s="28">
        <v>6</v>
      </c>
      <c r="K2666" s="27">
        <v>0.87458999999999998</v>
      </c>
      <c r="L2666" s="29">
        <f t="shared" si="164"/>
        <v>5.8195492655062339E-2</v>
      </c>
      <c r="M2666" s="29">
        <f t="shared" si="165"/>
        <v>2.5999999999999291E-2</v>
      </c>
      <c r="N2666" s="30">
        <f t="shared" si="166"/>
        <v>7.2975773065190139E-2</v>
      </c>
      <c r="O2666" s="31">
        <f t="shared" si="167"/>
        <v>1.0181851997646203</v>
      </c>
    </row>
    <row r="2667" spans="1:15" x14ac:dyDescent="0.25">
      <c r="A2667" t="s">
        <v>8404</v>
      </c>
      <c r="B2667" t="s">
        <v>5335</v>
      </c>
      <c r="C2667" s="3" t="s">
        <v>5336</v>
      </c>
      <c r="D2667" s="24">
        <v>0.84567999999999999</v>
      </c>
      <c r="E2667" s="25">
        <v>9.3330000000000002</v>
      </c>
      <c r="F2667" s="25">
        <v>9.3160000000000007</v>
      </c>
      <c r="G2667" s="26">
        <v>1.6910000000000001E-2</v>
      </c>
      <c r="H2667" s="27">
        <v>8.3220000000000002E-2</v>
      </c>
      <c r="I2667" s="26">
        <v>0.20319999999999999</v>
      </c>
      <c r="J2667" s="28">
        <v>6</v>
      </c>
      <c r="K2667" s="27">
        <v>0.87460300000000002</v>
      </c>
      <c r="L2667" s="29">
        <f t="shared" si="164"/>
        <v>5.8189037303063025E-2</v>
      </c>
      <c r="M2667" s="29">
        <f t="shared" si="165"/>
        <v>1.6999999999999356E-2</v>
      </c>
      <c r="N2667" s="30">
        <f t="shared" si="166"/>
        <v>7.2793940181286015E-2</v>
      </c>
      <c r="O2667" s="31">
        <f t="shared" si="167"/>
        <v>1.0118532010269283</v>
      </c>
    </row>
    <row r="2668" spans="1:15" x14ac:dyDescent="0.25">
      <c r="A2668" t="s">
        <v>8405</v>
      </c>
      <c r="B2668" t="s">
        <v>5337</v>
      </c>
      <c r="C2668" s="3" t="s">
        <v>5338</v>
      </c>
      <c r="D2668" s="24">
        <v>0.84607200000000005</v>
      </c>
      <c r="E2668" s="25">
        <v>6.7839999999999998</v>
      </c>
      <c r="F2668" s="25">
        <v>6.9009999999999998</v>
      </c>
      <c r="G2668" s="26">
        <v>-0.1173</v>
      </c>
      <c r="H2668" s="27">
        <v>0.57879999999999998</v>
      </c>
      <c r="I2668" s="26">
        <v>0.20269999999999999</v>
      </c>
      <c r="J2668" s="28">
        <v>6</v>
      </c>
      <c r="K2668" s="27">
        <v>0.87468100000000004</v>
      </c>
      <c r="L2668" s="29">
        <f t="shared" si="164"/>
        <v>5.8150307205936537E-2</v>
      </c>
      <c r="M2668" s="29">
        <f t="shared" si="165"/>
        <v>-0.11700000000000083</v>
      </c>
      <c r="N2668" s="30">
        <f t="shared" si="166"/>
        <v>7.2592677301203209E-2</v>
      </c>
      <c r="O2668" s="31">
        <f t="shared" si="167"/>
        <v>0.92210311791263067</v>
      </c>
    </row>
    <row r="2669" spans="1:15" x14ac:dyDescent="0.25">
      <c r="A2669" t="s">
        <v>8406</v>
      </c>
      <c r="B2669" t="s">
        <v>5339</v>
      </c>
      <c r="C2669" s="3" t="s">
        <v>5340</v>
      </c>
      <c r="D2669" s="24">
        <v>0.84666799999999998</v>
      </c>
      <c r="E2669" s="25">
        <v>8</v>
      </c>
      <c r="F2669" s="25">
        <v>7.9720000000000004</v>
      </c>
      <c r="G2669" s="26">
        <v>2.8420000000000001E-2</v>
      </c>
      <c r="H2669" s="27">
        <v>0.14069999999999999</v>
      </c>
      <c r="I2669" s="26">
        <v>0.2019</v>
      </c>
      <c r="J2669" s="28">
        <v>6</v>
      </c>
      <c r="K2669" s="27">
        <v>0.874969</v>
      </c>
      <c r="L2669" s="29">
        <f t="shared" si="164"/>
        <v>5.8007333683326008E-2</v>
      </c>
      <c r="M2669" s="29">
        <f t="shared" si="165"/>
        <v>2.7999999999999341E-2</v>
      </c>
      <c r="N2669" s="30">
        <f t="shared" si="166"/>
        <v>7.2286854171944942E-2</v>
      </c>
      <c r="O2669" s="31">
        <f t="shared" si="167"/>
        <v>1.0195976829981901</v>
      </c>
    </row>
    <row r="2670" spans="1:15" x14ac:dyDescent="0.25">
      <c r="A2670" t="s">
        <v>8407</v>
      </c>
      <c r="B2670" t="s">
        <v>5345</v>
      </c>
      <c r="C2670" s="3" t="s">
        <v>5346</v>
      </c>
      <c r="D2670" s="24">
        <v>0.84773500000000002</v>
      </c>
      <c r="E2670" s="25">
        <v>9.7859999999999996</v>
      </c>
      <c r="F2670" s="25">
        <v>9.7669999999999995</v>
      </c>
      <c r="G2670" s="26">
        <v>1.8329999999999999E-2</v>
      </c>
      <c r="H2670" s="27">
        <v>9.146E-2</v>
      </c>
      <c r="I2670" s="26">
        <v>0.20050000000000001</v>
      </c>
      <c r="J2670" s="28">
        <v>6</v>
      </c>
      <c r="K2670" s="27">
        <v>0.87509000000000003</v>
      </c>
      <c r="L2670" s="29">
        <f t="shared" si="164"/>
        <v>5.7947278985291208E-2</v>
      </c>
      <c r="M2670" s="29">
        <f t="shared" si="165"/>
        <v>1.9000000000000513E-2</v>
      </c>
      <c r="N2670" s="30">
        <f t="shared" si="166"/>
        <v>7.173988597908508E-2</v>
      </c>
      <c r="O2670" s="31">
        <f t="shared" si="167"/>
        <v>1.0132569001590859</v>
      </c>
    </row>
    <row r="2671" spans="1:15" x14ac:dyDescent="0.25">
      <c r="A2671" t="s">
        <v>8408</v>
      </c>
      <c r="B2671" t="s">
        <v>5341</v>
      </c>
      <c r="C2671" s="3" t="s">
        <v>5342</v>
      </c>
      <c r="D2671" s="24">
        <v>0.84733899999999995</v>
      </c>
      <c r="E2671" s="25">
        <v>9.6769999999999996</v>
      </c>
      <c r="F2671" s="25">
        <v>9.9130000000000003</v>
      </c>
      <c r="G2671" s="26">
        <v>-0.2366</v>
      </c>
      <c r="H2671" s="27">
        <v>1.177</v>
      </c>
      <c r="I2671" s="26">
        <v>0.20100000000000001</v>
      </c>
      <c r="J2671" s="28">
        <v>6</v>
      </c>
      <c r="K2671" s="27">
        <v>0.87509000000000003</v>
      </c>
      <c r="L2671" s="29">
        <f t="shared" si="164"/>
        <v>5.7947278985291208E-2</v>
      </c>
      <c r="M2671" s="29">
        <f t="shared" si="165"/>
        <v>-0.23600000000000121</v>
      </c>
      <c r="N2671" s="30">
        <f t="shared" si="166"/>
        <v>7.1942804102969313E-2</v>
      </c>
      <c r="O2671" s="31">
        <f t="shared" si="167"/>
        <v>0.84909624644683901</v>
      </c>
    </row>
    <row r="2672" spans="1:15" x14ac:dyDescent="0.25">
      <c r="A2672" t="s">
        <v>8409</v>
      </c>
      <c r="B2672" t="s">
        <v>5343</v>
      </c>
      <c r="C2672" s="3" t="s">
        <v>5344</v>
      </c>
      <c r="D2672" s="24">
        <v>0.84767000000000003</v>
      </c>
      <c r="E2672" s="25">
        <v>9.3729999999999993</v>
      </c>
      <c r="F2672" s="25">
        <v>9.4</v>
      </c>
      <c r="G2672" s="26">
        <v>-2.673E-2</v>
      </c>
      <c r="H2672" s="27">
        <v>0.1333</v>
      </c>
      <c r="I2672" s="26">
        <v>0.2006</v>
      </c>
      <c r="J2672" s="28">
        <v>6</v>
      </c>
      <c r="K2672" s="27">
        <v>0.87509000000000003</v>
      </c>
      <c r="L2672" s="29">
        <f t="shared" si="164"/>
        <v>5.7947278985291208E-2</v>
      </c>
      <c r="M2672" s="29">
        <f t="shared" si="165"/>
        <v>-2.7000000000001349E-2</v>
      </c>
      <c r="N2672" s="30">
        <f t="shared" si="166"/>
        <v>7.1773186743607456E-2</v>
      </c>
      <c r="O2672" s="31">
        <f t="shared" si="167"/>
        <v>0.98145906385347836</v>
      </c>
    </row>
    <row r="2673" spans="1:15" x14ac:dyDescent="0.25">
      <c r="A2673" t="s">
        <v>8410</v>
      </c>
      <c r="B2673" t="s">
        <v>5347</v>
      </c>
      <c r="C2673" s="3" t="s">
        <v>5348</v>
      </c>
      <c r="D2673" s="24">
        <v>0.84956100000000001</v>
      </c>
      <c r="E2673" s="25">
        <v>11.63</v>
      </c>
      <c r="F2673" s="25">
        <v>11.58</v>
      </c>
      <c r="G2673" s="26">
        <v>5.2859999999999997E-2</v>
      </c>
      <c r="H2673" s="27">
        <v>0.26690000000000003</v>
      </c>
      <c r="I2673" s="26">
        <v>0.19800000000000001</v>
      </c>
      <c r="J2673" s="28">
        <v>6</v>
      </c>
      <c r="K2673" s="27">
        <v>0.87664799999999998</v>
      </c>
      <c r="L2673" s="29">
        <f t="shared" si="164"/>
        <v>5.7174753663332564E-2</v>
      </c>
      <c r="M2673" s="29">
        <f t="shared" si="165"/>
        <v>5.0000000000000731E-2</v>
      </c>
      <c r="N2673" s="30">
        <f t="shared" si="166"/>
        <v>7.0805432554455122E-2</v>
      </c>
      <c r="O2673" s="31">
        <f t="shared" si="167"/>
        <v>1.035264923841378</v>
      </c>
    </row>
    <row r="2674" spans="1:15" x14ac:dyDescent="0.25">
      <c r="A2674" t="s">
        <v>8411</v>
      </c>
      <c r="B2674" t="s">
        <v>5349</v>
      </c>
      <c r="C2674" s="3" t="s">
        <v>5350</v>
      </c>
      <c r="D2674" s="24">
        <v>0.85029900000000003</v>
      </c>
      <c r="E2674" s="25">
        <v>13.91</v>
      </c>
      <c r="F2674" s="25">
        <v>13.96</v>
      </c>
      <c r="G2674" s="26">
        <v>-5.4050000000000001E-2</v>
      </c>
      <c r="H2674" s="27">
        <v>0.27429999999999999</v>
      </c>
      <c r="I2674" s="26">
        <v>0.19700000000000001</v>
      </c>
      <c r="J2674" s="28">
        <v>6</v>
      </c>
      <c r="K2674" s="27">
        <v>0.877081</v>
      </c>
      <c r="L2674" s="29">
        <f t="shared" si="164"/>
        <v>5.6960296909198571E-2</v>
      </c>
      <c r="M2674" s="29">
        <f t="shared" si="165"/>
        <v>-5.0000000000000586E-2</v>
      </c>
      <c r="N2674" s="30">
        <f t="shared" si="166"/>
        <v>7.0428331678168699E-2</v>
      </c>
      <c r="O2674" s="31">
        <f t="shared" si="167"/>
        <v>0.96593632892484516</v>
      </c>
    </row>
    <row r="2675" spans="1:15" x14ac:dyDescent="0.25">
      <c r="A2675" t="s">
        <v>8412</v>
      </c>
      <c r="B2675" t="s">
        <v>5353</v>
      </c>
      <c r="C2675" s="3" t="s">
        <v>5354</v>
      </c>
      <c r="D2675" s="24">
        <v>0.85141299999999998</v>
      </c>
      <c r="E2675" s="25">
        <v>7.157</v>
      </c>
      <c r="F2675" s="25">
        <v>7.3010000000000002</v>
      </c>
      <c r="G2675" s="26">
        <v>-0.14319999999999999</v>
      </c>
      <c r="H2675" s="27">
        <v>0.73199999999999998</v>
      </c>
      <c r="I2675" s="26">
        <v>0.1956</v>
      </c>
      <c r="J2675" s="28">
        <v>6</v>
      </c>
      <c r="K2675" s="27">
        <v>0.87757499999999999</v>
      </c>
      <c r="L2675" s="29">
        <f t="shared" si="164"/>
        <v>5.6715757261850484E-2</v>
      </c>
      <c r="M2675" s="29">
        <f t="shared" si="165"/>
        <v>-0.14400000000000052</v>
      </c>
      <c r="N2675" s="30">
        <f t="shared" si="166"/>
        <v>6.98597229806322E-2</v>
      </c>
      <c r="O2675" s="31">
        <f t="shared" si="167"/>
        <v>0.90500646288290509</v>
      </c>
    </row>
    <row r="2676" spans="1:15" x14ac:dyDescent="0.25">
      <c r="A2676" t="s">
        <v>8413</v>
      </c>
      <c r="B2676" t="s">
        <v>5351</v>
      </c>
      <c r="C2676" s="3" t="s">
        <v>5352</v>
      </c>
      <c r="D2676" s="24">
        <v>0.85118700000000003</v>
      </c>
      <c r="E2676" s="25">
        <v>11.08</v>
      </c>
      <c r="F2676" s="25">
        <v>11.1</v>
      </c>
      <c r="G2676" s="26">
        <v>-1.924E-2</v>
      </c>
      <c r="H2676" s="27">
        <v>9.8229999999999998E-2</v>
      </c>
      <c r="I2676" s="26">
        <v>0.19589999999999999</v>
      </c>
      <c r="J2676" s="28">
        <v>6</v>
      </c>
      <c r="K2676" s="27">
        <v>0.87757499999999999</v>
      </c>
      <c r="L2676" s="29">
        <f t="shared" si="164"/>
        <v>5.6715757261850484E-2</v>
      </c>
      <c r="M2676" s="29">
        <f t="shared" si="165"/>
        <v>-1.999999999999947E-2</v>
      </c>
      <c r="N2676" s="30">
        <f t="shared" si="166"/>
        <v>6.9975017886642496E-2</v>
      </c>
      <c r="O2676" s="31">
        <f t="shared" si="167"/>
        <v>0.98623270449335954</v>
      </c>
    </row>
    <row r="2677" spans="1:15" x14ac:dyDescent="0.25">
      <c r="A2677" t="s">
        <v>8414</v>
      </c>
      <c r="B2677" t="s">
        <v>5357</v>
      </c>
      <c r="C2677" s="3" t="s">
        <v>5358</v>
      </c>
      <c r="D2677" s="24">
        <v>0.852773</v>
      </c>
      <c r="E2677" s="25">
        <v>8.7040000000000006</v>
      </c>
      <c r="F2677" s="25">
        <v>8.7639999999999993</v>
      </c>
      <c r="G2677" s="26">
        <v>-5.9859999999999997E-2</v>
      </c>
      <c r="H2677" s="27">
        <v>0.309</v>
      </c>
      <c r="I2677" s="26">
        <v>0.19370000000000001</v>
      </c>
      <c r="J2677" s="28">
        <v>6</v>
      </c>
      <c r="K2677" s="27">
        <v>0.87828300000000004</v>
      </c>
      <c r="L2677" s="29">
        <f t="shared" si="164"/>
        <v>5.6365523347887393E-2</v>
      </c>
      <c r="M2677" s="29">
        <f t="shared" si="165"/>
        <v>-5.9999999999998742E-2</v>
      </c>
      <c r="N2677" s="30">
        <f t="shared" si="166"/>
        <v>6.9166558477727527E-2</v>
      </c>
      <c r="O2677" s="31">
        <f t="shared" si="167"/>
        <v>0.95926411932526523</v>
      </c>
    </row>
    <row r="2678" spans="1:15" x14ac:dyDescent="0.25">
      <c r="A2678" t="s">
        <v>8415</v>
      </c>
      <c r="B2678" t="s">
        <v>5359</v>
      </c>
      <c r="C2678" s="3" t="s">
        <v>5360</v>
      </c>
      <c r="D2678" s="24">
        <v>0.85305399999999998</v>
      </c>
      <c r="E2678" s="25">
        <v>9.4740000000000002</v>
      </c>
      <c r="F2678" s="25">
        <v>9.4269999999999996</v>
      </c>
      <c r="G2678" s="26">
        <v>4.709E-2</v>
      </c>
      <c r="H2678" s="27">
        <v>0.24349999999999999</v>
      </c>
      <c r="I2678" s="26">
        <v>0.19339999999999999</v>
      </c>
      <c r="J2678" s="28">
        <v>6</v>
      </c>
      <c r="K2678" s="27">
        <v>0.87828300000000004</v>
      </c>
      <c r="L2678" s="29">
        <f t="shared" si="164"/>
        <v>5.6365523347887393E-2</v>
      </c>
      <c r="M2678" s="29">
        <f t="shared" si="165"/>
        <v>4.7000000000000548E-2</v>
      </c>
      <c r="N2678" s="30">
        <f t="shared" si="166"/>
        <v>6.9023476265382841E-2</v>
      </c>
      <c r="O2678" s="31">
        <f t="shared" si="167"/>
        <v>1.0331143876841329</v>
      </c>
    </row>
    <row r="2679" spans="1:15" x14ac:dyDescent="0.25">
      <c r="A2679" t="s">
        <v>8416</v>
      </c>
      <c r="B2679" t="s">
        <v>5355</v>
      </c>
      <c r="C2679" s="3" t="s">
        <v>5356</v>
      </c>
      <c r="D2679" s="24">
        <v>0.85262400000000005</v>
      </c>
      <c r="E2679" s="25">
        <v>8.5229999999999997</v>
      </c>
      <c r="F2679" s="25">
        <v>8.5510000000000002</v>
      </c>
      <c r="G2679" s="26">
        <v>-2.7900000000000001E-2</v>
      </c>
      <c r="H2679" s="27">
        <v>0.1439</v>
      </c>
      <c r="I2679" s="26">
        <v>0.19389999999999999</v>
      </c>
      <c r="J2679" s="28">
        <v>6</v>
      </c>
      <c r="K2679" s="27">
        <v>0.87828300000000004</v>
      </c>
      <c r="L2679" s="29">
        <f t="shared" si="164"/>
        <v>5.6365523347887393E-2</v>
      </c>
      <c r="M2679" s="29">
        <f t="shared" si="165"/>
        <v>-2.8000000000000278E-2</v>
      </c>
      <c r="N2679" s="30">
        <f t="shared" si="166"/>
        <v>6.9242446822750103E-2</v>
      </c>
      <c r="O2679" s="31">
        <f t="shared" si="167"/>
        <v>0.98077900398855111</v>
      </c>
    </row>
    <row r="2680" spans="1:15" x14ac:dyDescent="0.25">
      <c r="A2680" t="s">
        <v>8417</v>
      </c>
      <c r="B2680" t="s">
        <v>5365</v>
      </c>
      <c r="C2680" s="3" t="s">
        <v>5366</v>
      </c>
      <c r="D2680" s="24">
        <v>0.85653699999999999</v>
      </c>
      <c r="E2680" s="25">
        <v>7.7270000000000003</v>
      </c>
      <c r="F2680" s="25">
        <v>7.7720000000000002</v>
      </c>
      <c r="G2680" s="26">
        <v>-4.4859999999999997E-2</v>
      </c>
      <c r="H2680" s="27">
        <v>0.23769999999999999</v>
      </c>
      <c r="I2680" s="26">
        <v>0.18870000000000001</v>
      </c>
      <c r="J2680" s="28">
        <v>6</v>
      </c>
      <c r="K2680" s="27">
        <v>0.88068599999999997</v>
      </c>
      <c r="L2680" s="29">
        <f t="shared" si="164"/>
        <v>5.5178907450440316E-2</v>
      </c>
      <c r="M2680" s="29">
        <f t="shared" si="165"/>
        <v>-4.4999999999999811E-2</v>
      </c>
      <c r="N2680" s="30">
        <f t="shared" si="166"/>
        <v>6.72538719877179E-2</v>
      </c>
      <c r="O2680" s="31">
        <f t="shared" si="167"/>
        <v>0.96928981693506511</v>
      </c>
    </row>
    <row r="2681" spans="1:15" x14ac:dyDescent="0.25">
      <c r="A2681" t="s">
        <v>8418</v>
      </c>
      <c r="B2681" t="s">
        <v>5367</v>
      </c>
      <c r="C2681" s="3" t="s">
        <v>5368</v>
      </c>
      <c r="D2681" s="24">
        <v>0.85666299999999995</v>
      </c>
      <c r="E2681" s="25">
        <v>9.9749999999999996</v>
      </c>
      <c r="F2681" s="25">
        <v>9.9589999999999996</v>
      </c>
      <c r="G2681" s="26">
        <v>1.593E-2</v>
      </c>
      <c r="H2681" s="27">
        <v>8.4489999999999996E-2</v>
      </c>
      <c r="I2681" s="26">
        <v>0.1885</v>
      </c>
      <c r="J2681" s="28">
        <v>6</v>
      </c>
      <c r="K2681" s="27">
        <v>0.88068599999999997</v>
      </c>
      <c r="L2681" s="29">
        <f t="shared" si="164"/>
        <v>5.5178907450440316E-2</v>
      </c>
      <c r="M2681" s="29">
        <f t="shared" si="165"/>
        <v>1.6000000000000285E-2</v>
      </c>
      <c r="N2681" s="30">
        <f t="shared" si="166"/>
        <v>6.7189990240323016E-2</v>
      </c>
      <c r="O2681" s="31">
        <f t="shared" si="167"/>
        <v>1.0111520808513044</v>
      </c>
    </row>
    <row r="2682" spans="1:15" x14ac:dyDescent="0.25">
      <c r="A2682" t="s">
        <v>8419</v>
      </c>
      <c r="B2682" t="s">
        <v>5363</v>
      </c>
      <c r="C2682" s="3" t="s">
        <v>5364</v>
      </c>
      <c r="D2682" s="24">
        <v>0.85617100000000002</v>
      </c>
      <c r="E2682" s="25">
        <v>8.1110000000000007</v>
      </c>
      <c r="F2682" s="25">
        <v>8.0489999999999995</v>
      </c>
      <c r="G2682" s="26">
        <v>6.1539999999999997E-2</v>
      </c>
      <c r="H2682" s="27">
        <v>0.32519999999999999</v>
      </c>
      <c r="I2682" s="26">
        <v>0.18920000000000001</v>
      </c>
      <c r="J2682" s="28">
        <v>6</v>
      </c>
      <c r="K2682" s="27">
        <v>0.88068599999999997</v>
      </c>
      <c r="L2682" s="29">
        <f t="shared" si="164"/>
        <v>5.5178907450440316E-2</v>
      </c>
      <c r="M2682" s="29">
        <f t="shared" si="165"/>
        <v>6.2000000000001949E-2</v>
      </c>
      <c r="N2682" s="30">
        <f t="shared" si="166"/>
        <v>6.7439486561592918E-2</v>
      </c>
      <c r="O2682" s="31">
        <f t="shared" si="167"/>
        <v>1.0439119274217203</v>
      </c>
    </row>
    <row r="2683" spans="1:15" x14ac:dyDescent="0.25">
      <c r="A2683" t="s">
        <v>8420</v>
      </c>
      <c r="B2683" t="s">
        <v>5361</v>
      </c>
      <c r="C2683" s="3" t="s">
        <v>5362</v>
      </c>
      <c r="D2683" s="24">
        <v>0.85575400000000001</v>
      </c>
      <c r="E2683" s="25">
        <v>8.9809999999999999</v>
      </c>
      <c r="F2683" s="25">
        <v>8.9390000000000001</v>
      </c>
      <c r="G2683" s="26">
        <v>4.1799999999999997E-2</v>
      </c>
      <c r="H2683" s="27">
        <v>0.2203</v>
      </c>
      <c r="I2683" s="26">
        <v>0.1898</v>
      </c>
      <c r="J2683" s="28">
        <v>6</v>
      </c>
      <c r="K2683" s="27">
        <v>0.88068599999999997</v>
      </c>
      <c r="L2683" s="29">
        <f t="shared" si="164"/>
        <v>5.5178907450440316E-2</v>
      </c>
      <c r="M2683" s="29">
        <f t="shared" si="165"/>
        <v>4.1999999999999732E-2</v>
      </c>
      <c r="N2683" s="30">
        <f t="shared" si="166"/>
        <v>6.7651062188487154E-2</v>
      </c>
      <c r="O2683" s="31">
        <f t="shared" si="167"/>
        <v>1.0295400834339969</v>
      </c>
    </row>
    <row r="2684" spans="1:15" x14ac:dyDescent="0.25">
      <c r="A2684" t="s">
        <v>8421</v>
      </c>
      <c r="B2684" t="s">
        <v>5371</v>
      </c>
      <c r="C2684" s="3" t="s">
        <v>5372</v>
      </c>
      <c r="D2684" s="24">
        <v>0.85835399999999995</v>
      </c>
      <c r="E2684" s="25">
        <v>8.0380000000000003</v>
      </c>
      <c r="F2684" s="25">
        <v>8.1289999999999996</v>
      </c>
      <c r="G2684" s="26">
        <v>-9.1660000000000005E-2</v>
      </c>
      <c r="H2684" s="27">
        <v>0.49199999999999999</v>
      </c>
      <c r="I2684" s="26">
        <v>0.18629999999999999</v>
      </c>
      <c r="J2684" s="28">
        <v>6</v>
      </c>
      <c r="K2684" s="27">
        <v>0.881768</v>
      </c>
      <c r="L2684" s="29">
        <f t="shared" si="164"/>
        <v>5.464566608532747E-2</v>
      </c>
      <c r="M2684" s="29">
        <f t="shared" si="165"/>
        <v>-9.099999999999861E-2</v>
      </c>
      <c r="N2684" s="30">
        <f t="shared" si="166"/>
        <v>6.6333564669162376E-2</v>
      </c>
      <c r="O2684" s="31">
        <f t="shared" si="167"/>
        <v>0.93887174731545298</v>
      </c>
    </row>
    <row r="2685" spans="1:15" x14ac:dyDescent="0.25">
      <c r="A2685" t="s">
        <v>8422</v>
      </c>
      <c r="B2685" t="s">
        <v>5369</v>
      </c>
      <c r="C2685" s="3" t="s">
        <v>5370</v>
      </c>
      <c r="D2685" s="24">
        <v>0.85829</v>
      </c>
      <c r="E2685" s="25">
        <v>8.8569999999999993</v>
      </c>
      <c r="F2685" s="25">
        <v>8.8859999999999992</v>
      </c>
      <c r="G2685" s="26">
        <v>-2.9190000000000001E-2</v>
      </c>
      <c r="H2685" s="27">
        <v>0.15659999999999999</v>
      </c>
      <c r="I2685" s="26">
        <v>0.18640000000000001</v>
      </c>
      <c r="J2685" s="28">
        <v>6</v>
      </c>
      <c r="K2685" s="27">
        <v>0.881768</v>
      </c>
      <c r="L2685" s="29">
        <f t="shared" si="164"/>
        <v>5.464566608532747E-2</v>
      </c>
      <c r="M2685" s="29">
        <f t="shared" si="165"/>
        <v>-2.8999999999999377E-2</v>
      </c>
      <c r="N2685" s="30">
        <f t="shared" si="166"/>
        <v>6.6365947442590847E-2</v>
      </c>
      <c r="O2685" s="31">
        <f t="shared" si="167"/>
        <v>0.98009941534187106</v>
      </c>
    </row>
    <row r="2686" spans="1:15" x14ac:dyDescent="0.25">
      <c r="A2686" t="s">
        <v>8423</v>
      </c>
      <c r="B2686" t="s">
        <v>5373</v>
      </c>
      <c r="C2686" s="3" t="s">
        <v>5374</v>
      </c>
      <c r="D2686" s="24">
        <v>0.86033700000000002</v>
      </c>
      <c r="E2686" s="25">
        <v>6.8150000000000004</v>
      </c>
      <c r="F2686" s="25">
        <v>6.7679999999999998</v>
      </c>
      <c r="G2686" s="26">
        <v>4.7219999999999998E-2</v>
      </c>
      <c r="H2686" s="27">
        <v>0.25490000000000002</v>
      </c>
      <c r="I2686" s="26">
        <v>0.1852</v>
      </c>
      <c r="J2686" s="28">
        <v>5</v>
      </c>
      <c r="K2686" s="27">
        <v>0.88347600000000004</v>
      </c>
      <c r="L2686" s="29">
        <f t="shared" si="164"/>
        <v>5.3805243790649937E-2</v>
      </c>
      <c r="M2686" s="29">
        <f t="shared" si="165"/>
        <v>4.7000000000000548E-2</v>
      </c>
      <c r="N2686" s="30">
        <f t="shared" si="166"/>
        <v>6.5331399254010963E-2</v>
      </c>
      <c r="O2686" s="31">
        <f t="shared" si="167"/>
        <v>1.0331143876841329</v>
      </c>
    </row>
    <row r="2687" spans="1:15" x14ac:dyDescent="0.25">
      <c r="A2687" t="s">
        <v>8424</v>
      </c>
      <c r="B2687" t="s">
        <v>5377</v>
      </c>
      <c r="C2687" s="3" t="s">
        <v>5378</v>
      </c>
      <c r="D2687" s="24">
        <v>0.86107900000000004</v>
      </c>
      <c r="E2687" s="25">
        <v>8.641</v>
      </c>
      <c r="F2687" s="25">
        <v>8.6289999999999996</v>
      </c>
      <c r="G2687" s="26">
        <v>1.162E-2</v>
      </c>
      <c r="H2687" s="27">
        <v>6.3619999999999996E-2</v>
      </c>
      <c r="I2687" s="26">
        <v>0.1827</v>
      </c>
      <c r="J2687" s="28">
        <v>6</v>
      </c>
      <c r="K2687" s="27">
        <v>0.88355899999999998</v>
      </c>
      <c r="L2687" s="29">
        <f t="shared" si="164"/>
        <v>5.3764445003954192E-2</v>
      </c>
      <c r="M2687" s="29">
        <f t="shared" si="165"/>
        <v>1.1999999999999717E-2</v>
      </c>
      <c r="N2687" s="30">
        <f t="shared" si="166"/>
        <v>6.4957002216305279E-2</v>
      </c>
      <c r="O2687" s="31">
        <f t="shared" si="167"/>
        <v>1.0083524548945948</v>
      </c>
    </row>
    <row r="2688" spans="1:15" x14ac:dyDescent="0.25">
      <c r="A2688" t="s">
        <v>8425</v>
      </c>
      <c r="B2688" t="s">
        <v>5375</v>
      </c>
      <c r="C2688" s="3" t="s">
        <v>5376</v>
      </c>
      <c r="D2688" s="24">
        <v>0.86093299999999995</v>
      </c>
      <c r="E2688" s="25">
        <v>9.6720000000000006</v>
      </c>
      <c r="F2688" s="25">
        <v>9.6890000000000001</v>
      </c>
      <c r="G2688" s="26">
        <v>-1.677E-2</v>
      </c>
      <c r="H2688" s="27">
        <v>9.1689999999999994E-2</v>
      </c>
      <c r="I2688" s="26">
        <v>0.18290000000000001</v>
      </c>
      <c r="J2688" s="28">
        <v>6</v>
      </c>
      <c r="K2688" s="27">
        <v>0.88355899999999998</v>
      </c>
      <c r="L2688" s="29">
        <f t="shared" si="164"/>
        <v>5.3764445003954192E-2</v>
      </c>
      <c r="M2688" s="29">
        <f t="shared" si="165"/>
        <v>-1.6999999999999491E-2</v>
      </c>
      <c r="N2688" s="30">
        <f t="shared" si="166"/>
        <v>6.5030645134600676E-2</v>
      </c>
      <c r="O2688" s="31">
        <f t="shared" si="167"/>
        <v>0.98828565150073289</v>
      </c>
    </row>
    <row r="2689" spans="1:15" x14ac:dyDescent="0.25">
      <c r="A2689" t="s">
        <v>8426</v>
      </c>
      <c r="B2689" t="s">
        <v>5379</v>
      </c>
      <c r="C2689" s="3" t="s">
        <v>5380</v>
      </c>
      <c r="D2689" s="24">
        <v>0.86137699999999995</v>
      </c>
      <c r="E2689" s="25">
        <v>11.45</v>
      </c>
      <c r="F2689" s="25">
        <v>11.44</v>
      </c>
      <c r="G2689" s="26">
        <v>1.5980000000000001E-2</v>
      </c>
      <c r="H2689" s="27">
        <v>8.7669999999999998E-2</v>
      </c>
      <c r="I2689" s="26">
        <v>0.18229999999999999</v>
      </c>
      <c r="J2689" s="28">
        <v>6</v>
      </c>
      <c r="K2689" s="27">
        <v>0.88355899999999998</v>
      </c>
      <c r="L2689" s="29">
        <f t="shared" si="164"/>
        <v>5.3764445003954192E-2</v>
      </c>
      <c r="M2689" s="29">
        <f t="shared" si="165"/>
        <v>1.0000000000000108E-2</v>
      </c>
      <c r="N2689" s="30">
        <f t="shared" si="166"/>
        <v>6.4806728703485916E-2</v>
      </c>
      <c r="O2689" s="31">
        <f t="shared" si="167"/>
        <v>1.0069555500567189</v>
      </c>
    </row>
    <row r="2690" spans="1:15" x14ac:dyDescent="0.25">
      <c r="A2690" t="s">
        <v>8427</v>
      </c>
      <c r="B2690" t="s">
        <v>5381</v>
      </c>
      <c r="C2690" s="3" t="s">
        <v>5382</v>
      </c>
      <c r="D2690" s="24">
        <v>0.86302599999999996</v>
      </c>
      <c r="E2690" s="25">
        <v>8.7910000000000004</v>
      </c>
      <c r="F2690" s="25">
        <v>8.7609999999999992</v>
      </c>
      <c r="G2690" s="26">
        <v>3.0370000000000001E-2</v>
      </c>
      <c r="H2690" s="27">
        <v>0.16869999999999999</v>
      </c>
      <c r="I2690" s="26">
        <v>0.18010000000000001</v>
      </c>
      <c r="J2690" s="28">
        <v>6</v>
      </c>
      <c r="K2690" s="27">
        <v>0.88492199999999999</v>
      </c>
      <c r="L2690" s="29">
        <f t="shared" ref="L2690:L2753" si="168">-LOG(K2690,10)</f>
        <v>5.3095007790842863E-2</v>
      </c>
      <c r="M2690" s="29">
        <f t="shared" ref="M2690:M2753" si="169">LOG(O2690,2)</f>
        <v>3.0000000000001088E-2</v>
      </c>
      <c r="N2690" s="30">
        <f t="shared" ref="N2690:N2753" si="170">-LOG(D2690,10)</f>
        <v>6.3976120291234895E-2</v>
      </c>
      <c r="O2690" s="31">
        <f t="shared" ref="O2690:O2753" si="171">((2^E2690)/(2^F2690))</f>
        <v>1.021012125707194</v>
      </c>
    </row>
    <row r="2691" spans="1:15" x14ac:dyDescent="0.25">
      <c r="A2691" t="s">
        <v>8428</v>
      </c>
      <c r="B2691" t="s">
        <v>5383</v>
      </c>
      <c r="C2691" s="3" t="s">
        <v>5384</v>
      </c>
      <c r="D2691" s="24">
        <v>0.86344500000000002</v>
      </c>
      <c r="E2691" s="25">
        <v>8.31</v>
      </c>
      <c r="F2691" s="25">
        <v>8.2579999999999991</v>
      </c>
      <c r="G2691" s="26">
        <v>5.2540000000000003E-2</v>
      </c>
      <c r="H2691" s="27">
        <v>0.29270000000000002</v>
      </c>
      <c r="I2691" s="26">
        <v>0.17949999999999999</v>
      </c>
      <c r="J2691" s="28">
        <v>6</v>
      </c>
      <c r="K2691" s="27">
        <v>0.885023</v>
      </c>
      <c r="L2691" s="29">
        <f t="shared" si="168"/>
        <v>5.3045442699588788E-2</v>
      </c>
      <c r="M2691" s="29">
        <f t="shared" si="169"/>
        <v>5.2000000000001434E-2</v>
      </c>
      <c r="N2691" s="30">
        <f t="shared" si="170"/>
        <v>6.3765321046428458E-2</v>
      </c>
      <c r="O2691" s="31">
        <f t="shared" si="171"/>
        <v>1.0367011010197218</v>
      </c>
    </row>
    <row r="2692" spans="1:15" x14ac:dyDescent="0.25">
      <c r="A2692" t="s">
        <v>8429</v>
      </c>
      <c r="B2692" t="s">
        <v>5385</v>
      </c>
      <c r="C2692" s="3" t="s">
        <v>5386</v>
      </c>
      <c r="D2692" s="24">
        <v>0.864375</v>
      </c>
      <c r="E2692" s="25">
        <v>9.6940000000000008</v>
      </c>
      <c r="F2692" s="25">
        <v>9.6750000000000007</v>
      </c>
      <c r="G2692" s="26">
        <v>1.9189999999999999E-2</v>
      </c>
      <c r="H2692" s="27">
        <v>0.1077</v>
      </c>
      <c r="I2692" s="26">
        <v>0.17829999999999999</v>
      </c>
      <c r="J2692" s="28">
        <v>6</v>
      </c>
      <c r="K2692" s="27">
        <v>0.88564799999999999</v>
      </c>
      <c r="L2692" s="29">
        <f t="shared" si="168"/>
        <v>5.2738853770914619E-2</v>
      </c>
      <c r="M2692" s="29">
        <f t="shared" si="169"/>
        <v>1.8999999999999247E-2</v>
      </c>
      <c r="N2692" s="30">
        <f t="shared" si="170"/>
        <v>6.3297802546614185E-2</v>
      </c>
      <c r="O2692" s="31">
        <f t="shared" si="171"/>
        <v>1.013256900159085</v>
      </c>
    </row>
    <row r="2693" spans="1:15" x14ac:dyDescent="0.25">
      <c r="A2693" t="s">
        <v>8430</v>
      </c>
      <c r="B2693" t="s">
        <v>5387</v>
      </c>
      <c r="C2693" s="3" t="s">
        <v>5388</v>
      </c>
      <c r="D2693" s="24">
        <v>0.86662600000000001</v>
      </c>
      <c r="E2693" s="25">
        <v>14.73</v>
      </c>
      <c r="F2693" s="25">
        <v>14.72</v>
      </c>
      <c r="G2693" s="26">
        <v>8.9689999999999995E-3</v>
      </c>
      <c r="H2693" s="27">
        <v>5.117E-2</v>
      </c>
      <c r="I2693" s="26">
        <v>0.17530000000000001</v>
      </c>
      <c r="J2693" s="28">
        <v>6</v>
      </c>
      <c r="K2693" s="27">
        <v>0.88762399999999997</v>
      </c>
      <c r="L2693" s="29">
        <f t="shared" si="168"/>
        <v>5.1770963620456877E-2</v>
      </c>
      <c r="M2693" s="29">
        <f t="shared" si="169"/>
        <v>9.9999999999991554E-3</v>
      </c>
      <c r="N2693" s="30">
        <f t="shared" si="170"/>
        <v>6.2168285660350431E-2</v>
      </c>
      <c r="O2693" s="31">
        <f t="shared" si="171"/>
        <v>1.0069555500567182</v>
      </c>
    </row>
    <row r="2694" spans="1:15" x14ac:dyDescent="0.25">
      <c r="A2694" t="s">
        <v>8431</v>
      </c>
      <c r="B2694" t="s">
        <v>5389</v>
      </c>
      <c r="C2694" s="3" t="s">
        <v>5390</v>
      </c>
      <c r="D2694" s="24">
        <v>0.86755000000000004</v>
      </c>
      <c r="E2694" s="25">
        <v>9.0220000000000002</v>
      </c>
      <c r="F2694" s="25">
        <v>8.9239999999999995</v>
      </c>
      <c r="G2694" s="26">
        <v>9.8680000000000004E-2</v>
      </c>
      <c r="H2694" s="27">
        <v>0.56699999999999995</v>
      </c>
      <c r="I2694" s="26">
        <v>0.17399999999999999</v>
      </c>
      <c r="J2694" s="28">
        <v>6</v>
      </c>
      <c r="K2694" s="27">
        <v>0.88791299999999995</v>
      </c>
      <c r="L2694" s="29">
        <f t="shared" si="168"/>
        <v>5.162958542740493E-2</v>
      </c>
      <c r="M2694" s="29">
        <f t="shared" si="169"/>
        <v>9.8000000000000254E-2</v>
      </c>
      <c r="N2694" s="30">
        <f t="shared" si="170"/>
        <v>6.170548587618415E-2</v>
      </c>
      <c r="O2694" s="31">
        <f t="shared" si="171"/>
        <v>1.0702886984266242</v>
      </c>
    </row>
    <row r="2695" spans="1:15" x14ac:dyDescent="0.25">
      <c r="A2695" t="s">
        <v>8432</v>
      </c>
      <c r="B2695" t="s">
        <v>5391</v>
      </c>
      <c r="C2695" s="3" t="s">
        <v>5392</v>
      </c>
      <c r="D2695" s="24">
        <v>0.86755000000000004</v>
      </c>
      <c r="E2695" s="25">
        <v>9.0220000000000002</v>
      </c>
      <c r="F2695" s="25">
        <v>8.9239999999999995</v>
      </c>
      <c r="G2695" s="26">
        <v>9.8680000000000004E-2</v>
      </c>
      <c r="H2695" s="27">
        <v>0.56699999999999995</v>
      </c>
      <c r="I2695" s="26">
        <v>0.17399999999999999</v>
      </c>
      <c r="J2695" s="28">
        <v>6</v>
      </c>
      <c r="K2695" s="27">
        <v>0.88791299999999995</v>
      </c>
      <c r="L2695" s="29">
        <f t="shared" si="168"/>
        <v>5.162958542740493E-2</v>
      </c>
      <c r="M2695" s="29">
        <f t="shared" si="169"/>
        <v>9.8000000000000254E-2</v>
      </c>
      <c r="N2695" s="30">
        <f t="shared" si="170"/>
        <v>6.170548587618415E-2</v>
      </c>
      <c r="O2695" s="31">
        <f t="shared" si="171"/>
        <v>1.0702886984266242</v>
      </c>
    </row>
    <row r="2696" spans="1:15" x14ac:dyDescent="0.25">
      <c r="A2696" t="s">
        <v>8433</v>
      </c>
      <c r="B2696" t="s">
        <v>5393</v>
      </c>
      <c r="C2696" s="3" t="s">
        <v>5394</v>
      </c>
      <c r="D2696" s="24">
        <v>0.86858000000000002</v>
      </c>
      <c r="E2696" s="25">
        <v>13.01</v>
      </c>
      <c r="F2696" s="25">
        <v>13</v>
      </c>
      <c r="G2696" s="26">
        <v>8.6840000000000007E-3</v>
      </c>
      <c r="H2696" s="27">
        <v>5.0290000000000001E-2</v>
      </c>
      <c r="I2696" s="26">
        <v>0.17269999999999999</v>
      </c>
      <c r="J2696" s="28">
        <v>6</v>
      </c>
      <c r="K2696" s="27">
        <v>0.88863800000000004</v>
      </c>
      <c r="L2696" s="29">
        <f t="shared" si="168"/>
        <v>5.1275119367202769E-2</v>
      </c>
      <c r="M2696" s="29">
        <f t="shared" si="169"/>
        <v>9.9999999999981996E-3</v>
      </c>
      <c r="N2696" s="30">
        <f t="shared" si="170"/>
        <v>6.1190174961860529E-2</v>
      </c>
      <c r="O2696" s="31">
        <f t="shared" si="171"/>
        <v>1.0069555500567176</v>
      </c>
    </row>
    <row r="2697" spans="1:15" x14ac:dyDescent="0.25">
      <c r="A2697" t="s">
        <v>8434</v>
      </c>
      <c r="B2697" t="s">
        <v>5395</v>
      </c>
      <c r="C2697" s="3" t="s">
        <v>5396</v>
      </c>
      <c r="D2697" s="24">
        <v>0.86895100000000003</v>
      </c>
      <c r="E2697" s="25">
        <v>8.3230000000000004</v>
      </c>
      <c r="F2697" s="25">
        <v>8.2880000000000003</v>
      </c>
      <c r="G2697" s="26">
        <v>3.585E-2</v>
      </c>
      <c r="H2697" s="27">
        <v>0.2082</v>
      </c>
      <c r="I2697" s="26">
        <v>0.17219999999999999</v>
      </c>
      <c r="J2697" s="28">
        <v>6</v>
      </c>
      <c r="K2697" s="27">
        <v>0.88868800000000003</v>
      </c>
      <c r="L2697" s="29">
        <f t="shared" si="168"/>
        <v>5.1250684092975209E-2</v>
      </c>
      <c r="M2697" s="29">
        <f t="shared" si="169"/>
        <v>3.5000000000000968E-2</v>
      </c>
      <c r="N2697" s="30">
        <f t="shared" si="170"/>
        <v>6.1004712653291965E-2</v>
      </c>
      <c r="O2697" s="31">
        <f t="shared" si="171"/>
        <v>1.0245568230328022</v>
      </c>
    </row>
    <row r="2698" spans="1:15" x14ac:dyDescent="0.25">
      <c r="A2698" t="s">
        <v>8435</v>
      </c>
      <c r="B2698" t="s">
        <v>5397</v>
      </c>
      <c r="C2698" s="3" t="s">
        <v>5398</v>
      </c>
      <c r="D2698" s="24">
        <v>0.87452600000000003</v>
      </c>
      <c r="E2698" s="25">
        <v>10.42</v>
      </c>
      <c r="F2698" s="25">
        <v>10.43</v>
      </c>
      <c r="G2698" s="26">
        <v>-1.6500000000000001E-2</v>
      </c>
      <c r="H2698" s="27">
        <v>0.10009999999999999</v>
      </c>
      <c r="I2698" s="26">
        <v>0.1648</v>
      </c>
      <c r="J2698" s="28">
        <v>6</v>
      </c>
      <c r="K2698" s="27">
        <v>0.89384600000000003</v>
      </c>
      <c r="L2698" s="29">
        <f t="shared" si="168"/>
        <v>4.8737299002011791E-2</v>
      </c>
      <c r="M2698" s="29">
        <f t="shared" si="169"/>
        <v>-1.0000000000000448E-2</v>
      </c>
      <c r="N2698" s="30">
        <f t="shared" si="170"/>
        <v>5.8227274248569223E-2</v>
      </c>
      <c r="O2698" s="31">
        <f t="shared" si="171"/>
        <v>0.99309249543703559</v>
      </c>
    </row>
    <row r="2699" spans="1:15" x14ac:dyDescent="0.25">
      <c r="A2699" t="s">
        <v>8436</v>
      </c>
      <c r="B2699" t="s">
        <v>5399</v>
      </c>
      <c r="C2699" s="3" t="s">
        <v>5400</v>
      </c>
      <c r="D2699" s="24">
        <v>0.87464200000000003</v>
      </c>
      <c r="E2699" s="25">
        <v>9.0310000000000006</v>
      </c>
      <c r="F2699" s="25">
        <v>9.0500000000000007</v>
      </c>
      <c r="G2699" s="26">
        <v>-1.8769999999999998E-2</v>
      </c>
      <c r="H2699" s="27">
        <v>0.114</v>
      </c>
      <c r="I2699" s="26">
        <v>0.1646</v>
      </c>
      <c r="J2699" s="28">
        <v>6</v>
      </c>
      <c r="K2699" s="27">
        <v>0.89384600000000003</v>
      </c>
      <c r="L2699" s="29">
        <f t="shared" si="168"/>
        <v>4.8737299002011791E-2</v>
      </c>
      <c r="M2699" s="29">
        <f t="shared" si="169"/>
        <v>-1.9000000000000135E-2</v>
      </c>
      <c r="N2699" s="30">
        <f t="shared" si="170"/>
        <v>5.8169671822759193E-2</v>
      </c>
      <c r="O2699" s="31">
        <f t="shared" si="171"/>
        <v>0.98691654588584177</v>
      </c>
    </row>
    <row r="2700" spans="1:15" x14ac:dyDescent="0.25">
      <c r="A2700" t="s">
        <v>8437</v>
      </c>
      <c r="B2700" t="s">
        <v>5401</v>
      </c>
      <c r="C2700" s="3" t="s">
        <v>5402</v>
      </c>
      <c r="D2700" s="24">
        <v>0.87541599999999997</v>
      </c>
      <c r="E2700" s="25">
        <v>10.4</v>
      </c>
      <c r="F2700" s="25">
        <v>10.42</v>
      </c>
      <c r="G2700" s="26">
        <v>-1.383E-2</v>
      </c>
      <c r="H2700" s="27">
        <v>8.455E-2</v>
      </c>
      <c r="I2700" s="26">
        <v>0.1636</v>
      </c>
      <c r="J2700" s="28">
        <v>6</v>
      </c>
      <c r="K2700" s="27">
        <v>0.89430699999999996</v>
      </c>
      <c r="L2700" s="29">
        <f t="shared" si="168"/>
        <v>4.8513369885663231E-2</v>
      </c>
      <c r="M2700" s="29">
        <f t="shared" si="169"/>
        <v>-1.9999999999999633E-2</v>
      </c>
      <c r="N2700" s="30">
        <f t="shared" si="170"/>
        <v>5.7785520039321053E-2</v>
      </c>
      <c r="O2700" s="31">
        <f t="shared" si="171"/>
        <v>0.98623270449335942</v>
      </c>
    </row>
    <row r="2701" spans="1:15" x14ac:dyDescent="0.25">
      <c r="A2701" t="s">
        <v>8438</v>
      </c>
      <c r="B2701" t="s">
        <v>5403</v>
      </c>
      <c r="C2701" s="3" t="s">
        <v>5404</v>
      </c>
      <c r="D2701" s="24">
        <v>0.876753</v>
      </c>
      <c r="E2701" s="25">
        <v>9.2690000000000001</v>
      </c>
      <c r="F2701" s="25">
        <v>9.2289999999999992</v>
      </c>
      <c r="G2701" s="26">
        <v>4.0719999999999999E-2</v>
      </c>
      <c r="H2701" s="27">
        <v>0.25169999999999998</v>
      </c>
      <c r="I2701" s="26">
        <v>0.1618</v>
      </c>
      <c r="J2701" s="28">
        <v>6</v>
      </c>
      <c r="K2701" s="27">
        <v>0.89534199999999997</v>
      </c>
      <c r="L2701" s="29">
        <f t="shared" si="168"/>
        <v>4.8011042514337736E-2</v>
      </c>
      <c r="M2701" s="29">
        <f t="shared" si="169"/>
        <v>4.0000000000000049E-2</v>
      </c>
      <c r="N2701" s="30">
        <f t="shared" si="170"/>
        <v>5.7122739411425157E-2</v>
      </c>
      <c r="O2701" s="31">
        <f t="shared" si="171"/>
        <v>1.0281138266560665</v>
      </c>
    </row>
    <row r="2702" spans="1:15" x14ac:dyDescent="0.25">
      <c r="A2702" t="s">
        <v>8439</v>
      </c>
      <c r="B2702" t="s">
        <v>5405</v>
      </c>
      <c r="C2702" s="3" t="s">
        <v>5406</v>
      </c>
      <c r="D2702" s="24">
        <v>0.87810100000000002</v>
      </c>
      <c r="E2702" s="25">
        <v>7.3019999999999996</v>
      </c>
      <c r="F2702" s="25">
        <v>7.2210000000000001</v>
      </c>
      <c r="G2702" s="26">
        <v>8.1839999999999996E-2</v>
      </c>
      <c r="H2702" s="27">
        <v>0.51139999999999997</v>
      </c>
      <c r="I2702" s="26">
        <v>0.16</v>
      </c>
      <c r="J2702" s="28">
        <v>6</v>
      </c>
      <c r="K2702" s="27">
        <v>0.89638700000000004</v>
      </c>
      <c r="L2702" s="29">
        <f t="shared" si="168"/>
        <v>4.7504450518507289E-2</v>
      </c>
      <c r="M2702" s="29">
        <f t="shared" si="169"/>
        <v>8.0999999999999475E-2</v>
      </c>
      <c r="N2702" s="30">
        <f t="shared" si="170"/>
        <v>5.6455528262518026E-2</v>
      </c>
      <c r="O2702" s="31">
        <f t="shared" si="171"/>
        <v>1.0577509636184268</v>
      </c>
    </row>
    <row r="2703" spans="1:15" x14ac:dyDescent="0.25">
      <c r="A2703" t="s">
        <v>8440</v>
      </c>
      <c r="B2703" t="s">
        <v>5407</v>
      </c>
      <c r="C2703" s="3" t="s">
        <v>5408</v>
      </c>
      <c r="D2703" s="24">
        <v>0.87932699999999997</v>
      </c>
      <c r="E2703" s="25">
        <v>7.7969999999999997</v>
      </c>
      <c r="F2703" s="25">
        <v>7.867</v>
      </c>
      <c r="G2703" s="26">
        <v>-6.9639999999999994E-2</v>
      </c>
      <c r="H2703" s="27">
        <v>0.43959999999999999</v>
      </c>
      <c r="I2703" s="26">
        <v>0.15840000000000001</v>
      </c>
      <c r="J2703" s="28">
        <v>6</v>
      </c>
      <c r="K2703" s="27">
        <v>0.89704099999999998</v>
      </c>
      <c r="L2703" s="29">
        <f t="shared" si="168"/>
        <v>4.7187706714178622E-2</v>
      </c>
      <c r="M2703" s="29">
        <f t="shared" si="169"/>
        <v>-7.0000000000000076E-2</v>
      </c>
      <c r="N2703" s="30">
        <f t="shared" si="170"/>
        <v>5.5849591494483528E-2</v>
      </c>
      <c r="O2703" s="31">
        <f t="shared" si="171"/>
        <v>0.95263799804393734</v>
      </c>
    </row>
    <row r="2704" spans="1:15" x14ac:dyDescent="0.25">
      <c r="A2704" t="s">
        <v>8441</v>
      </c>
      <c r="B2704" t="s">
        <v>5409</v>
      </c>
      <c r="C2704" s="3" t="s">
        <v>5410</v>
      </c>
      <c r="D2704" s="24">
        <v>0.87970300000000001</v>
      </c>
      <c r="E2704" s="25">
        <v>6.1550000000000002</v>
      </c>
      <c r="F2704" s="25">
        <v>6.2380000000000004</v>
      </c>
      <c r="G2704" s="26">
        <v>-8.2369999999999999E-2</v>
      </c>
      <c r="H2704" s="27">
        <v>0.52159999999999995</v>
      </c>
      <c r="I2704" s="26">
        <v>0.15790000000000001</v>
      </c>
      <c r="J2704" s="28">
        <v>6</v>
      </c>
      <c r="K2704" s="27">
        <v>0.89704099999999998</v>
      </c>
      <c r="L2704" s="29">
        <f t="shared" si="168"/>
        <v>4.7187706714178622E-2</v>
      </c>
      <c r="M2704" s="29">
        <f t="shared" si="169"/>
        <v>-8.3000000000000587E-2</v>
      </c>
      <c r="N2704" s="30">
        <f t="shared" si="170"/>
        <v>5.5663926977468282E-2</v>
      </c>
      <c r="O2704" s="31">
        <f t="shared" si="171"/>
        <v>0.94409241915024955</v>
      </c>
    </row>
    <row r="2705" spans="1:15" x14ac:dyDescent="0.25">
      <c r="A2705" t="s">
        <v>8442</v>
      </c>
      <c r="B2705" t="s">
        <v>5411</v>
      </c>
      <c r="C2705" s="3" t="s">
        <v>5412</v>
      </c>
      <c r="D2705" s="24">
        <v>0.87971699999999997</v>
      </c>
      <c r="E2705" s="25">
        <v>7.694</v>
      </c>
      <c r="F2705" s="25">
        <v>7.6719999999999997</v>
      </c>
      <c r="G2705" s="26">
        <v>2.1610000000000001E-2</v>
      </c>
      <c r="H2705" s="27">
        <v>0.13689999999999999</v>
      </c>
      <c r="I2705" s="26">
        <v>0.15790000000000001</v>
      </c>
      <c r="J2705" s="28">
        <v>6</v>
      </c>
      <c r="K2705" s="27">
        <v>0.89704099999999998</v>
      </c>
      <c r="L2705" s="29">
        <f t="shared" si="168"/>
        <v>4.7187706714178622E-2</v>
      </c>
      <c r="M2705" s="29">
        <f t="shared" si="169"/>
        <v>2.200000000000038E-2</v>
      </c>
      <c r="N2705" s="30">
        <f t="shared" si="170"/>
        <v>5.5657015469418175E-2</v>
      </c>
      <c r="O2705" s="31">
        <f t="shared" si="171"/>
        <v>1.0153661008694299</v>
      </c>
    </row>
    <row r="2706" spans="1:15" x14ac:dyDescent="0.25">
      <c r="A2706" t="s">
        <v>8443</v>
      </c>
      <c r="B2706" t="s">
        <v>5413</v>
      </c>
      <c r="C2706" s="3" t="s">
        <v>5414</v>
      </c>
      <c r="D2706" s="24">
        <v>0.88035799999999997</v>
      </c>
      <c r="E2706" s="25">
        <v>10.91</v>
      </c>
      <c r="F2706" s="25">
        <v>10.9</v>
      </c>
      <c r="G2706" s="26">
        <v>1.482E-2</v>
      </c>
      <c r="H2706" s="27">
        <v>9.4350000000000003E-2</v>
      </c>
      <c r="I2706" s="26">
        <v>0.157</v>
      </c>
      <c r="J2706" s="28">
        <v>6</v>
      </c>
      <c r="K2706" s="27">
        <v>0.89736400000000005</v>
      </c>
      <c r="L2706" s="29">
        <f t="shared" si="168"/>
        <v>4.7031357262221192E-2</v>
      </c>
      <c r="M2706" s="29">
        <f t="shared" si="169"/>
        <v>9.9999999999991554E-3</v>
      </c>
      <c r="N2706" s="30">
        <f t="shared" si="170"/>
        <v>5.5340684886678662E-2</v>
      </c>
      <c r="O2706" s="31">
        <f t="shared" si="171"/>
        <v>1.0069555500567182</v>
      </c>
    </row>
    <row r="2707" spans="1:15" x14ac:dyDescent="0.25">
      <c r="A2707" t="s">
        <v>8444</v>
      </c>
      <c r="B2707" t="s">
        <v>5417</v>
      </c>
      <c r="C2707" s="3" t="s">
        <v>5418</v>
      </c>
      <c r="D2707" s="24">
        <v>0.882521</v>
      </c>
      <c r="E2707" s="25">
        <v>10.36</v>
      </c>
      <c r="F2707" s="25">
        <v>10.25</v>
      </c>
      <c r="G2707" s="26">
        <v>0.10979999999999999</v>
      </c>
      <c r="H2707" s="27">
        <v>0.71230000000000004</v>
      </c>
      <c r="I2707" s="26">
        <v>0.1542</v>
      </c>
      <c r="J2707" s="28">
        <v>6</v>
      </c>
      <c r="K2707" s="27">
        <v>0.89890499999999995</v>
      </c>
      <c r="L2707" s="29">
        <f t="shared" si="168"/>
        <v>4.628620387951965E-2</v>
      </c>
      <c r="M2707" s="29">
        <f t="shared" si="169"/>
        <v>0.10999999999999915</v>
      </c>
      <c r="N2707" s="30">
        <f t="shared" si="170"/>
        <v>5.4274951576842839E-2</v>
      </c>
      <c r="O2707" s="31">
        <f t="shared" si="171"/>
        <v>1.0792282365044266</v>
      </c>
    </row>
    <row r="2708" spans="1:15" x14ac:dyDescent="0.25">
      <c r="A2708" t="s">
        <v>8445</v>
      </c>
      <c r="B2708" t="s">
        <v>5415</v>
      </c>
      <c r="C2708" s="3" t="s">
        <v>5416</v>
      </c>
      <c r="D2708" s="24">
        <v>0.88240799999999997</v>
      </c>
      <c r="E2708" s="25">
        <v>9.9280000000000008</v>
      </c>
      <c r="F2708" s="25">
        <v>9.9039999999999999</v>
      </c>
      <c r="G2708" s="26">
        <v>2.4029999999999999E-2</v>
      </c>
      <c r="H2708" s="27">
        <v>0.15570000000000001</v>
      </c>
      <c r="I2708" s="26">
        <v>0.15429999999999999</v>
      </c>
      <c r="J2708" s="28">
        <v>6</v>
      </c>
      <c r="K2708" s="27">
        <v>0.89890499999999995</v>
      </c>
      <c r="L2708" s="29">
        <f t="shared" si="168"/>
        <v>4.628620387951965E-2</v>
      </c>
      <c r="M2708" s="29">
        <f t="shared" si="169"/>
        <v>2.4000000000001291E-2</v>
      </c>
      <c r="N2708" s="30">
        <f t="shared" si="170"/>
        <v>5.4330563192405999E-2</v>
      </c>
      <c r="O2708" s="31">
        <f t="shared" si="171"/>
        <v>1.0167746732919571</v>
      </c>
    </row>
    <row r="2709" spans="1:15" x14ac:dyDescent="0.25">
      <c r="A2709" t="s">
        <v>8446</v>
      </c>
      <c r="B2709" t="s">
        <v>5419</v>
      </c>
      <c r="C2709" s="3" t="s">
        <v>5420</v>
      </c>
      <c r="D2709" s="24">
        <v>0.88295199999999996</v>
      </c>
      <c r="E2709" s="25">
        <v>10.44</v>
      </c>
      <c r="F2709" s="25">
        <v>10.41</v>
      </c>
      <c r="G2709" s="26">
        <v>2.2550000000000001E-2</v>
      </c>
      <c r="H2709" s="27">
        <v>0.14680000000000001</v>
      </c>
      <c r="I2709" s="26">
        <v>0.15359999999999999</v>
      </c>
      <c r="J2709" s="28">
        <v>6</v>
      </c>
      <c r="K2709" s="27">
        <v>0.89901299999999995</v>
      </c>
      <c r="L2709" s="29">
        <f t="shared" si="168"/>
        <v>4.6234028191749724E-2</v>
      </c>
      <c r="M2709" s="29">
        <f t="shared" si="169"/>
        <v>2.9999999999998576E-2</v>
      </c>
      <c r="N2709" s="30">
        <f t="shared" si="170"/>
        <v>5.4062905371187103E-2</v>
      </c>
      <c r="O2709" s="31">
        <f t="shared" si="171"/>
        <v>1.0210121257071922</v>
      </c>
    </row>
    <row r="2710" spans="1:15" x14ac:dyDescent="0.25">
      <c r="A2710" t="s">
        <v>8447</v>
      </c>
      <c r="B2710" t="s">
        <v>5423</v>
      </c>
      <c r="C2710" s="3" t="s">
        <v>5424</v>
      </c>
      <c r="D2710" s="24">
        <v>0.88374699999999995</v>
      </c>
      <c r="E2710" s="25">
        <v>10.33</v>
      </c>
      <c r="F2710" s="25">
        <v>10.35</v>
      </c>
      <c r="G2710" s="26">
        <v>-1.3729999999999999E-2</v>
      </c>
      <c r="H2710" s="27">
        <v>9.0010000000000007E-2</v>
      </c>
      <c r="I2710" s="26">
        <v>0.15260000000000001</v>
      </c>
      <c r="J2710" s="28">
        <v>6</v>
      </c>
      <c r="K2710" s="27">
        <v>0.89915999999999996</v>
      </c>
      <c r="L2710" s="29">
        <f t="shared" si="168"/>
        <v>4.6163021354274136E-2</v>
      </c>
      <c r="M2710" s="29">
        <f t="shared" si="169"/>
        <v>-1.9999999999999307E-2</v>
      </c>
      <c r="N2710" s="30">
        <f t="shared" si="170"/>
        <v>5.3672047464528916E-2</v>
      </c>
      <c r="O2710" s="31">
        <f t="shared" si="171"/>
        <v>0.98623270449335965</v>
      </c>
    </row>
    <row r="2711" spans="1:15" x14ac:dyDescent="0.25">
      <c r="A2711" t="s">
        <v>8448</v>
      </c>
      <c r="B2711" t="s">
        <v>5421</v>
      </c>
      <c r="C2711" s="3" t="s">
        <v>5422</v>
      </c>
      <c r="D2711" s="24">
        <v>0.88372899999999999</v>
      </c>
      <c r="E2711" s="25">
        <v>7.8659999999999997</v>
      </c>
      <c r="F2711" s="25">
        <v>7.8010000000000002</v>
      </c>
      <c r="G2711" s="26">
        <v>6.5250000000000002E-2</v>
      </c>
      <c r="H2711" s="27">
        <v>0.42759999999999998</v>
      </c>
      <c r="I2711" s="26">
        <v>0.15260000000000001</v>
      </c>
      <c r="J2711" s="28">
        <v>6</v>
      </c>
      <c r="K2711" s="27">
        <v>0.89915999999999996</v>
      </c>
      <c r="L2711" s="29">
        <f t="shared" si="168"/>
        <v>4.6163021354274136E-2</v>
      </c>
      <c r="M2711" s="29">
        <f t="shared" si="169"/>
        <v>6.4999999999999253E-2</v>
      </c>
      <c r="N2711" s="30">
        <f t="shared" si="170"/>
        <v>5.3680893186535336E-2</v>
      </c>
      <c r="O2711" s="31">
        <f t="shared" si="171"/>
        <v>1.0460849397925287</v>
      </c>
    </row>
    <row r="2712" spans="1:15" x14ac:dyDescent="0.25">
      <c r="A2712" t="s">
        <v>8449</v>
      </c>
      <c r="B2712" t="s">
        <v>5425</v>
      </c>
      <c r="C2712" s="3" t="s">
        <v>5426</v>
      </c>
      <c r="D2712" s="24">
        <v>0.88432999999999995</v>
      </c>
      <c r="E2712" s="25">
        <v>6.9980000000000002</v>
      </c>
      <c r="F2712" s="25">
        <v>7.0359999999999996</v>
      </c>
      <c r="G2712" s="26">
        <v>-3.8510000000000003E-2</v>
      </c>
      <c r="H2712" s="27">
        <v>0.25369999999999998</v>
      </c>
      <c r="I2712" s="26">
        <v>0.15179999999999999</v>
      </c>
      <c r="J2712" s="28">
        <v>6</v>
      </c>
      <c r="K2712" s="27">
        <v>0.89942200000000005</v>
      </c>
      <c r="L2712" s="29">
        <f t="shared" si="168"/>
        <v>4.6036493728551731E-2</v>
      </c>
      <c r="M2712" s="29">
        <f t="shared" si="169"/>
        <v>-3.7999999999999236E-2</v>
      </c>
      <c r="N2712" s="30">
        <f t="shared" si="170"/>
        <v>5.3385641734319346E-2</v>
      </c>
      <c r="O2712" s="31">
        <f t="shared" si="171"/>
        <v>0.97400426854324151</v>
      </c>
    </row>
    <row r="2713" spans="1:15" x14ac:dyDescent="0.25">
      <c r="A2713" t="s">
        <v>8450</v>
      </c>
      <c r="B2713" t="s">
        <v>5427</v>
      </c>
      <c r="C2713" s="3" t="s">
        <v>5428</v>
      </c>
      <c r="D2713" s="24">
        <v>0.88565499999999997</v>
      </c>
      <c r="E2713" s="25">
        <v>9.2789999999999999</v>
      </c>
      <c r="F2713" s="25">
        <v>9.2349999999999994</v>
      </c>
      <c r="G2713" s="26">
        <v>4.3799999999999999E-2</v>
      </c>
      <c r="H2713" s="27">
        <v>0.29189999999999999</v>
      </c>
      <c r="I2713" s="26">
        <v>0.15</v>
      </c>
      <c r="J2713" s="28">
        <v>6</v>
      </c>
      <c r="K2713" s="27">
        <v>0.90043799999999996</v>
      </c>
      <c r="L2713" s="29">
        <f t="shared" si="168"/>
        <v>4.5546185326253076E-2</v>
      </c>
      <c r="M2713" s="29">
        <f t="shared" si="169"/>
        <v>4.4000000000000795E-2</v>
      </c>
      <c r="N2713" s="30">
        <f t="shared" si="170"/>
        <v>5.2735421200232661E-2</v>
      </c>
      <c r="O2713" s="31">
        <f t="shared" si="171"/>
        <v>1.0309683187947893</v>
      </c>
    </row>
    <row r="2714" spans="1:15" x14ac:dyDescent="0.25">
      <c r="A2714" t="s">
        <v>8451</v>
      </c>
      <c r="B2714" t="s">
        <v>5433</v>
      </c>
      <c r="C2714" s="3" t="s">
        <v>5434</v>
      </c>
      <c r="D2714" s="24">
        <v>0.88687499999999997</v>
      </c>
      <c r="E2714" s="25">
        <v>8.8049999999999997</v>
      </c>
      <c r="F2714" s="25">
        <v>8.7940000000000005</v>
      </c>
      <c r="G2714" s="26">
        <v>1.17E-2</v>
      </c>
      <c r="H2714" s="27">
        <v>7.8810000000000005E-2</v>
      </c>
      <c r="I2714" s="26">
        <v>0.1484</v>
      </c>
      <c r="J2714" s="28">
        <v>6</v>
      </c>
      <c r="K2714" s="27">
        <v>0.90068400000000004</v>
      </c>
      <c r="L2714" s="29">
        <f t="shared" si="168"/>
        <v>4.5427552115162917E-2</v>
      </c>
      <c r="M2714" s="29">
        <f t="shared" si="169"/>
        <v>1.0999999999999548E-2</v>
      </c>
      <c r="N2714" s="30">
        <f t="shared" si="170"/>
        <v>5.213758719845079E-2</v>
      </c>
      <c r="O2714" s="31">
        <f t="shared" si="171"/>
        <v>1.0076537604105038</v>
      </c>
    </row>
    <row r="2715" spans="1:15" x14ac:dyDescent="0.25">
      <c r="A2715" t="s">
        <v>8452</v>
      </c>
      <c r="B2715" t="s">
        <v>5431</v>
      </c>
      <c r="C2715" s="3" t="s">
        <v>5432</v>
      </c>
      <c r="D2715" s="24">
        <v>0.88686299999999996</v>
      </c>
      <c r="E2715" s="25">
        <v>8.4079999999999995</v>
      </c>
      <c r="F2715" s="25">
        <v>8.4499999999999993</v>
      </c>
      <c r="G2715" s="26">
        <v>-4.231E-2</v>
      </c>
      <c r="H2715" s="27">
        <v>0.28499999999999998</v>
      </c>
      <c r="I2715" s="26">
        <v>0.1484</v>
      </c>
      <c r="J2715" s="28">
        <v>6</v>
      </c>
      <c r="K2715" s="27">
        <v>0.90068400000000004</v>
      </c>
      <c r="L2715" s="29">
        <f t="shared" si="168"/>
        <v>4.5427552115162917E-2</v>
      </c>
      <c r="M2715" s="29">
        <f t="shared" si="169"/>
        <v>-4.1999999999999885E-2</v>
      </c>
      <c r="N2715" s="30">
        <f t="shared" si="170"/>
        <v>5.2143463527179072E-2</v>
      </c>
      <c r="O2715" s="31">
        <f t="shared" si="171"/>
        <v>0.97130749554163343</v>
      </c>
    </row>
    <row r="2716" spans="1:15" x14ac:dyDescent="0.25">
      <c r="A2716" t="s">
        <v>8453</v>
      </c>
      <c r="B2716" t="s">
        <v>5429</v>
      </c>
      <c r="C2716" s="3" t="s">
        <v>5430</v>
      </c>
      <c r="D2716" s="24">
        <v>0.88681200000000004</v>
      </c>
      <c r="E2716" s="25">
        <v>11.46</v>
      </c>
      <c r="F2716" s="25">
        <v>11.47</v>
      </c>
      <c r="G2716" s="26">
        <v>-6.6550000000000003E-3</v>
      </c>
      <c r="H2716" s="27">
        <v>4.4819999999999999E-2</v>
      </c>
      <c r="I2716" s="26">
        <v>0.14849999999999999</v>
      </c>
      <c r="J2716" s="28">
        <v>6</v>
      </c>
      <c r="K2716" s="27">
        <v>0.90068400000000004</v>
      </c>
      <c r="L2716" s="29">
        <f t="shared" si="168"/>
        <v>4.5427552115162917E-2</v>
      </c>
      <c r="M2716" s="29">
        <f t="shared" si="169"/>
        <v>-1.0000000000000448E-2</v>
      </c>
      <c r="N2716" s="30">
        <f t="shared" si="170"/>
        <v>5.216843881135811E-2</v>
      </c>
      <c r="O2716" s="31">
        <f t="shared" si="171"/>
        <v>0.99309249543703559</v>
      </c>
    </row>
    <row r="2717" spans="1:15" x14ac:dyDescent="0.25">
      <c r="A2717" t="s">
        <v>8454</v>
      </c>
      <c r="B2717" t="s">
        <v>5435</v>
      </c>
      <c r="C2717" s="3" t="s">
        <v>5436</v>
      </c>
      <c r="D2717" s="24">
        <v>0.88774900000000001</v>
      </c>
      <c r="E2717" s="25">
        <v>11.11</v>
      </c>
      <c r="F2717" s="25">
        <v>11.09</v>
      </c>
      <c r="G2717" s="26">
        <v>1.5820000000000001E-2</v>
      </c>
      <c r="H2717" s="27">
        <v>0.1074</v>
      </c>
      <c r="I2717" s="26">
        <v>0.14729999999999999</v>
      </c>
      <c r="J2717" s="28">
        <v>6</v>
      </c>
      <c r="K2717" s="27">
        <v>0.90124000000000004</v>
      </c>
      <c r="L2717" s="29">
        <f t="shared" si="168"/>
        <v>4.5159541100712269E-2</v>
      </c>
      <c r="M2717" s="29">
        <f t="shared" si="169"/>
        <v>1.9999999999999307E-2</v>
      </c>
      <c r="N2717" s="30">
        <f t="shared" si="170"/>
        <v>5.170980823471244E-2</v>
      </c>
      <c r="O2717" s="31">
        <f t="shared" si="171"/>
        <v>1.0139594797900287</v>
      </c>
    </row>
    <row r="2718" spans="1:15" x14ac:dyDescent="0.25">
      <c r="A2718" t="s">
        <v>8455</v>
      </c>
      <c r="B2718" t="s">
        <v>5437</v>
      </c>
      <c r="C2718" s="3" t="s">
        <v>5438</v>
      </c>
      <c r="D2718" s="24">
        <v>0.89170700000000003</v>
      </c>
      <c r="E2718" s="25">
        <v>15.75</v>
      </c>
      <c r="F2718" s="25">
        <v>15.72</v>
      </c>
      <c r="G2718" s="26">
        <v>2.8760000000000001E-2</v>
      </c>
      <c r="H2718" s="27">
        <v>0.20250000000000001</v>
      </c>
      <c r="I2718" s="26">
        <v>0.14199999999999999</v>
      </c>
      <c r="J2718" s="28">
        <v>6</v>
      </c>
      <c r="K2718" s="27">
        <v>0.90492499999999998</v>
      </c>
      <c r="L2718" s="29">
        <f t="shared" si="168"/>
        <v>4.3387413541635798E-2</v>
      </c>
      <c r="M2718" s="29">
        <f t="shared" si="169"/>
        <v>2.9999999999999832E-2</v>
      </c>
      <c r="N2718" s="30">
        <f t="shared" si="170"/>
        <v>4.9777824084343981E-2</v>
      </c>
      <c r="O2718" s="31">
        <f t="shared" si="171"/>
        <v>1.0210121257071931</v>
      </c>
    </row>
    <row r="2719" spans="1:15" x14ac:dyDescent="0.25">
      <c r="A2719" t="s">
        <v>8456</v>
      </c>
      <c r="B2719" t="s">
        <v>5439</v>
      </c>
      <c r="C2719" s="3" t="s">
        <v>5440</v>
      </c>
      <c r="D2719" s="24">
        <v>0.892625</v>
      </c>
      <c r="E2719" s="25">
        <v>12.05</v>
      </c>
      <c r="F2719" s="25">
        <v>12.04</v>
      </c>
      <c r="G2719" s="26">
        <v>1.345E-2</v>
      </c>
      <c r="H2719" s="27">
        <v>9.5500000000000002E-2</v>
      </c>
      <c r="I2719" s="26">
        <v>0.14080000000000001</v>
      </c>
      <c r="J2719" s="28">
        <v>6</v>
      </c>
      <c r="K2719" s="27">
        <v>0.905524</v>
      </c>
      <c r="L2719" s="29">
        <f t="shared" si="168"/>
        <v>4.3100034660317033E-2</v>
      </c>
      <c r="M2719" s="29">
        <f t="shared" si="169"/>
        <v>1.0000000000001699E-2</v>
      </c>
      <c r="N2719" s="30">
        <f t="shared" si="170"/>
        <v>4.9330953917174826E-2</v>
      </c>
      <c r="O2719" s="31">
        <f t="shared" si="171"/>
        <v>1.00695555005672</v>
      </c>
    </row>
    <row r="2720" spans="1:15" x14ac:dyDescent="0.25">
      <c r="A2720" t="s">
        <v>8457</v>
      </c>
      <c r="B2720" t="s">
        <v>5441</v>
      </c>
      <c r="C2720" s="3" t="s">
        <v>5442</v>
      </c>
      <c r="D2720" s="24">
        <v>0.89421499999999998</v>
      </c>
      <c r="E2720" s="25">
        <v>7.77</v>
      </c>
      <c r="F2720" s="25">
        <v>7.742</v>
      </c>
      <c r="G2720" s="26">
        <v>2.7459999999999998E-2</v>
      </c>
      <c r="H2720" s="27">
        <v>0.19800000000000001</v>
      </c>
      <c r="I2720" s="26">
        <v>0.13869999999999999</v>
      </c>
      <c r="J2720" s="28">
        <v>6</v>
      </c>
      <c r="K2720" s="27">
        <v>0.90680400000000005</v>
      </c>
      <c r="L2720" s="29">
        <f t="shared" si="168"/>
        <v>4.2486572826402218E-2</v>
      </c>
      <c r="M2720" s="29">
        <f t="shared" si="169"/>
        <v>2.8000000000000282E-2</v>
      </c>
      <c r="N2720" s="30">
        <f t="shared" si="170"/>
        <v>4.8558049338720363E-2</v>
      </c>
      <c r="O2720" s="31">
        <f t="shared" si="171"/>
        <v>1.0195976829981908</v>
      </c>
    </row>
    <row r="2721" spans="1:15" x14ac:dyDescent="0.25">
      <c r="A2721" t="s">
        <v>8458</v>
      </c>
      <c r="B2721" t="s">
        <v>5445</v>
      </c>
      <c r="C2721" s="3" t="s">
        <v>5446</v>
      </c>
      <c r="D2721" s="24">
        <v>0.896648</v>
      </c>
      <c r="E2721" s="25">
        <v>7.8220000000000001</v>
      </c>
      <c r="F2721" s="25">
        <v>7.8479999999999999</v>
      </c>
      <c r="G2721" s="26">
        <v>-2.6020000000000001E-2</v>
      </c>
      <c r="H2721" s="27">
        <v>0.19209999999999999</v>
      </c>
      <c r="I2721" s="26">
        <v>0.13550000000000001</v>
      </c>
      <c r="J2721" s="28">
        <v>6</v>
      </c>
      <c r="K2721" s="27">
        <v>0.90860399999999997</v>
      </c>
      <c r="L2721" s="29">
        <f t="shared" si="168"/>
        <v>4.1625355597439677E-2</v>
      </c>
      <c r="M2721" s="29">
        <f t="shared" si="169"/>
        <v>-2.5999999999999447E-2</v>
      </c>
      <c r="N2721" s="30">
        <f t="shared" si="170"/>
        <v>4.7378015886079802E-2</v>
      </c>
      <c r="O2721" s="31">
        <f t="shared" si="171"/>
        <v>0.98213959526339178</v>
      </c>
    </row>
    <row r="2722" spans="1:15" x14ac:dyDescent="0.25">
      <c r="A2722" t="s">
        <v>8459</v>
      </c>
      <c r="B2722" t="s">
        <v>5443</v>
      </c>
      <c r="C2722" s="3" t="s">
        <v>5444</v>
      </c>
      <c r="D2722" s="24">
        <v>0.89660899999999999</v>
      </c>
      <c r="E2722" s="25">
        <v>9.3680000000000003</v>
      </c>
      <c r="F2722" s="25">
        <v>9.3480000000000008</v>
      </c>
      <c r="G2722" s="26">
        <v>2.0299999999999999E-2</v>
      </c>
      <c r="H2722" s="27">
        <v>0.14979999999999999</v>
      </c>
      <c r="I2722" s="26">
        <v>0.1356</v>
      </c>
      <c r="J2722" s="28">
        <v>6</v>
      </c>
      <c r="K2722" s="27">
        <v>0.90860399999999997</v>
      </c>
      <c r="L2722" s="29">
        <f t="shared" si="168"/>
        <v>4.1625355597439677E-2</v>
      </c>
      <c r="M2722" s="29">
        <f t="shared" si="169"/>
        <v>1.9999999999999622E-2</v>
      </c>
      <c r="N2722" s="30">
        <f t="shared" si="170"/>
        <v>4.7396906078391227E-2</v>
      </c>
      <c r="O2722" s="31">
        <f t="shared" si="171"/>
        <v>1.0139594797900289</v>
      </c>
    </row>
    <row r="2723" spans="1:15" x14ac:dyDescent="0.25">
      <c r="A2723" t="s">
        <v>8460</v>
      </c>
      <c r="B2723" t="s">
        <v>5447</v>
      </c>
      <c r="C2723" s="3" t="s">
        <v>5448</v>
      </c>
      <c r="D2723" s="24">
        <v>0.89699700000000004</v>
      </c>
      <c r="E2723" s="25">
        <v>7.4459999999999997</v>
      </c>
      <c r="F2723" s="25">
        <v>7.4720000000000004</v>
      </c>
      <c r="G2723" s="26">
        <v>-2.6030000000000001E-2</v>
      </c>
      <c r="H2723" s="27">
        <v>0.1928</v>
      </c>
      <c r="I2723" s="26">
        <v>0.13500000000000001</v>
      </c>
      <c r="J2723" s="28">
        <v>6</v>
      </c>
      <c r="K2723" s="27">
        <v>0.90862500000000002</v>
      </c>
      <c r="L2723" s="29">
        <f t="shared" si="168"/>
        <v>4.1615318134774933E-2</v>
      </c>
      <c r="M2723" s="29">
        <f t="shared" si="169"/>
        <v>-2.6000000000000752E-2</v>
      </c>
      <c r="N2723" s="30">
        <f t="shared" si="170"/>
        <v>4.7209009448242842E-2</v>
      </c>
      <c r="O2723" s="31">
        <f t="shared" si="171"/>
        <v>0.9821395952633909</v>
      </c>
    </row>
    <row r="2724" spans="1:15" x14ac:dyDescent="0.25">
      <c r="A2724" t="s">
        <v>8461</v>
      </c>
      <c r="B2724" t="s">
        <v>5449</v>
      </c>
      <c r="C2724" s="3" t="s">
        <v>5450</v>
      </c>
      <c r="D2724" s="24">
        <v>0.89827599999999996</v>
      </c>
      <c r="E2724" s="25">
        <v>8.1980000000000004</v>
      </c>
      <c r="F2724" s="25">
        <v>8.2189999999999994</v>
      </c>
      <c r="G2724" s="26">
        <v>-2.1090000000000001E-2</v>
      </c>
      <c r="H2724" s="27">
        <v>0.15820000000000001</v>
      </c>
      <c r="I2724" s="26">
        <v>0.13339999999999999</v>
      </c>
      <c r="J2724" s="28">
        <v>6</v>
      </c>
      <c r="K2724" s="27">
        <v>0.90958600000000001</v>
      </c>
      <c r="L2724" s="29">
        <f t="shared" si="168"/>
        <v>4.1156232763525084E-2</v>
      </c>
      <c r="M2724" s="29">
        <f t="shared" si="169"/>
        <v>-2.0999999999998555E-2</v>
      </c>
      <c r="N2724" s="30">
        <f t="shared" si="170"/>
        <v>4.6590203577125136E-2</v>
      </c>
      <c r="O2724" s="31">
        <f t="shared" si="171"/>
        <v>0.98554933693937175</v>
      </c>
    </row>
    <row r="2725" spans="1:15" x14ac:dyDescent="0.25">
      <c r="A2725" t="s">
        <v>8462</v>
      </c>
      <c r="B2725" t="s">
        <v>5451</v>
      </c>
      <c r="C2725" s="3" t="s">
        <v>5452</v>
      </c>
      <c r="D2725" s="24">
        <v>0.89991100000000002</v>
      </c>
      <c r="E2725" s="25">
        <v>7.1740000000000004</v>
      </c>
      <c r="F2725" s="25">
        <v>7.2350000000000003</v>
      </c>
      <c r="G2725" s="26">
        <v>-6.1260000000000002E-2</v>
      </c>
      <c r="H2725" s="27">
        <v>0.46689999999999998</v>
      </c>
      <c r="I2725" s="26">
        <v>0.13120000000000001</v>
      </c>
      <c r="J2725" s="28">
        <v>6</v>
      </c>
      <c r="K2725" s="27">
        <v>0.91090800000000005</v>
      </c>
      <c r="L2725" s="29">
        <f t="shared" si="168"/>
        <v>4.0525483740461526E-2</v>
      </c>
      <c r="M2725" s="29">
        <f t="shared" si="169"/>
        <v>-6.1000000000000269E-2</v>
      </c>
      <c r="N2725" s="30">
        <f t="shared" si="170"/>
        <v>4.5800439583066649E-2</v>
      </c>
      <c r="O2725" s="31">
        <f t="shared" si="171"/>
        <v>0.95859943849297635</v>
      </c>
    </row>
    <row r="2726" spans="1:15" x14ac:dyDescent="0.25">
      <c r="A2726" t="s">
        <v>8463</v>
      </c>
      <c r="B2726" t="s">
        <v>5453</v>
      </c>
      <c r="C2726" s="3" t="s">
        <v>5454</v>
      </c>
      <c r="D2726" s="24">
        <v>0.90116600000000002</v>
      </c>
      <c r="E2726" s="25">
        <v>8.9019999999999992</v>
      </c>
      <c r="F2726" s="25">
        <v>8.9269999999999996</v>
      </c>
      <c r="G2726" s="26">
        <v>-2.512E-2</v>
      </c>
      <c r="H2726" s="27">
        <v>0.19389999999999999</v>
      </c>
      <c r="I2726" s="26">
        <v>0.1295</v>
      </c>
      <c r="J2726" s="28">
        <v>6</v>
      </c>
      <c r="K2726" s="27">
        <v>0.91172699999999995</v>
      </c>
      <c r="L2726" s="29">
        <f t="shared" si="168"/>
        <v>4.0135183757614455E-2</v>
      </c>
      <c r="M2726" s="29">
        <f t="shared" si="169"/>
        <v>-2.5000000000000494E-2</v>
      </c>
      <c r="N2726" s="30">
        <f t="shared" si="170"/>
        <v>4.5195202091275886E-2</v>
      </c>
      <c r="O2726" s="31">
        <f t="shared" si="171"/>
        <v>0.98282059854525072</v>
      </c>
    </row>
    <row r="2727" spans="1:15" x14ac:dyDescent="0.25">
      <c r="A2727" t="s">
        <v>8464</v>
      </c>
      <c r="B2727" t="s">
        <v>5455</v>
      </c>
      <c r="C2727" s="3" t="s">
        <v>5456</v>
      </c>
      <c r="D2727" s="24">
        <v>0.90137999999999996</v>
      </c>
      <c r="E2727" s="25">
        <v>6.718</v>
      </c>
      <c r="F2727" s="25">
        <v>6.6420000000000003</v>
      </c>
      <c r="G2727" s="26">
        <v>7.6280000000000001E-2</v>
      </c>
      <c r="H2727" s="27">
        <v>0.58520000000000005</v>
      </c>
      <c r="I2727" s="26">
        <v>0.1303</v>
      </c>
      <c r="J2727" s="28">
        <v>5</v>
      </c>
      <c r="K2727" s="27">
        <v>0.91172699999999995</v>
      </c>
      <c r="L2727" s="29">
        <f t="shared" si="168"/>
        <v>4.0135183757614455E-2</v>
      </c>
      <c r="M2727" s="29">
        <f t="shared" si="169"/>
        <v>7.5999999999998805E-2</v>
      </c>
      <c r="N2727" s="30">
        <f t="shared" si="170"/>
        <v>4.509208237109797E-2</v>
      </c>
      <c r="O2727" s="31">
        <f t="shared" si="171"/>
        <v>1.054091423290737</v>
      </c>
    </row>
    <row r="2728" spans="1:15" x14ac:dyDescent="0.25">
      <c r="A2728" t="s">
        <v>8465</v>
      </c>
      <c r="B2728" t="s">
        <v>5457</v>
      </c>
      <c r="C2728" s="3" t="s">
        <v>5458</v>
      </c>
      <c r="D2728" s="24">
        <v>0.90176400000000001</v>
      </c>
      <c r="E2728" s="25">
        <v>11.74</v>
      </c>
      <c r="F2728" s="25">
        <v>11.69</v>
      </c>
      <c r="G2728" s="26">
        <v>4.981E-2</v>
      </c>
      <c r="H2728" s="27">
        <v>0.38690000000000002</v>
      </c>
      <c r="I2728" s="26">
        <v>0.12870000000000001</v>
      </c>
      <c r="J2728" s="28">
        <v>6</v>
      </c>
      <c r="K2728" s="27">
        <v>0.91178199999999998</v>
      </c>
      <c r="L2728" s="29">
        <f t="shared" si="168"/>
        <v>4.0108985700448921E-2</v>
      </c>
      <c r="M2728" s="29">
        <f t="shared" si="169"/>
        <v>5.0000000000000731E-2</v>
      </c>
      <c r="N2728" s="30">
        <f t="shared" si="170"/>
        <v>4.490710648057341E-2</v>
      </c>
      <c r="O2728" s="31">
        <f t="shared" si="171"/>
        <v>1.035264923841378</v>
      </c>
    </row>
    <row r="2729" spans="1:15" x14ac:dyDescent="0.25">
      <c r="A2729" t="s">
        <v>8466</v>
      </c>
      <c r="B2729" t="s">
        <v>5459</v>
      </c>
      <c r="C2729" s="3" t="s">
        <v>5460</v>
      </c>
      <c r="D2729" s="24">
        <v>0.90435600000000005</v>
      </c>
      <c r="E2729" s="25">
        <v>9.9250000000000007</v>
      </c>
      <c r="F2729" s="25">
        <v>9.9350000000000005</v>
      </c>
      <c r="G2729" s="26">
        <v>-9.9860000000000001E-3</v>
      </c>
      <c r="H2729" s="27">
        <v>7.9680000000000001E-2</v>
      </c>
      <c r="I2729" s="26">
        <v>0.12529999999999999</v>
      </c>
      <c r="J2729" s="28">
        <v>6</v>
      </c>
      <c r="K2729" s="27">
        <v>0.91375200000000001</v>
      </c>
      <c r="L2729" s="29">
        <f t="shared" si="168"/>
        <v>3.9171659458966043E-2</v>
      </c>
      <c r="M2729" s="29">
        <f t="shared" si="169"/>
        <v>-1.0000000000000286E-2</v>
      </c>
      <c r="N2729" s="30">
        <f t="shared" si="170"/>
        <v>4.3660575718599721E-2</v>
      </c>
      <c r="O2729" s="31">
        <f t="shared" si="171"/>
        <v>0.9930924954370357</v>
      </c>
    </row>
    <row r="2730" spans="1:15" x14ac:dyDescent="0.25">
      <c r="A2730" t="s">
        <v>8467</v>
      </c>
      <c r="B2730" t="s">
        <v>5461</v>
      </c>
      <c r="C2730" s="3" t="s">
        <v>5462</v>
      </c>
      <c r="D2730" s="24">
        <v>0.90437400000000001</v>
      </c>
      <c r="E2730" s="25">
        <v>9.3659999999999997</v>
      </c>
      <c r="F2730" s="25">
        <v>9.3510000000000009</v>
      </c>
      <c r="G2730" s="26">
        <v>1.4749999999999999E-2</v>
      </c>
      <c r="H2730" s="27">
        <v>0.1177</v>
      </c>
      <c r="I2730" s="26">
        <v>0.12529999999999999</v>
      </c>
      <c r="J2730" s="28">
        <v>6</v>
      </c>
      <c r="K2730" s="27">
        <v>0.91375200000000001</v>
      </c>
      <c r="L2730" s="29">
        <f t="shared" si="168"/>
        <v>3.9171659458966043E-2</v>
      </c>
      <c r="M2730" s="29">
        <f t="shared" si="169"/>
        <v>1.4999999999998402E-2</v>
      </c>
      <c r="N2730" s="30">
        <f t="shared" si="170"/>
        <v>4.365193175219844E-2</v>
      </c>
      <c r="O2730" s="31">
        <f t="shared" si="171"/>
        <v>1.0104514464867627</v>
      </c>
    </row>
    <row r="2731" spans="1:15" x14ac:dyDescent="0.25">
      <c r="A2731" t="s">
        <v>8468</v>
      </c>
      <c r="B2731" t="s">
        <v>5469</v>
      </c>
      <c r="C2731" s="3" t="s">
        <v>5470</v>
      </c>
      <c r="D2731" s="24">
        <v>0.90646700000000002</v>
      </c>
      <c r="E2731" s="25">
        <v>11.06</v>
      </c>
      <c r="F2731" s="25">
        <v>11.05</v>
      </c>
      <c r="G2731" s="26">
        <v>9.724E-3</v>
      </c>
      <c r="H2731" s="27">
        <v>7.9350000000000004E-2</v>
      </c>
      <c r="I2731" s="26">
        <v>0.1225</v>
      </c>
      <c r="J2731" s="28">
        <v>6</v>
      </c>
      <c r="K2731" s="27">
        <v>0.91424000000000005</v>
      </c>
      <c r="L2731" s="29">
        <f t="shared" si="168"/>
        <v>3.8939781297350991E-2</v>
      </c>
      <c r="M2731" s="29">
        <f t="shared" si="169"/>
        <v>9.9999999999991554E-3</v>
      </c>
      <c r="N2731" s="30">
        <f t="shared" si="170"/>
        <v>4.2648001804295226E-2</v>
      </c>
      <c r="O2731" s="31">
        <f t="shared" si="171"/>
        <v>1.0069555500567182</v>
      </c>
    </row>
    <row r="2732" spans="1:15" x14ac:dyDescent="0.25">
      <c r="A2732" t="s">
        <v>8469</v>
      </c>
      <c r="B2732" t="s">
        <v>5483</v>
      </c>
      <c r="C2732" s="3" t="s">
        <v>5484</v>
      </c>
      <c r="D2732" s="24">
        <v>0.90849800000000003</v>
      </c>
      <c r="E2732" s="25">
        <v>9.8559999999999999</v>
      </c>
      <c r="F2732" s="25">
        <v>9.8780000000000001</v>
      </c>
      <c r="G2732" s="26">
        <v>-2.1329999999999998E-2</v>
      </c>
      <c r="H2732" s="27">
        <v>0.1779</v>
      </c>
      <c r="I2732" s="26">
        <v>0.11990000000000001</v>
      </c>
      <c r="J2732" s="28">
        <v>6</v>
      </c>
      <c r="K2732" s="27">
        <v>0.91424000000000005</v>
      </c>
      <c r="L2732" s="29">
        <f t="shared" si="168"/>
        <v>3.8939781297350991E-2</v>
      </c>
      <c r="M2732" s="29">
        <f t="shared" si="169"/>
        <v>-2.2000000000000346E-2</v>
      </c>
      <c r="N2732" s="30">
        <f t="shared" si="170"/>
        <v>4.167602442630447E-2</v>
      </c>
      <c r="O2732" s="31">
        <f t="shared" si="171"/>
        <v>0.98486644289555036</v>
      </c>
    </row>
    <row r="2733" spans="1:15" x14ac:dyDescent="0.25">
      <c r="A2733" t="s">
        <v>8470</v>
      </c>
      <c r="B2733" t="s">
        <v>5481</v>
      </c>
      <c r="C2733" s="3" t="s">
        <v>5482</v>
      </c>
      <c r="D2733" s="24">
        <v>0.90831600000000001</v>
      </c>
      <c r="E2733" s="25">
        <v>9.6630000000000003</v>
      </c>
      <c r="F2733" s="25">
        <v>9.6329999999999991</v>
      </c>
      <c r="G2733" s="26">
        <v>3.0169999999999999E-2</v>
      </c>
      <c r="H2733" s="27">
        <v>0.25119999999999998</v>
      </c>
      <c r="I2733" s="26">
        <v>0.1201</v>
      </c>
      <c r="J2733" s="28">
        <v>6</v>
      </c>
      <c r="K2733" s="27">
        <v>0.91424000000000005</v>
      </c>
      <c r="L2733" s="29">
        <f t="shared" si="168"/>
        <v>3.8939781297350991E-2</v>
      </c>
      <c r="M2733" s="29">
        <f t="shared" si="169"/>
        <v>3.0000000000001088E-2</v>
      </c>
      <c r="N2733" s="30">
        <f t="shared" si="170"/>
        <v>4.1763035640408716E-2</v>
      </c>
      <c r="O2733" s="31">
        <f t="shared" si="171"/>
        <v>1.021012125707194</v>
      </c>
    </row>
    <row r="2734" spans="1:15" x14ac:dyDescent="0.25">
      <c r="A2734" t="s">
        <v>8471</v>
      </c>
      <c r="B2734" t="s">
        <v>5473</v>
      </c>
      <c r="C2734" s="3" t="s">
        <v>5474</v>
      </c>
      <c r="D2734" s="24">
        <v>0.90797099999999997</v>
      </c>
      <c r="E2734" s="25">
        <v>11.61</v>
      </c>
      <c r="F2734" s="25">
        <v>11.59</v>
      </c>
      <c r="G2734" s="26">
        <v>1.5769999999999999E-2</v>
      </c>
      <c r="H2734" s="27">
        <v>0.1308</v>
      </c>
      <c r="I2734" s="26">
        <v>0.1206</v>
      </c>
      <c r="J2734" s="28">
        <v>6</v>
      </c>
      <c r="K2734" s="27">
        <v>0.91424000000000005</v>
      </c>
      <c r="L2734" s="29">
        <f t="shared" si="168"/>
        <v>3.8939781297350991E-2</v>
      </c>
      <c r="M2734" s="29">
        <f t="shared" si="169"/>
        <v>1.9999999999998359E-2</v>
      </c>
      <c r="N2734" s="30">
        <f t="shared" si="170"/>
        <v>4.1928022339161312E-2</v>
      </c>
      <c r="O2734" s="31">
        <f t="shared" si="171"/>
        <v>1.013959479790028</v>
      </c>
    </row>
    <row r="2735" spans="1:15" x14ac:dyDescent="0.25">
      <c r="A2735" t="s">
        <v>8472</v>
      </c>
      <c r="B2735" t="s">
        <v>5479</v>
      </c>
      <c r="C2735" s="3" t="s">
        <v>5480</v>
      </c>
      <c r="D2735" s="24">
        <v>0.90829400000000005</v>
      </c>
      <c r="E2735" s="25">
        <v>7.8680000000000003</v>
      </c>
      <c r="F2735" s="25">
        <v>7.8479999999999999</v>
      </c>
      <c r="G2735" s="26">
        <v>1.975E-2</v>
      </c>
      <c r="H2735" s="27">
        <v>0.16439999999999999</v>
      </c>
      <c r="I2735" s="26">
        <v>0.1201</v>
      </c>
      <c r="J2735" s="28">
        <v>6</v>
      </c>
      <c r="K2735" s="27">
        <v>0.91424000000000005</v>
      </c>
      <c r="L2735" s="29">
        <f t="shared" si="168"/>
        <v>3.8939781297350991E-2</v>
      </c>
      <c r="M2735" s="29">
        <f t="shared" si="169"/>
        <v>2.0000000000000569E-2</v>
      </c>
      <c r="N2735" s="30">
        <f t="shared" si="170"/>
        <v>4.1773554660564191E-2</v>
      </c>
      <c r="O2735" s="31">
        <f t="shared" si="171"/>
        <v>1.0139594797900295</v>
      </c>
    </row>
    <row r="2736" spans="1:15" x14ac:dyDescent="0.25">
      <c r="A2736" t="s">
        <v>8473</v>
      </c>
      <c r="B2736" t="s">
        <v>5477</v>
      </c>
      <c r="C2736" s="3" t="s">
        <v>5478</v>
      </c>
      <c r="D2736" s="24">
        <v>0.90829400000000005</v>
      </c>
      <c r="E2736" s="25">
        <v>7.8680000000000003</v>
      </c>
      <c r="F2736" s="25">
        <v>7.8479999999999999</v>
      </c>
      <c r="G2736" s="26">
        <v>1.975E-2</v>
      </c>
      <c r="H2736" s="27">
        <v>0.16439999999999999</v>
      </c>
      <c r="I2736" s="26">
        <v>0.1201</v>
      </c>
      <c r="J2736" s="28">
        <v>6</v>
      </c>
      <c r="K2736" s="27">
        <v>0.91424000000000005</v>
      </c>
      <c r="L2736" s="29">
        <f t="shared" si="168"/>
        <v>3.8939781297350991E-2</v>
      </c>
      <c r="M2736" s="29">
        <f t="shared" si="169"/>
        <v>2.0000000000000569E-2</v>
      </c>
      <c r="N2736" s="30">
        <f t="shared" si="170"/>
        <v>4.1773554660564191E-2</v>
      </c>
      <c r="O2736" s="31">
        <f t="shared" si="171"/>
        <v>1.0139594797900295</v>
      </c>
    </row>
    <row r="2737" spans="1:15" x14ac:dyDescent="0.25">
      <c r="A2737" t="s">
        <v>8474</v>
      </c>
      <c r="B2737" t="s">
        <v>5465</v>
      </c>
      <c r="C2737" s="3" t="s">
        <v>5466</v>
      </c>
      <c r="D2737" s="24">
        <v>0.90610000000000002</v>
      </c>
      <c r="E2737" s="25">
        <v>9.5289999999999999</v>
      </c>
      <c r="F2737" s="25">
        <v>9.5359999999999996</v>
      </c>
      <c r="G2737" s="26">
        <v>-7.0600000000000003E-3</v>
      </c>
      <c r="H2737" s="27">
        <v>5.738E-2</v>
      </c>
      <c r="I2737" s="26">
        <v>0.123</v>
      </c>
      <c r="J2737" s="28">
        <v>6</v>
      </c>
      <c r="K2737" s="27">
        <v>0.91424000000000005</v>
      </c>
      <c r="L2737" s="29">
        <f t="shared" si="168"/>
        <v>3.8939781297350991E-2</v>
      </c>
      <c r="M2737" s="29">
        <f t="shared" si="169"/>
        <v>-7.0000000000003384E-3</v>
      </c>
      <c r="N2737" s="30">
        <f t="shared" si="170"/>
        <v>4.2823869595153795E-2</v>
      </c>
      <c r="O2737" s="31">
        <f t="shared" si="171"/>
        <v>0.99515972182008261</v>
      </c>
    </row>
    <row r="2738" spans="1:15" x14ac:dyDescent="0.25">
      <c r="A2738" t="s">
        <v>8475</v>
      </c>
      <c r="B2738" t="s">
        <v>5471</v>
      </c>
      <c r="C2738" s="3" t="s">
        <v>5472</v>
      </c>
      <c r="D2738" s="24">
        <v>0.90749299999999999</v>
      </c>
      <c r="E2738" s="25">
        <v>7.5910000000000002</v>
      </c>
      <c r="F2738" s="25">
        <v>7.5350000000000001</v>
      </c>
      <c r="G2738" s="26">
        <v>5.5440000000000003E-2</v>
      </c>
      <c r="H2738" s="27">
        <v>0.45739999999999997</v>
      </c>
      <c r="I2738" s="26">
        <v>0.1212</v>
      </c>
      <c r="J2738" s="28">
        <v>6</v>
      </c>
      <c r="K2738" s="27">
        <v>0.91424000000000005</v>
      </c>
      <c r="L2738" s="29">
        <f t="shared" si="168"/>
        <v>3.8939781297350991E-2</v>
      </c>
      <c r="M2738" s="29">
        <f t="shared" si="169"/>
        <v>5.5999999999999141E-2</v>
      </c>
      <c r="N2738" s="30">
        <f t="shared" si="170"/>
        <v>4.2156716234657735E-2</v>
      </c>
      <c r="O2738" s="31">
        <f t="shared" si="171"/>
        <v>1.0395794351752781</v>
      </c>
    </row>
    <row r="2739" spans="1:15" x14ac:dyDescent="0.25">
      <c r="A2739" t="s">
        <v>8476</v>
      </c>
      <c r="B2739" t="s">
        <v>5475</v>
      </c>
      <c r="C2739" s="3" t="s">
        <v>5476</v>
      </c>
      <c r="D2739" s="24">
        <v>0.90811799999999998</v>
      </c>
      <c r="E2739" s="25">
        <v>8.0060000000000002</v>
      </c>
      <c r="F2739" s="25">
        <v>7.96</v>
      </c>
      <c r="G2739" s="26">
        <v>4.5920000000000002E-2</v>
      </c>
      <c r="H2739" s="27">
        <v>0.38150000000000001</v>
      </c>
      <c r="I2739" s="26">
        <v>0.12039999999999999</v>
      </c>
      <c r="J2739" s="28">
        <v>6</v>
      </c>
      <c r="K2739" s="27">
        <v>0.91424000000000005</v>
      </c>
      <c r="L2739" s="29">
        <f t="shared" si="168"/>
        <v>3.8939781297350991E-2</v>
      </c>
      <c r="M2739" s="29">
        <f t="shared" si="169"/>
        <v>4.6000000000000131E-2</v>
      </c>
      <c r="N2739" s="30">
        <f t="shared" si="170"/>
        <v>4.1857715995166925E-2</v>
      </c>
      <c r="O2739" s="31">
        <f t="shared" si="171"/>
        <v>1.0323985354832419</v>
      </c>
    </row>
    <row r="2740" spans="1:15" x14ac:dyDescent="0.25">
      <c r="A2740" t="s">
        <v>8477</v>
      </c>
      <c r="B2740" t="s">
        <v>5463</v>
      </c>
      <c r="C2740" s="3" t="s">
        <v>5464</v>
      </c>
      <c r="D2740" s="24">
        <v>0.90576299999999998</v>
      </c>
      <c r="E2740" s="25">
        <v>8.1590000000000007</v>
      </c>
      <c r="F2740" s="25">
        <v>8.1440000000000001</v>
      </c>
      <c r="G2740" s="26">
        <v>1.537E-2</v>
      </c>
      <c r="H2740" s="27">
        <v>0.1244</v>
      </c>
      <c r="I2740" s="26">
        <v>0.1235</v>
      </c>
      <c r="J2740" s="28">
        <v>6</v>
      </c>
      <c r="K2740" s="27">
        <v>0.91424000000000005</v>
      </c>
      <c r="L2740" s="29">
        <f t="shared" si="168"/>
        <v>3.8939781297350991E-2</v>
      </c>
      <c r="M2740" s="29">
        <f t="shared" si="169"/>
        <v>1.4999999999999668E-2</v>
      </c>
      <c r="N2740" s="30">
        <f t="shared" si="170"/>
        <v>4.2985424019620917E-2</v>
      </c>
      <c r="O2740" s="31">
        <f t="shared" si="171"/>
        <v>1.0104514464867635</v>
      </c>
    </row>
    <row r="2741" spans="1:15" x14ac:dyDescent="0.25">
      <c r="A2741" t="s">
        <v>8478</v>
      </c>
      <c r="B2741" t="s">
        <v>5467</v>
      </c>
      <c r="C2741" s="3" t="s">
        <v>5468</v>
      </c>
      <c r="D2741" s="24">
        <v>0.90610999999999997</v>
      </c>
      <c r="E2741" s="25">
        <v>10.17</v>
      </c>
      <c r="F2741" s="25">
        <v>10.210000000000001</v>
      </c>
      <c r="G2741" s="26">
        <v>-3.8629999999999998E-2</v>
      </c>
      <c r="H2741" s="27">
        <v>0.314</v>
      </c>
      <c r="I2741" s="26">
        <v>0.123</v>
      </c>
      <c r="J2741" s="28">
        <v>6</v>
      </c>
      <c r="K2741" s="27">
        <v>0.91424000000000005</v>
      </c>
      <c r="L2741" s="29">
        <f t="shared" si="168"/>
        <v>3.8939781297350991E-2</v>
      </c>
      <c r="M2741" s="29">
        <f t="shared" si="169"/>
        <v>-4.000000000000048E-2</v>
      </c>
      <c r="N2741" s="30">
        <f t="shared" si="170"/>
        <v>4.2819076613303947E-2</v>
      </c>
      <c r="O2741" s="31">
        <f t="shared" si="171"/>
        <v>0.9726549474122852</v>
      </c>
    </row>
    <row r="2742" spans="1:15" x14ac:dyDescent="0.25">
      <c r="A2742" t="s">
        <v>8479</v>
      </c>
      <c r="B2742" t="s">
        <v>5487</v>
      </c>
      <c r="C2742" s="3" t="s">
        <v>5488</v>
      </c>
      <c r="D2742" s="24">
        <v>0.91114399999999995</v>
      </c>
      <c r="E2742" s="25">
        <v>10.34</v>
      </c>
      <c r="F2742" s="25">
        <v>10.33</v>
      </c>
      <c r="G2742" s="26">
        <v>1.384E-2</v>
      </c>
      <c r="H2742" s="27">
        <v>0.11890000000000001</v>
      </c>
      <c r="I2742" s="26">
        <v>0.1164</v>
      </c>
      <c r="J2742" s="28">
        <v>6</v>
      </c>
      <c r="K2742" s="27">
        <v>0.91623500000000002</v>
      </c>
      <c r="L2742" s="29">
        <f t="shared" si="168"/>
        <v>3.7993122277749487E-2</v>
      </c>
      <c r="M2742" s="29">
        <f t="shared" si="169"/>
        <v>9.9999999999988362E-3</v>
      </c>
      <c r="N2742" s="30">
        <f t="shared" si="170"/>
        <v>4.0412980367009736E-2</v>
      </c>
      <c r="O2742" s="31">
        <f t="shared" si="171"/>
        <v>1.006955550056718</v>
      </c>
    </row>
    <row r="2743" spans="1:15" x14ac:dyDescent="0.25">
      <c r="A2743" t="s">
        <v>8480</v>
      </c>
      <c r="B2743" t="s">
        <v>5485</v>
      </c>
      <c r="C2743" s="3" t="s">
        <v>5486</v>
      </c>
      <c r="D2743" s="24">
        <v>0.911138</v>
      </c>
      <c r="E2743" s="25">
        <v>8.984</v>
      </c>
      <c r="F2743" s="25">
        <v>9.0120000000000005</v>
      </c>
      <c r="G2743" s="26">
        <v>-2.7689999999999999E-2</v>
      </c>
      <c r="H2743" s="27">
        <v>0.2379</v>
      </c>
      <c r="I2743" s="26">
        <v>0.1164</v>
      </c>
      <c r="J2743" s="28">
        <v>6</v>
      </c>
      <c r="K2743" s="27">
        <v>0.91623500000000002</v>
      </c>
      <c r="L2743" s="29">
        <f t="shared" si="168"/>
        <v>3.7993122277749487E-2</v>
      </c>
      <c r="M2743" s="29">
        <f t="shared" si="169"/>
        <v>-2.8000000000000112E-2</v>
      </c>
      <c r="N2743" s="30">
        <f t="shared" si="170"/>
        <v>4.04158402612428E-2</v>
      </c>
      <c r="O2743" s="31">
        <f t="shared" si="171"/>
        <v>0.98077900398855122</v>
      </c>
    </row>
    <row r="2744" spans="1:15" x14ac:dyDescent="0.25">
      <c r="A2744" t="s">
        <v>8481</v>
      </c>
      <c r="B2744" t="s">
        <v>5489</v>
      </c>
      <c r="C2744" s="3" t="s">
        <v>5490</v>
      </c>
      <c r="D2744" s="24">
        <v>0.91234800000000005</v>
      </c>
      <c r="E2744" s="25">
        <v>6.718</v>
      </c>
      <c r="F2744" s="25">
        <v>6.7720000000000002</v>
      </c>
      <c r="G2744" s="26">
        <v>-5.3960000000000001E-2</v>
      </c>
      <c r="H2744" s="27">
        <v>0.47</v>
      </c>
      <c r="I2744" s="26">
        <v>0.1148</v>
      </c>
      <c r="J2744" s="28">
        <v>6</v>
      </c>
      <c r="K2744" s="27">
        <v>0.91701100000000002</v>
      </c>
      <c r="L2744" s="29">
        <f t="shared" si="168"/>
        <v>3.7625454721856598E-2</v>
      </c>
      <c r="M2744" s="29">
        <f t="shared" si="169"/>
        <v>-5.400000000000113E-2</v>
      </c>
      <c r="N2744" s="30">
        <f t="shared" si="170"/>
        <v>3.983947564947022E-2</v>
      </c>
      <c r="O2744" s="31">
        <f t="shared" si="171"/>
        <v>0.96326189402014717</v>
      </c>
    </row>
    <row r="2745" spans="1:15" x14ac:dyDescent="0.25">
      <c r="A2745" t="s">
        <v>8482</v>
      </c>
      <c r="B2745" t="s">
        <v>5491</v>
      </c>
      <c r="C2745" s="3" t="s">
        <v>5492</v>
      </c>
      <c r="D2745" s="24">
        <v>0.91259999999999997</v>
      </c>
      <c r="E2745" s="25">
        <v>10.3</v>
      </c>
      <c r="F2745" s="25">
        <v>10.28</v>
      </c>
      <c r="G2745" s="26">
        <v>2.308E-2</v>
      </c>
      <c r="H2745" s="27">
        <v>0.2016</v>
      </c>
      <c r="I2745" s="26">
        <v>0.1145</v>
      </c>
      <c r="J2745" s="28">
        <v>6</v>
      </c>
      <c r="K2745" s="27">
        <v>0.91701100000000002</v>
      </c>
      <c r="L2745" s="29">
        <f t="shared" si="168"/>
        <v>3.7625454721856598E-2</v>
      </c>
      <c r="M2745" s="29">
        <f t="shared" si="169"/>
        <v>2.0000000000000569E-2</v>
      </c>
      <c r="N2745" s="30">
        <f t="shared" si="170"/>
        <v>3.9719535563357965E-2</v>
      </c>
      <c r="O2745" s="31">
        <f t="shared" si="171"/>
        <v>1.0139594797900295</v>
      </c>
    </row>
    <row r="2746" spans="1:15" x14ac:dyDescent="0.25">
      <c r="A2746" t="s">
        <v>8483</v>
      </c>
      <c r="B2746" t="s">
        <v>5493</v>
      </c>
      <c r="C2746" s="3" t="s">
        <v>5494</v>
      </c>
      <c r="D2746" s="24">
        <v>0.91291100000000003</v>
      </c>
      <c r="E2746" s="25">
        <v>9.2940000000000005</v>
      </c>
      <c r="F2746" s="25">
        <v>9.3140000000000001</v>
      </c>
      <c r="G2746" s="26">
        <v>-2.0209999999999999E-2</v>
      </c>
      <c r="H2746" s="27">
        <v>0.17710000000000001</v>
      </c>
      <c r="I2746" s="26">
        <v>0.11409999999999999</v>
      </c>
      <c r="J2746" s="28">
        <v>6</v>
      </c>
      <c r="K2746" s="27">
        <v>0.91701100000000002</v>
      </c>
      <c r="L2746" s="29">
        <f t="shared" si="168"/>
        <v>3.7625454721856598E-2</v>
      </c>
      <c r="M2746" s="29">
        <f t="shared" si="169"/>
        <v>-1.9999999999999633E-2</v>
      </c>
      <c r="N2746" s="30">
        <f t="shared" si="170"/>
        <v>3.9571559916891152E-2</v>
      </c>
      <c r="O2746" s="31">
        <f t="shared" si="171"/>
        <v>0.98623270449335942</v>
      </c>
    </row>
    <row r="2747" spans="1:15" x14ac:dyDescent="0.25">
      <c r="A2747" t="s">
        <v>8484</v>
      </c>
      <c r="B2747" t="s">
        <v>5495</v>
      </c>
      <c r="C2747" s="3" t="s">
        <v>5496</v>
      </c>
      <c r="D2747" s="24">
        <v>0.913825</v>
      </c>
      <c r="E2747" s="25">
        <v>7.4539999999999997</v>
      </c>
      <c r="F2747" s="25">
        <v>7.3890000000000002</v>
      </c>
      <c r="G2747" s="26">
        <v>6.5360000000000001E-2</v>
      </c>
      <c r="H2747" s="27">
        <v>0.57920000000000005</v>
      </c>
      <c r="I2747" s="26">
        <v>0.1129</v>
      </c>
      <c r="J2747" s="28">
        <v>6</v>
      </c>
      <c r="K2747" s="27">
        <v>0.91759500000000005</v>
      </c>
      <c r="L2747" s="29">
        <f t="shared" si="168"/>
        <v>3.7348961582732168E-2</v>
      </c>
      <c r="M2747" s="29">
        <f t="shared" si="169"/>
        <v>6.4999999999999558E-2</v>
      </c>
      <c r="N2747" s="30">
        <f t="shared" si="170"/>
        <v>3.9136964891026312E-2</v>
      </c>
      <c r="O2747" s="31">
        <f t="shared" si="171"/>
        <v>1.0460849397925289</v>
      </c>
    </row>
    <row r="2748" spans="1:15" x14ac:dyDescent="0.25">
      <c r="A2748" t="s">
        <v>8485</v>
      </c>
      <c r="B2748" t="s">
        <v>5497</v>
      </c>
      <c r="C2748" s="3" t="s">
        <v>5498</v>
      </c>
      <c r="D2748" s="24">
        <v>0.91631200000000002</v>
      </c>
      <c r="E2748" s="25">
        <v>7.5270000000000001</v>
      </c>
      <c r="F2748" s="25">
        <v>7.5780000000000003</v>
      </c>
      <c r="G2748" s="26">
        <v>-5.015E-2</v>
      </c>
      <c r="H2748" s="27">
        <v>0.4577</v>
      </c>
      <c r="I2748" s="26">
        <v>0.1096</v>
      </c>
      <c r="J2748" s="28">
        <v>6</v>
      </c>
      <c r="K2748" s="27">
        <v>0.91975799999999996</v>
      </c>
      <c r="L2748" s="29">
        <f t="shared" si="168"/>
        <v>3.632642601301337E-2</v>
      </c>
      <c r="M2748" s="29">
        <f t="shared" si="169"/>
        <v>-5.1000000000000989E-2</v>
      </c>
      <c r="N2748" s="30">
        <f t="shared" si="170"/>
        <v>3.7956625887614628E-2</v>
      </c>
      <c r="O2748" s="31">
        <f t="shared" si="171"/>
        <v>0.96526702487175631</v>
      </c>
    </row>
    <row r="2749" spans="1:15" x14ac:dyDescent="0.25">
      <c r="A2749" t="s">
        <v>8486</v>
      </c>
      <c r="B2749" t="s">
        <v>5499</v>
      </c>
      <c r="C2749" s="3" t="s">
        <v>5500</v>
      </c>
      <c r="D2749" s="24">
        <v>0.91832000000000003</v>
      </c>
      <c r="E2749" s="25">
        <v>11.19</v>
      </c>
      <c r="F2749" s="25">
        <v>11.18</v>
      </c>
      <c r="G2749" s="26">
        <v>1.115E-2</v>
      </c>
      <c r="H2749" s="27">
        <v>0.1043</v>
      </c>
      <c r="I2749" s="26">
        <v>0.1069</v>
      </c>
      <c r="J2749" s="28">
        <v>6</v>
      </c>
      <c r="K2749" s="27">
        <v>0.92143900000000001</v>
      </c>
      <c r="L2749" s="29">
        <f t="shared" si="168"/>
        <v>3.5533410135923489E-2</v>
      </c>
      <c r="M2749" s="29">
        <f t="shared" si="169"/>
        <v>1.0000000000000427E-2</v>
      </c>
      <c r="N2749" s="30">
        <f t="shared" si="170"/>
        <v>3.700595712365104E-2</v>
      </c>
      <c r="O2749" s="31">
        <f t="shared" si="171"/>
        <v>1.0069555500567191</v>
      </c>
    </row>
    <row r="2750" spans="1:15" x14ac:dyDescent="0.25">
      <c r="A2750" t="s">
        <v>8487</v>
      </c>
      <c r="B2750" t="s">
        <v>5501</v>
      </c>
      <c r="C2750" s="3" t="s">
        <v>5502</v>
      </c>
      <c r="D2750" s="24">
        <v>0.919354</v>
      </c>
      <c r="E2750" s="25">
        <v>11.96</v>
      </c>
      <c r="F2750" s="25">
        <v>11.97</v>
      </c>
      <c r="G2750" s="26">
        <v>-1.5509999999999999E-2</v>
      </c>
      <c r="H2750" s="27">
        <v>0.1469</v>
      </c>
      <c r="I2750" s="26">
        <v>0.1056</v>
      </c>
      <c r="J2750" s="28">
        <v>6</v>
      </c>
      <c r="K2750" s="27">
        <v>0.92214099999999999</v>
      </c>
      <c r="L2750" s="29">
        <f t="shared" si="168"/>
        <v>3.5202668056891297E-2</v>
      </c>
      <c r="M2750" s="29">
        <f t="shared" si="169"/>
        <v>-9.9999999999991571E-3</v>
      </c>
      <c r="N2750" s="30">
        <f t="shared" si="170"/>
        <v>3.6517230024417917E-2</v>
      </c>
      <c r="O2750" s="31">
        <f t="shared" si="171"/>
        <v>0.99309249543703648</v>
      </c>
    </row>
    <row r="2751" spans="1:15" x14ac:dyDescent="0.25">
      <c r="A2751" t="s">
        <v>8488</v>
      </c>
      <c r="B2751" t="s">
        <v>5507</v>
      </c>
      <c r="C2751" s="3" t="s">
        <v>5508</v>
      </c>
      <c r="D2751" s="24">
        <v>0.92047000000000001</v>
      </c>
      <c r="E2751" s="25">
        <v>8.4060000000000006</v>
      </c>
      <c r="F2751" s="25">
        <v>8.4749999999999996</v>
      </c>
      <c r="G2751" s="26">
        <v>-6.8940000000000001E-2</v>
      </c>
      <c r="H2751" s="27">
        <v>0.66220000000000001</v>
      </c>
      <c r="I2751" s="26">
        <v>0.1041</v>
      </c>
      <c r="J2751" s="28">
        <v>6</v>
      </c>
      <c r="K2751" s="27">
        <v>0.92225699999999999</v>
      </c>
      <c r="L2751" s="29">
        <f t="shared" si="168"/>
        <v>3.5148039760864946E-2</v>
      </c>
      <c r="M2751" s="29">
        <f t="shared" si="169"/>
        <v>-6.8999999999999714E-2</v>
      </c>
      <c r="N2751" s="30">
        <f t="shared" si="170"/>
        <v>3.5990361474766024E-2</v>
      </c>
      <c r="O2751" s="31">
        <f t="shared" si="171"/>
        <v>0.95329854528815916</v>
      </c>
    </row>
    <row r="2752" spans="1:15" x14ac:dyDescent="0.25">
      <c r="A2752" t="s">
        <v>8489</v>
      </c>
      <c r="B2752" t="s">
        <v>5505</v>
      </c>
      <c r="C2752" s="3" t="s">
        <v>5506</v>
      </c>
      <c r="D2752" s="24">
        <v>0.92032499999999995</v>
      </c>
      <c r="E2752" s="25">
        <v>10.029999999999999</v>
      </c>
      <c r="F2752" s="25">
        <v>10.11</v>
      </c>
      <c r="G2752" s="26">
        <v>-7.9519999999999993E-2</v>
      </c>
      <c r="H2752" s="27">
        <v>0.76229999999999998</v>
      </c>
      <c r="I2752" s="26">
        <v>0.1043</v>
      </c>
      <c r="J2752" s="28">
        <v>6</v>
      </c>
      <c r="K2752" s="27">
        <v>0.92225699999999999</v>
      </c>
      <c r="L2752" s="29">
        <f t="shared" si="168"/>
        <v>3.5148039760864946E-2</v>
      </c>
      <c r="M2752" s="29">
        <f t="shared" si="169"/>
        <v>-8.0000000000000529E-2</v>
      </c>
      <c r="N2752" s="30">
        <f t="shared" si="170"/>
        <v>3.605878050024821E-2</v>
      </c>
      <c r="O2752" s="31">
        <f t="shared" si="171"/>
        <v>0.94605764672559556</v>
      </c>
    </row>
    <row r="2753" spans="1:15" x14ac:dyDescent="0.25">
      <c r="A2753" t="s">
        <v>8490</v>
      </c>
      <c r="B2753" t="s">
        <v>5503</v>
      </c>
      <c r="C2753" s="3" t="s">
        <v>5504</v>
      </c>
      <c r="D2753" s="24">
        <v>0.92012400000000005</v>
      </c>
      <c r="E2753" s="25">
        <v>7.9359999999999999</v>
      </c>
      <c r="F2753" s="25">
        <v>7.891</v>
      </c>
      <c r="G2753" s="26">
        <v>4.4359999999999997E-2</v>
      </c>
      <c r="H2753" s="27">
        <v>0.42420000000000002</v>
      </c>
      <c r="I2753" s="26">
        <v>0.1046</v>
      </c>
      <c r="J2753" s="28">
        <v>6</v>
      </c>
      <c r="K2753" s="27">
        <v>0.92225699999999999</v>
      </c>
      <c r="L2753" s="29">
        <f t="shared" si="168"/>
        <v>3.5148039760864946E-2</v>
      </c>
      <c r="M2753" s="29">
        <f t="shared" si="169"/>
        <v>4.4999999999999811E-2</v>
      </c>
      <c r="N2753" s="30">
        <f t="shared" si="170"/>
        <v>3.6153641255650362E-2</v>
      </c>
      <c r="O2753" s="31">
        <f t="shared" si="171"/>
        <v>1.0316831793013588</v>
      </c>
    </row>
    <row r="2754" spans="1:15" x14ac:dyDescent="0.25">
      <c r="A2754" t="s">
        <v>8491</v>
      </c>
      <c r="B2754" t="s">
        <v>5511</v>
      </c>
      <c r="C2754" s="3" t="s">
        <v>5512</v>
      </c>
      <c r="D2754" s="24">
        <v>0.92176400000000003</v>
      </c>
      <c r="E2754" s="25">
        <v>9.3729999999999993</v>
      </c>
      <c r="F2754" s="25">
        <v>9.3940000000000001</v>
      </c>
      <c r="G2754" s="26">
        <v>-2.1489999999999999E-2</v>
      </c>
      <c r="H2754" s="27">
        <v>0.20979999999999999</v>
      </c>
      <c r="I2754" s="26">
        <v>0.1024</v>
      </c>
      <c r="J2754" s="28">
        <v>6</v>
      </c>
      <c r="K2754" s="27">
        <v>0.92288300000000001</v>
      </c>
      <c r="L2754" s="29">
        <f t="shared" ref="L2754:L2817" si="172">-LOG(K2754,10)</f>
        <v>3.4853353876755908E-2</v>
      </c>
      <c r="M2754" s="29">
        <f t="shared" ref="M2754:M2817" si="173">LOG(O2754,2)</f>
        <v>-2.1000000000001316E-2</v>
      </c>
      <c r="N2754" s="30">
        <f t="shared" ref="N2754:N2817" si="174">-LOG(D2754,10)</f>
        <v>3.5380257490141877E-2</v>
      </c>
      <c r="O2754" s="31">
        <f t="shared" ref="O2754:O2817" si="175">((2^E2754)/(2^F2754))</f>
        <v>0.98554933693936986</v>
      </c>
    </row>
    <row r="2755" spans="1:15" x14ac:dyDescent="0.25">
      <c r="A2755" t="s">
        <v>8492</v>
      </c>
      <c r="B2755" t="s">
        <v>5509</v>
      </c>
      <c r="C2755" s="3" t="s">
        <v>5510</v>
      </c>
      <c r="D2755" s="24">
        <v>0.92147199999999996</v>
      </c>
      <c r="E2755" s="25">
        <v>8.6539999999999999</v>
      </c>
      <c r="F2755" s="25">
        <v>8.6720000000000006</v>
      </c>
      <c r="G2755" s="26">
        <v>-1.7610000000000001E-2</v>
      </c>
      <c r="H2755" s="27">
        <v>0.17130000000000001</v>
      </c>
      <c r="I2755" s="26">
        <v>0.1028</v>
      </c>
      <c r="J2755" s="28">
        <v>6</v>
      </c>
      <c r="K2755" s="27">
        <v>0.92288300000000001</v>
      </c>
      <c r="L2755" s="29">
        <f t="shared" si="172"/>
        <v>3.4853353876755908E-2</v>
      </c>
      <c r="M2755" s="29">
        <f t="shared" si="173"/>
        <v>-1.8000000000001255E-2</v>
      </c>
      <c r="N2755" s="30">
        <f t="shared" si="174"/>
        <v>3.5517856788090288E-2</v>
      </c>
      <c r="O2755" s="31">
        <f t="shared" si="175"/>
        <v>0.98760086144537163</v>
      </c>
    </row>
    <row r="2756" spans="1:15" x14ac:dyDescent="0.25">
      <c r="A2756" t="s">
        <v>8493</v>
      </c>
      <c r="B2756" t="s">
        <v>5513</v>
      </c>
      <c r="C2756" s="3" t="s">
        <v>5514</v>
      </c>
      <c r="D2756" s="24">
        <v>0.92423900000000003</v>
      </c>
      <c r="E2756" s="25">
        <v>9.2460000000000004</v>
      </c>
      <c r="F2756" s="25">
        <v>9.2579999999999991</v>
      </c>
      <c r="G2756" s="26">
        <v>-1.21E-2</v>
      </c>
      <c r="H2756" s="27">
        <v>0.122</v>
      </c>
      <c r="I2756" s="26">
        <v>9.9159999999999998E-2</v>
      </c>
      <c r="J2756" s="28">
        <v>6</v>
      </c>
      <c r="K2756" s="27">
        <v>0.92471199999999998</v>
      </c>
      <c r="L2756" s="29">
        <f t="shared" si="172"/>
        <v>3.3993506489343343E-2</v>
      </c>
      <c r="M2756" s="29">
        <f t="shared" si="173"/>
        <v>-1.199999999999863E-2</v>
      </c>
      <c r="N2756" s="30">
        <f t="shared" si="174"/>
        <v>3.4215709559539828E-2</v>
      </c>
      <c r="O2756" s="31">
        <f t="shared" si="175"/>
        <v>0.99171673073829414</v>
      </c>
    </row>
    <row r="2757" spans="1:15" x14ac:dyDescent="0.25">
      <c r="A2757" t="s">
        <v>8494</v>
      </c>
      <c r="B2757" t="s">
        <v>5515</v>
      </c>
      <c r="C2757" s="3" t="s">
        <v>5516</v>
      </c>
      <c r="D2757" s="24">
        <v>0.924261</v>
      </c>
      <c r="E2757" s="25">
        <v>8.3230000000000004</v>
      </c>
      <c r="F2757" s="25">
        <v>8.2609999999999992</v>
      </c>
      <c r="G2757" s="26">
        <v>6.2390000000000001E-2</v>
      </c>
      <c r="H2757" s="27">
        <v>0.62929999999999997</v>
      </c>
      <c r="I2757" s="26">
        <v>9.9129999999999996E-2</v>
      </c>
      <c r="J2757" s="28">
        <v>6</v>
      </c>
      <c r="K2757" s="27">
        <v>0.92471199999999998</v>
      </c>
      <c r="L2757" s="29">
        <f t="shared" si="172"/>
        <v>3.3993506489343343E-2</v>
      </c>
      <c r="M2757" s="29">
        <f t="shared" si="173"/>
        <v>6.2000000000001949E-2</v>
      </c>
      <c r="N2757" s="30">
        <f t="shared" si="174"/>
        <v>3.4205372011687718E-2</v>
      </c>
      <c r="O2757" s="31">
        <f t="shared" si="175"/>
        <v>1.0439119274217203</v>
      </c>
    </row>
    <row r="2758" spans="1:15" x14ac:dyDescent="0.25">
      <c r="A2758" t="s">
        <v>8495</v>
      </c>
      <c r="B2758" t="s">
        <v>5517</v>
      </c>
      <c r="C2758" s="3" t="s">
        <v>5518</v>
      </c>
      <c r="D2758" s="24">
        <v>0.92462299999999997</v>
      </c>
      <c r="E2758" s="25">
        <v>6.4939999999999998</v>
      </c>
      <c r="F2758" s="25">
        <v>6.4370000000000003</v>
      </c>
      <c r="G2758" s="26">
        <v>5.6669999999999998E-2</v>
      </c>
      <c r="H2758" s="27">
        <v>0.57440000000000002</v>
      </c>
      <c r="I2758" s="26">
        <v>9.8659999999999998E-2</v>
      </c>
      <c r="J2758" s="28">
        <v>6</v>
      </c>
      <c r="K2758" s="27">
        <v>0.92474100000000004</v>
      </c>
      <c r="L2758" s="29">
        <f t="shared" si="172"/>
        <v>3.3979886743422519E-2</v>
      </c>
      <c r="M2758" s="29">
        <f t="shared" si="173"/>
        <v>5.6999999999999926E-2</v>
      </c>
      <c r="N2758" s="30">
        <f t="shared" si="174"/>
        <v>3.4035307686983825E-2</v>
      </c>
      <c r="O2758" s="31">
        <f t="shared" si="175"/>
        <v>1.0403002665219858</v>
      </c>
    </row>
    <row r="2759" spans="1:15" x14ac:dyDescent="0.25">
      <c r="A2759" t="s">
        <v>8496</v>
      </c>
      <c r="B2759" t="s">
        <v>5519</v>
      </c>
      <c r="C2759" s="3" t="s">
        <v>5520</v>
      </c>
      <c r="D2759" s="24">
        <v>0.92598999999999998</v>
      </c>
      <c r="E2759" s="25">
        <v>7.984</v>
      </c>
      <c r="F2759" s="25">
        <v>7.9640000000000004</v>
      </c>
      <c r="G2759" s="26">
        <v>2.0070000000000001E-2</v>
      </c>
      <c r="H2759" s="27">
        <v>0.20549999999999999</v>
      </c>
      <c r="I2759" s="26">
        <v>9.7670000000000007E-2</v>
      </c>
      <c r="J2759" s="28">
        <v>5</v>
      </c>
      <c r="K2759" s="27">
        <v>0.92577200000000004</v>
      </c>
      <c r="L2759" s="29">
        <f t="shared" si="172"/>
        <v>3.3495958603310602E-2</v>
      </c>
      <c r="M2759" s="29">
        <f t="shared" si="173"/>
        <v>1.9999999999999622E-2</v>
      </c>
      <c r="N2759" s="30">
        <f t="shared" si="174"/>
        <v>3.3393703348593998E-2</v>
      </c>
      <c r="O2759" s="31">
        <f t="shared" si="175"/>
        <v>1.0139594797900289</v>
      </c>
    </row>
    <row r="2760" spans="1:15" x14ac:dyDescent="0.25">
      <c r="A2760" t="s">
        <v>8497</v>
      </c>
      <c r="B2760" t="s">
        <v>5523</v>
      </c>
      <c r="C2760" s="3" t="s">
        <v>5524</v>
      </c>
      <c r="D2760" s="24">
        <v>0.92825100000000005</v>
      </c>
      <c r="E2760" s="25">
        <v>7.367</v>
      </c>
      <c r="F2760" s="25">
        <v>7.3419999999999996</v>
      </c>
      <c r="G2760" s="26">
        <v>2.4510000000000001E-2</v>
      </c>
      <c r="H2760" s="27">
        <v>0.26100000000000001</v>
      </c>
      <c r="I2760" s="26">
        <v>9.3890000000000001E-2</v>
      </c>
      <c r="J2760" s="28">
        <v>6</v>
      </c>
      <c r="K2760" s="27">
        <v>0.92704600000000004</v>
      </c>
      <c r="L2760" s="29">
        <f t="shared" si="172"/>
        <v>3.2898715639195809E-2</v>
      </c>
      <c r="M2760" s="29">
        <f t="shared" si="173"/>
        <v>2.5000000000000491E-2</v>
      </c>
      <c r="N2760" s="30">
        <f t="shared" si="174"/>
        <v>3.2334574238352919E-2</v>
      </c>
      <c r="O2760" s="31">
        <f t="shared" si="175"/>
        <v>1.0174796921026867</v>
      </c>
    </row>
    <row r="2761" spans="1:15" x14ac:dyDescent="0.25">
      <c r="A2761" t="s">
        <v>8498</v>
      </c>
      <c r="B2761" t="s">
        <v>5527</v>
      </c>
      <c r="C2761" s="3" t="s">
        <v>5528</v>
      </c>
      <c r="D2761" s="24">
        <v>0.92860600000000004</v>
      </c>
      <c r="E2761" s="25">
        <v>7.5359999999999996</v>
      </c>
      <c r="F2761" s="25">
        <v>7.508</v>
      </c>
      <c r="G2761" s="26">
        <v>2.8479999999999998E-2</v>
      </c>
      <c r="H2761" s="27">
        <v>0.30480000000000002</v>
      </c>
      <c r="I2761" s="26">
        <v>9.3429999999999999E-2</v>
      </c>
      <c r="J2761" s="28">
        <v>6</v>
      </c>
      <c r="K2761" s="27">
        <v>0.92704600000000004</v>
      </c>
      <c r="L2761" s="29">
        <f t="shared" si="172"/>
        <v>3.2898715639195809E-2</v>
      </c>
      <c r="M2761" s="29">
        <f t="shared" si="173"/>
        <v>2.8000000000000282E-2</v>
      </c>
      <c r="N2761" s="30">
        <f t="shared" si="174"/>
        <v>3.2168514554754175E-2</v>
      </c>
      <c r="O2761" s="31">
        <f t="shared" si="175"/>
        <v>1.0195976829981908</v>
      </c>
    </row>
    <row r="2762" spans="1:15" x14ac:dyDescent="0.25">
      <c r="A2762" t="s">
        <v>8499</v>
      </c>
      <c r="B2762" t="s">
        <v>5521</v>
      </c>
      <c r="C2762" s="3" t="s">
        <v>5522</v>
      </c>
      <c r="D2762" s="24">
        <v>0.92781899999999995</v>
      </c>
      <c r="E2762" s="25">
        <v>8.9260000000000002</v>
      </c>
      <c r="F2762" s="25">
        <v>8.9459999999999997</v>
      </c>
      <c r="G2762" s="26">
        <v>-1.985E-2</v>
      </c>
      <c r="H2762" s="27">
        <v>0.2102</v>
      </c>
      <c r="I2762" s="26">
        <v>9.4460000000000002E-2</v>
      </c>
      <c r="J2762" s="28">
        <v>6</v>
      </c>
      <c r="K2762" s="27">
        <v>0.92704600000000004</v>
      </c>
      <c r="L2762" s="29">
        <f t="shared" si="172"/>
        <v>3.2898715639195809E-2</v>
      </c>
      <c r="M2762" s="29">
        <f t="shared" si="173"/>
        <v>-1.9999999999999633E-2</v>
      </c>
      <c r="N2762" s="30">
        <f t="shared" si="174"/>
        <v>3.2536738186447672E-2</v>
      </c>
      <c r="O2762" s="31">
        <f t="shared" si="175"/>
        <v>0.98623270449335942</v>
      </c>
    </row>
    <row r="2763" spans="1:15" x14ac:dyDescent="0.25">
      <c r="A2763" t="s">
        <v>8500</v>
      </c>
      <c r="B2763" t="s">
        <v>5525</v>
      </c>
      <c r="C2763" s="3" t="s">
        <v>5526</v>
      </c>
      <c r="D2763" s="24">
        <v>0.92838799999999999</v>
      </c>
      <c r="E2763" s="25">
        <v>9.7249999999999996</v>
      </c>
      <c r="F2763" s="25">
        <v>9.7390000000000008</v>
      </c>
      <c r="G2763" s="26">
        <v>-1.4409999999999999E-2</v>
      </c>
      <c r="H2763" s="27">
        <v>0.15379999999999999</v>
      </c>
      <c r="I2763" s="26">
        <v>9.3710000000000002E-2</v>
      </c>
      <c r="J2763" s="28">
        <v>6</v>
      </c>
      <c r="K2763" s="27">
        <v>0.92704600000000004</v>
      </c>
      <c r="L2763" s="29">
        <f t="shared" si="172"/>
        <v>3.2898715639195809E-2</v>
      </c>
      <c r="M2763" s="29">
        <f t="shared" si="173"/>
        <v>-1.4000000000002181E-2</v>
      </c>
      <c r="N2763" s="30">
        <f t="shared" si="174"/>
        <v>3.2270481709725976E-2</v>
      </c>
      <c r="O2763" s="31">
        <f t="shared" si="175"/>
        <v>0.99034287193302317</v>
      </c>
    </row>
    <row r="2764" spans="1:15" x14ac:dyDescent="0.25">
      <c r="A2764" t="s">
        <v>8501</v>
      </c>
      <c r="B2764" t="s">
        <v>5529</v>
      </c>
      <c r="C2764" s="3" t="s">
        <v>5530</v>
      </c>
      <c r="D2764" s="24">
        <v>0.92973099999999997</v>
      </c>
      <c r="E2764" s="25">
        <v>11.33</v>
      </c>
      <c r="F2764" s="25">
        <v>11.31</v>
      </c>
      <c r="G2764" s="26">
        <v>1.3429999999999999E-2</v>
      </c>
      <c r="H2764" s="27">
        <v>0.14610000000000001</v>
      </c>
      <c r="I2764" s="26">
        <v>9.1950000000000004E-2</v>
      </c>
      <c r="J2764" s="28">
        <v>6</v>
      </c>
      <c r="K2764" s="27">
        <v>0.92783300000000002</v>
      </c>
      <c r="L2764" s="29">
        <f t="shared" si="172"/>
        <v>3.2530185101336033E-2</v>
      </c>
      <c r="M2764" s="29">
        <f t="shared" si="173"/>
        <v>1.9999999999999307E-2</v>
      </c>
      <c r="N2764" s="30">
        <f t="shared" si="174"/>
        <v>3.1642688128409507E-2</v>
      </c>
      <c r="O2764" s="31">
        <f t="shared" si="175"/>
        <v>1.0139594797900287</v>
      </c>
    </row>
    <row r="2765" spans="1:15" x14ac:dyDescent="0.25">
      <c r="A2765" t="s">
        <v>8502</v>
      </c>
      <c r="B2765" t="s">
        <v>5535</v>
      </c>
      <c r="C2765" s="3" t="s">
        <v>5536</v>
      </c>
      <c r="D2765" s="24">
        <v>0.93074400000000002</v>
      </c>
      <c r="E2765" s="25">
        <v>8.4960000000000004</v>
      </c>
      <c r="F2765" s="25">
        <v>8.4789999999999992</v>
      </c>
      <c r="G2765" s="26">
        <v>1.753E-2</v>
      </c>
      <c r="H2765" s="27">
        <v>0.19350000000000001</v>
      </c>
      <c r="I2765" s="26">
        <v>9.0620000000000006E-2</v>
      </c>
      <c r="J2765" s="28">
        <v>6</v>
      </c>
      <c r="K2765" s="27">
        <v>0.92783899999999997</v>
      </c>
      <c r="L2765" s="29">
        <f t="shared" si="172"/>
        <v>3.2527376666557251E-2</v>
      </c>
      <c r="M2765" s="29">
        <f t="shared" si="173"/>
        <v>1.7000000000002204E-2</v>
      </c>
      <c r="N2765" s="30">
        <f t="shared" si="174"/>
        <v>3.1169754760701329E-2</v>
      </c>
      <c r="O2765" s="31">
        <f t="shared" si="175"/>
        <v>1.0118532010269303</v>
      </c>
    </row>
    <row r="2766" spans="1:15" x14ac:dyDescent="0.25">
      <c r="A2766" t="s">
        <v>8503</v>
      </c>
      <c r="B2766" t="s">
        <v>5531</v>
      </c>
      <c r="C2766" s="3" t="s">
        <v>5532</v>
      </c>
      <c r="D2766" s="24">
        <v>0.93023100000000003</v>
      </c>
      <c r="E2766" s="25">
        <v>7.8860000000000001</v>
      </c>
      <c r="F2766" s="25">
        <v>7.907</v>
      </c>
      <c r="G2766" s="26">
        <v>-2.0379999999999999E-2</v>
      </c>
      <c r="H2766" s="27">
        <v>0.2233</v>
      </c>
      <c r="I2766" s="26">
        <v>9.1289999999999996E-2</v>
      </c>
      <c r="J2766" s="28">
        <v>6</v>
      </c>
      <c r="K2766" s="27">
        <v>0.92783899999999997</v>
      </c>
      <c r="L2766" s="29">
        <f t="shared" si="172"/>
        <v>3.2527376666557251E-2</v>
      </c>
      <c r="M2766" s="29">
        <f t="shared" si="173"/>
        <v>-2.1000000000000019E-2</v>
      </c>
      <c r="N2766" s="30">
        <f t="shared" si="174"/>
        <v>3.1409191695490543E-2</v>
      </c>
      <c r="O2766" s="31">
        <f t="shared" si="175"/>
        <v>0.98554933693937075</v>
      </c>
    </row>
    <row r="2767" spans="1:15" x14ac:dyDescent="0.25">
      <c r="A2767" t="s">
        <v>8504</v>
      </c>
      <c r="B2767" t="s">
        <v>5533</v>
      </c>
      <c r="C2767" s="3" t="s">
        <v>5534</v>
      </c>
      <c r="D2767" s="24">
        <v>0.930697</v>
      </c>
      <c r="E2767" s="25">
        <v>9.4130000000000003</v>
      </c>
      <c r="F2767" s="25">
        <v>9.4269999999999996</v>
      </c>
      <c r="G2767" s="26">
        <v>-1.338E-2</v>
      </c>
      <c r="H2767" s="27">
        <v>0.14749999999999999</v>
      </c>
      <c r="I2767" s="26">
        <v>9.0679999999999997E-2</v>
      </c>
      <c r="J2767" s="28">
        <v>6</v>
      </c>
      <c r="K2767" s="27">
        <v>0.92783899999999997</v>
      </c>
      <c r="L2767" s="29">
        <f t="shared" si="172"/>
        <v>3.2527376666557251E-2</v>
      </c>
      <c r="M2767" s="29">
        <f t="shared" si="173"/>
        <v>-1.3999999999999593E-2</v>
      </c>
      <c r="N2767" s="30">
        <f t="shared" si="174"/>
        <v>3.1191685985654256E-2</v>
      </c>
      <c r="O2767" s="31">
        <f t="shared" si="175"/>
        <v>0.99034287193302495</v>
      </c>
    </row>
    <row r="2768" spans="1:15" x14ac:dyDescent="0.25">
      <c r="A2768" t="s">
        <v>8505</v>
      </c>
      <c r="B2768" t="s">
        <v>5537</v>
      </c>
      <c r="C2768" s="3" t="s">
        <v>5538</v>
      </c>
      <c r="D2768" s="24">
        <v>0.93323800000000001</v>
      </c>
      <c r="E2768" s="25">
        <v>6.883</v>
      </c>
      <c r="F2768" s="25">
        <v>6.8330000000000002</v>
      </c>
      <c r="G2768" s="26">
        <v>4.9919999999999999E-2</v>
      </c>
      <c r="H2768" s="27">
        <v>0.57150000000000001</v>
      </c>
      <c r="I2768" s="26">
        <v>8.7349999999999997E-2</v>
      </c>
      <c r="J2768" s="28">
        <v>6</v>
      </c>
      <c r="K2768" s="27">
        <v>0.92998899999999995</v>
      </c>
      <c r="L2768" s="29">
        <f t="shared" si="172"/>
        <v>3.1522188292896783E-2</v>
      </c>
      <c r="M2768" s="29">
        <f t="shared" si="173"/>
        <v>5.0000000000000731E-2</v>
      </c>
      <c r="N2768" s="30">
        <f t="shared" si="174"/>
        <v>3.000758572235308E-2</v>
      </c>
      <c r="O2768" s="31">
        <f t="shared" si="175"/>
        <v>1.035264923841378</v>
      </c>
    </row>
    <row r="2769" spans="1:15" x14ac:dyDescent="0.25">
      <c r="A2769" t="s">
        <v>8506</v>
      </c>
      <c r="B2769" t="s">
        <v>5541</v>
      </c>
      <c r="C2769" s="3" t="s">
        <v>5542</v>
      </c>
      <c r="D2769" s="24">
        <v>0.93411200000000005</v>
      </c>
      <c r="E2769" s="25">
        <v>10.18</v>
      </c>
      <c r="F2769" s="25">
        <v>10.19</v>
      </c>
      <c r="G2769" s="26">
        <v>-1.294E-2</v>
      </c>
      <c r="H2769" s="27">
        <v>0.1502</v>
      </c>
      <c r="I2769" s="26">
        <v>8.6199999999999999E-2</v>
      </c>
      <c r="J2769" s="28">
        <v>6</v>
      </c>
      <c r="K2769" s="27">
        <v>0.93018900000000004</v>
      </c>
      <c r="L2769" s="29">
        <f t="shared" si="172"/>
        <v>3.1428800566866928E-2</v>
      </c>
      <c r="M2769" s="29">
        <f t="shared" si="173"/>
        <v>-1.0000000000000448E-2</v>
      </c>
      <c r="N2769" s="30">
        <f t="shared" si="174"/>
        <v>2.9601048752957475E-2</v>
      </c>
      <c r="O2769" s="31">
        <f t="shared" si="175"/>
        <v>0.99309249543703559</v>
      </c>
    </row>
    <row r="2770" spans="1:15" x14ac:dyDescent="0.25">
      <c r="A2770" t="s">
        <v>8507</v>
      </c>
      <c r="B2770" t="s">
        <v>5539</v>
      </c>
      <c r="C2770" s="3" t="s">
        <v>5540</v>
      </c>
      <c r="D2770" s="24">
        <v>0.93383799999999995</v>
      </c>
      <c r="E2770" s="25">
        <v>10.66</v>
      </c>
      <c r="F2770" s="25">
        <v>10.65</v>
      </c>
      <c r="G2770" s="26">
        <v>7.0829999999999999E-3</v>
      </c>
      <c r="H2770" s="27">
        <v>8.183E-2</v>
      </c>
      <c r="I2770" s="26">
        <v>8.6559999999999998E-2</v>
      </c>
      <c r="J2770" s="28">
        <v>6</v>
      </c>
      <c r="K2770" s="27">
        <v>0.93018900000000004</v>
      </c>
      <c r="L2770" s="29">
        <f t="shared" si="172"/>
        <v>3.1428800566866928E-2</v>
      </c>
      <c r="M2770" s="29">
        <f t="shared" si="173"/>
        <v>1.0000000000000427E-2</v>
      </c>
      <c r="N2770" s="30">
        <f t="shared" si="174"/>
        <v>2.9728457611754553E-2</v>
      </c>
      <c r="O2770" s="31">
        <f t="shared" si="175"/>
        <v>1.0069555500567191</v>
      </c>
    </row>
    <row r="2771" spans="1:15" x14ac:dyDescent="0.25">
      <c r="A2771" t="s">
        <v>8508</v>
      </c>
      <c r="B2771" t="s">
        <v>5543</v>
      </c>
      <c r="C2771" s="3" t="s">
        <v>5544</v>
      </c>
      <c r="D2771" s="24">
        <v>0.935867</v>
      </c>
      <c r="E2771" s="25">
        <v>14.26</v>
      </c>
      <c r="F2771" s="25">
        <v>14.26</v>
      </c>
      <c r="G2771" s="26">
        <v>7.0109999999999999E-3</v>
      </c>
      <c r="H2771" s="27">
        <v>8.3570000000000005E-2</v>
      </c>
      <c r="I2771" s="26">
        <v>8.3900000000000002E-2</v>
      </c>
      <c r="J2771" s="28">
        <v>6</v>
      </c>
      <c r="K2771" s="27">
        <v>0.93159999999999998</v>
      </c>
      <c r="L2771" s="29">
        <f t="shared" si="172"/>
        <v>3.0770520137356917E-2</v>
      </c>
      <c r="M2771" s="29">
        <f t="shared" si="173"/>
        <v>0</v>
      </c>
      <c r="N2771" s="30">
        <f t="shared" si="174"/>
        <v>2.8785866294202437E-2</v>
      </c>
      <c r="O2771" s="31">
        <f t="shared" si="175"/>
        <v>1</v>
      </c>
    </row>
    <row r="2772" spans="1:15" x14ac:dyDescent="0.25">
      <c r="A2772" t="s">
        <v>8509</v>
      </c>
      <c r="B2772" t="s">
        <v>5545</v>
      </c>
      <c r="C2772" s="3" t="s">
        <v>5546</v>
      </c>
      <c r="D2772" s="24">
        <v>0.93661799999999995</v>
      </c>
      <c r="E2772" s="25">
        <v>7.8730000000000002</v>
      </c>
      <c r="F2772" s="25">
        <v>7.8529999999999998</v>
      </c>
      <c r="G2772" s="26">
        <v>0.02</v>
      </c>
      <c r="H2772" s="27">
        <v>0.2412</v>
      </c>
      <c r="I2772" s="26">
        <v>8.2909999999999998E-2</v>
      </c>
      <c r="J2772" s="28">
        <v>6</v>
      </c>
      <c r="K2772" s="27">
        <v>0.93201199999999995</v>
      </c>
      <c r="L2772" s="29">
        <f t="shared" si="172"/>
        <v>3.0578495907571789E-2</v>
      </c>
      <c r="M2772" s="29">
        <f t="shared" si="173"/>
        <v>2.0000000000000885E-2</v>
      </c>
      <c r="N2772" s="30">
        <f t="shared" si="174"/>
        <v>2.8437500167480392E-2</v>
      </c>
      <c r="O2772" s="31">
        <f t="shared" si="175"/>
        <v>1.0139594797900298</v>
      </c>
    </row>
    <row r="2773" spans="1:15" x14ac:dyDescent="0.25">
      <c r="A2773" t="s">
        <v>8510</v>
      </c>
      <c r="B2773" t="s">
        <v>5547</v>
      </c>
      <c r="C2773" s="3" t="s">
        <v>5548</v>
      </c>
      <c r="D2773" s="24">
        <v>0.94168200000000002</v>
      </c>
      <c r="E2773" s="25">
        <v>9.4529999999999994</v>
      </c>
      <c r="F2773" s="25">
        <v>9.4659999999999993</v>
      </c>
      <c r="G2773" s="26">
        <v>-1.282E-2</v>
      </c>
      <c r="H2773" s="27">
        <v>0.1681</v>
      </c>
      <c r="I2773" s="26">
        <v>7.6270000000000004E-2</v>
      </c>
      <c r="J2773" s="28">
        <v>6</v>
      </c>
      <c r="K2773" s="27">
        <v>0.93637999999999999</v>
      </c>
      <c r="L2773" s="29">
        <f t="shared" si="172"/>
        <v>2.8547870907063962E-2</v>
      </c>
      <c r="M2773" s="29">
        <f t="shared" si="173"/>
        <v>-1.2999999999999075E-2</v>
      </c>
      <c r="N2773" s="30">
        <f t="shared" si="174"/>
        <v>2.609573092402093E-2</v>
      </c>
      <c r="O2773" s="31">
        <f t="shared" si="175"/>
        <v>0.99102956326407976</v>
      </c>
    </row>
    <row r="2774" spans="1:15" x14ac:dyDescent="0.25">
      <c r="A2774" t="s">
        <v>8511</v>
      </c>
      <c r="B2774" t="s">
        <v>5551</v>
      </c>
      <c r="C2774" s="3" t="s">
        <v>5552</v>
      </c>
      <c r="D2774" s="24">
        <v>0.94202399999999997</v>
      </c>
      <c r="E2774" s="25">
        <v>8.3889999999999993</v>
      </c>
      <c r="F2774" s="25">
        <v>8.4</v>
      </c>
      <c r="G2774" s="26">
        <v>-1.1480000000000001E-2</v>
      </c>
      <c r="H2774" s="27">
        <v>0.15140000000000001</v>
      </c>
      <c r="I2774" s="26">
        <v>7.5819999999999999E-2</v>
      </c>
      <c r="J2774" s="28">
        <v>6</v>
      </c>
      <c r="K2774" s="27">
        <v>0.93637999999999999</v>
      </c>
      <c r="L2774" s="29">
        <f t="shared" si="172"/>
        <v>2.8547870907063962E-2</v>
      </c>
      <c r="M2774" s="29">
        <f t="shared" si="173"/>
        <v>-1.1000000000000535E-2</v>
      </c>
      <c r="N2774" s="30">
        <f t="shared" si="174"/>
        <v>2.5938032520509049E-2</v>
      </c>
      <c r="O2774" s="31">
        <f t="shared" si="175"/>
        <v>0.99240437468581821</v>
      </c>
    </row>
    <row r="2775" spans="1:15" x14ac:dyDescent="0.25">
      <c r="A2775" t="s">
        <v>8512</v>
      </c>
      <c r="B2775" t="s">
        <v>5549</v>
      </c>
      <c r="C2775" s="3" t="s">
        <v>5550</v>
      </c>
      <c r="D2775" s="24">
        <v>0.94182399999999999</v>
      </c>
      <c r="E2775" s="25">
        <v>8.8659999999999997</v>
      </c>
      <c r="F2775" s="25">
        <v>8.859</v>
      </c>
      <c r="G2775" s="26">
        <v>6.4200000000000004E-3</v>
      </c>
      <c r="H2775" s="27">
        <v>8.4379999999999997E-2</v>
      </c>
      <c r="I2775" s="26">
        <v>7.6090000000000005E-2</v>
      </c>
      <c r="J2775" s="28">
        <v>6</v>
      </c>
      <c r="K2775" s="27">
        <v>0.93637999999999999</v>
      </c>
      <c r="L2775" s="29">
        <f t="shared" si="172"/>
        <v>2.8547870907063962E-2</v>
      </c>
      <c r="M2775" s="29">
        <f t="shared" si="173"/>
        <v>7.0000000000002803E-3</v>
      </c>
      <c r="N2775" s="30">
        <f t="shared" si="174"/>
        <v>2.6030246857023431E-2</v>
      </c>
      <c r="O2775" s="31">
        <f t="shared" si="175"/>
        <v>1.0048638204237856</v>
      </c>
    </row>
    <row r="2776" spans="1:15" x14ac:dyDescent="0.25">
      <c r="A2776" t="s">
        <v>8513</v>
      </c>
      <c r="B2776" t="s">
        <v>5553</v>
      </c>
      <c r="C2776" s="3" t="s">
        <v>5554</v>
      </c>
      <c r="D2776" s="24">
        <v>0.94268399999999997</v>
      </c>
      <c r="E2776" s="25">
        <v>9.2469999999999999</v>
      </c>
      <c r="F2776" s="25">
        <v>9.2629999999999999</v>
      </c>
      <c r="G2776" s="26">
        <v>-1.542E-2</v>
      </c>
      <c r="H2776" s="27">
        <v>0.20569999999999999</v>
      </c>
      <c r="I2776" s="26">
        <v>7.4959999999999999E-2</v>
      </c>
      <c r="J2776" s="28">
        <v>6</v>
      </c>
      <c r="K2776" s="27">
        <v>0.93669899999999995</v>
      </c>
      <c r="L2776" s="29">
        <f t="shared" si="172"/>
        <v>2.8399943413277999E-2</v>
      </c>
      <c r="M2776" s="29">
        <f t="shared" si="173"/>
        <v>-1.6000000000000313E-2</v>
      </c>
      <c r="N2776" s="30">
        <f t="shared" si="174"/>
        <v>2.5633864055396277E-2</v>
      </c>
      <c r="O2776" s="31">
        <f t="shared" si="175"/>
        <v>0.98897091638093126</v>
      </c>
    </row>
    <row r="2777" spans="1:15" x14ac:dyDescent="0.25">
      <c r="A2777" t="s">
        <v>8514</v>
      </c>
      <c r="B2777" t="s">
        <v>5555</v>
      </c>
      <c r="C2777" s="3" t="s">
        <v>5556</v>
      </c>
      <c r="D2777" s="24">
        <v>0.94325199999999998</v>
      </c>
      <c r="E2777" s="25">
        <v>8.0530000000000008</v>
      </c>
      <c r="F2777" s="25">
        <v>8.0449999999999999</v>
      </c>
      <c r="G2777" s="26">
        <v>8.6990000000000001E-3</v>
      </c>
      <c r="H2777" s="27">
        <v>0.1172</v>
      </c>
      <c r="I2777" s="26">
        <v>7.4209999999999998E-2</v>
      </c>
      <c r="J2777" s="28">
        <v>6</v>
      </c>
      <c r="K2777" s="27">
        <v>0.93692600000000004</v>
      </c>
      <c r="L2777" s="29">
        <f t="shared" si="172"/>
        <v>2.8294709070360458E-2</v>
      </c>
      <c r="M2777" s="29">
        <f t="shared" si="173"/>
        <v>8.0000000000009768E-3</v>
      </c>
      <c r="N2777" s="30">
        <f t="shared" si="174"/>
        <v>2.5372265280910189E-2</v>
      </c>
      <c r="O2777" s="31">
        <f t="shared" si="175"/>
        <v>1.0055605803984689</v>
      </c>
    </row>
    <row r="2778" spans="1:15" x14ac:dyDescent="0.25">
      <c r="A2778" t="s">
        <v>8515</v>
      </c>
      <c r="B2778" t="s">
        <v>5557</v>
      </c>
      <c r="C2778" s="3" t="s">
        <v>5558</v>
      </c>
      <c r="D2778" s="24">
        <v>0.94377</v>
      </c>
      <c r="E2778" s="25">
        <v>8.1419999999999995</v>
      </c>
      <c r="F2778" s="25">
        <v>8.125</v>
      </c>
      <c r="G2778" s="26">
        <v>1.6469999999999999E-2</v>
      </c>
      <c r="H2778" s="27">
        <v>0.224</v>
      </c>
      <c r="I2778" s="26">
        <v>7.3539999999999994E-2</v>
      </c>
      <c r="J2778" s="28">
        <v>6</v>
      </c>
      <c r="K2778" s="27">
        <v>0.93710400000000005</v>
      </c>
      <c r="L2778" s="29">
        <f t="shared" si="172"/>
        <v>2.8212208344106066E-2</v>
      </c>
      <c r="M2778" s="29">
        <f t="shared" si="173"/>
        <v>1.6999999999999672E-2</v>
      </c>
      <c r="N2778" s="30">
        <f t="shared" si="174"/>
        <v>2.5133831868605995E-2</v>
      </c>
      <c r="O2778" s="31">
        <f t="shared" si="175"/>
        <v>1.0118532010269286</v>
      </c>
    </row>
    <row r="2779" spans="1:15" x14ac:dyDescent="0.25">
      <c r="A2779" t="s">
        <v>8516</v>
      </c>
      <c r="B2779" t="s">
        <v>5559</v>
      </c>
      <c r="C2779" s="3" t="s">
        <v>5560</v>
      </c>
      <c r="D2779" s="24">
        <v>0.94448299999999996</v>
      </c>
      <c r="E2779" s="25">
        <v>8.2859999999999996</v>
      </c>
      <c r="F2779" s="25">
        <v>8.3070000000000004</v>
      </c>
      <c r="G2779" s="26">
        <v>-2.0410000000000001E-2</v>
      </c>
      <c r="H2779" s="27">
        <v>0.28120000000000001</v>
      </c>
      <c r="I2779" s="26">
        <v>7.2599999999999998E-2</v>
      </c>
      <c r="J2779" s="28">
        <v>6</v>
      </c>
      <c r="K2779" s="27">
        <v>0.93747400000000003</v>
      </c>
      <c r="L2779" s="29">
        <f t="shared" si="172"/>
        <v>2.8040768200894205E-2</v>
      </c>
      <c r="M2779" s="29">
        <f t="shared" si="173"/>
        <v>-2.1000000000001157E-2</v>
      </c>
      <c r="N2779" s="30">
        <f t="shared" si="174"/>
        <v>2.480585465335599E-2</v>
      </c>
      <c r="O2779" s="31">
        <f t="shared" si="175"/>
        <v>0.98554933693936997</v>
      </c>
    </row>
    <row r="2780" spans="1:15" x14ac:dyDescent="0.25">
      <c r="A2780" t="s">
        <v>8517</v>
      </c>
      <c r="B2780" t="s">
        <v>5561</v>
      </c>
      <c r="C2780" s="3" t="s">
        <v>5562</v>
      </c>
      <c r="D2780" s="24">
        <v>0.94586999999999999</v>
      </c>
      <c r="E2780" s="25">
        <v>8.734</v>
      </c>
      <c r="F2780" s="25">
        <v>8.7520000000000007</v>
      </c>
      <c r="G2780" s="26">
        <v>-1.883E-2</v>
      </c>
      <c r="H2780" s="27">
        <v>0.26600000000000001</v>
      </c>
      <c r="I2780" s="26">
        <v>7.0779999999999996E-2</v>
      </c>
      <c r="J2780" s="28">
        <v>6</v>
      </c>
      <c r="K2780" s="27">
        <v>0.93851399999999996</v>
      </c>
      <c r="L2780" s="29">
        <f t="shared" si="172"/>
        <v>2.755924453715038E-2</v>
      </c>
      <c r="M2780" s="29">
        <f t="shared" si="173"/>
        <v>-1.7999999999999957E-2</v>
      </c>
      <c r="N2780" s="30">
        <f t="shared" si="174"/>
        <v>2.4168548759171033E-2</v>
      </c>
      <c r="O2780" s="31">
        <f t="shared" si="175"/>
        <v>0.98760086144537251</v>
      </c>
    </row>
    <row r="2781" spans="1:15" x14ac:dyDescent="0.25">
      <c r="A2781" t="s">
        <v>8518</v>
      </c>
      <c r="B2781" t="s">
        <v>5563</v>
      </c>
      <c r="C2781" s="3" t="s">
        <v>5564</v>
      </c>
      <c r="D2781" s="24">
        <v>0.94673700000000005</v>
      </c>
      <c r="E2781" s="25">
        <v>8.7539999999999996</v>
      </c>
      <c r="F2781" s="25">
        <v>8.7479999999999993</v>
      </c>
      <c r="G2781" s="26">
        <v>6.6220000000000003E-3</v>
      </c>
      <c r="H2781" s="27">
        <v>9.5070000000000002E-2</v>
      </c>
      <c r="I2781" s="26">
        <v>6.9650000000000004E-2</v>
      </c>
      <c r="J2781" s="28">
        <v>6</v>
      </c>
      <c r="K2781" s="27">
        <v>0.93903700000000001</v>
      </c>
      <c r="L2781" s="29">
        <f t="shared" si="172"/>
        <v>2.7317295295920599E-2</v>
      </c>
      <c r="M2781" s="29">
        <f t="shared" si="173"/>
        <v>6.0000000000000418E-3</v>
      </c>
      <c r="N2781" s="30">
        <f t="shared" si="174"/>
        <v>2.3770649626229896E-2</v>
      </c>
      <c r="O2781" s="31">
        <f t="shared" si="175"/>
        <v>1.0041675432389732</v>
      </c>
    </row>
    <row r="2782" spans="1:15" x14ac:dyDescent="0.25">
      <c r="A2782" t="s">
        <v>8519</v>
      </c>
      <c r="B2782" t="s">
        <v>5569</v>
      </c>
      <c r="C2782" s="3" t="s">
        <v>5570</v>
      </c>
      <c r="D2782" s="24">
        <v>0.94783600000000001</v>
      </c>
      <c r="E2782" s="25">
        <v>8.8529999999999998</v>
      </c>
      <c r="F2782" s="25">
        <v>8.8170000000000002</v>
      </c>
      <c r="G2782" s="26">
        <v>3.5979999999999998E-2</v>
      </c>
      <c r="H2782" s="27">
        <v>0.52749999999999997</v>
      </c>
      <c r="I2782" s="26">
        <v>6.8210000000000007E-2</v>
      </c>
      <c r="J2782" s="28">
        <v>6</v>
      </c>
      <c r="K2782" s="27">
        <v>0.93911500000000003</v>
      </c>
      <c r="L2782" s="29">
        <f t="shared" si="172"/>
        <v>2.7281222635552382E-2</v>
      </c>
      <c r="M2782" s="29">
        <f t="shared" si="173"/>
        <v>3.6000000000000004E-2</v>
      </c>
      <c r="N2782" s="30">
        <f t="shared" si="174"/>
        <v>2.3266800274269188E-2</v>
      </c>
      <c r="O2782" s="31">
        <f t="shared" si="175"/>
        <v>1.0252672378885939</v>
      </c>
    </row>
    <row r="2783" spans="1:15" x14ac:dyDescent="0.25">
      <c r="A2783" t="s">
        <v>8520</v>
      </c>
      <c r="B2783" t="s">
        <v>5565</v>
      </c>
      <c r="C2783" s="3" t="s">
        <v>5566</v>
      </c>
      <c r="D2783" s="24">
        <v>0.94746600000000003</v>
      </c>
      <c r="E2783" s="25">
        <v>9.6560000000000006</v>
      </c>
      <c r="F2783" s="25">
        <v>9.65</v>
      </c>
      <c r="G2783" s="26">
        <v>5.8700000000000002E-3</v>
      </c>
      <c r="H2783" s="27">
        <v>8.5459999999999994E-2</v>
      </c>
      <c r="I2783" s="26">
        <v>6.8690000000000001E-2</v>
      </c>
      <c r="J2783" s="28">
        <v>6</v>
      </c>
      <c r="K2783" s="27">
        <v>0.93911500000000003</v>
      </c>
      <c r="L2783" s="29">
        <f t="shared" si="172"/>
        <v>2.7281222635552382E-2</v>
      </c>
      <c r="M2783" s="29">
        <f t="shared" si="173"/>
        <v>5.9999999999997226E-3</v>
      </c>
      <c r="N2783" s="30">
        <f t="shared" si="174"/>
        <v>2.3436365821443744E-2</v>
      </c>
      <c r="O2783" s="31">
        <f t="shared" si="175"/>
        <v>1.0041675432389729</v>
      </c>
    </row>
    <row r="2784" spans="1:15" x14ac:dyDescent="0.25">
      <c r="A2784" t="s">
        <v>8521</v>
      </c>
      <c r="B2784" t="s">
        <v>5567</v>
      </c>
      <c r="C2784" s="3" t="s">
        <v>5568</v>
      </c>
      <c r="D2784" s="24">
        <v>0.94758399999999998</v>
      </c>
      <c r="E2784" s="25">
        <v>12.21</v>
      </c>
      <c r="F2784" s="25">
        <v>12.19</v>
      </c>
      <c r="G2784" s="26">
        <v>1.465E-2</v>
      </c>
      <c r="H2784" s="27">
        <v>0.2137</v>
      </c>
      <c r="I2784" s="26">
        <v>6.8540000000000004E-2</v>
      </c>
      <c r="J2784" s="28">
        <v>6</v>
      </c>
      <c r="K2784" s="27">
        <v>0.93911500000000003</v>
      </c>
      <c r="L2784" s="29">
        <f t="shared" si="172"/>
        <v>2.7281222635552382E-2</v>
      </c>
      <c r="M2784" s="29">
        <f t="shared" si="173"/>
        <v>2.0000000000000885E-2</v>
      </c>
      <c r="N2784" s="30">
        <f t="shared" si="174"/>
        <v>2.3382280969929753E-2</v>
      </c>
      <c r="O2784" s="31">
        <f t="shared" si="175"/>
        <v>1.0139594797900298</v>
      </c>
    </row>
    <row r="2785" spans="1:15" x14ac:dyDescent="0.25">
      <c r="A2785" t="s">
        <v>8522</v>
      </c>
      <c r="B2785" t="s">
        <v>5571</v>
      </c>
      <c r="C2785" s="3" t="s">
        <v>5572</v>
      </c>
      <c r="D2785" s="24">
        <v>0.94865699999999997</v>
      </c>
      <c r="E2785" s="25">
        <v>10.29</v>
      </c>
      <c r="F2785" s="25">
        <v>10.28</v>
      </c>
      <c r="G2785" s="26">
        <v>1.2699999999999999E-2</v>
      </c>
      <c r="H2785" s="27">
        <v>0.18920000000000001</v>
      </c>
      <c r="I2785" s="26">
        <v>6.7129999999999995E-2</v>
      </c>
      <c r="J2785" s="28">
        <v>6</v>
      </c>
      <c r="K2785" s="27">
        <v>0.93959199999999998</v>
      </c>
      <c r="L2785" s="29">
        <f t="shared" si="172"/>
        <v>2.7060689606911659E-2</v>
      </c>
      <c r="M2785" s="29">
        <f t="shared" si="173"/>
        <v>9.9999999999988362E-3</v>
      </c>
      <c r="N2785" s="30">
        <f t="shared" si="174"/>
        <v>2.2890784341791572E-2</v>
      </c>
      <c r="O2785" s="31">
        <f t="shared" si="175"/>
        <v>1.006955550056718</v>
      </c>
    </row>
    <row r="2786" spans="1:15" x14ac:dyDescent="0.25">
      <c r="A2786" t="s">
        <v>8523</v>
      </c>
      <c r="B2786" t="s">
        <v>5573</v>
      </c>
      <c r="C2786" s="3" t="s">
        <v>5574</v>
      </c>
      <c r="D2786" s="24">
        <v>0.94916100000000003</v>
      </c>
      <c r="E2786" s="25">
        <v>9.0589999999999993</v>
      </c>
      <c r="F2786" s="25">
        <v>9.0470000000000006</v>
      </c>
      <c r="G2786" s="26">
        <v>1.2529999999999999E-2</v>
      </c>
      <c r="H2786" s="27">
        <v>0.18859999999999999</v>
      </c>
      <c r="I2786" s="26">
        <v>6.6470000000000001E-2</v>
      </c>
      <c r="J2786" s="28">
        <v>6</v>
      </c>
      <c r="K2786" s="27">
        <v>0.93975399999999998</v>
      </c>
      <c r="L2786" s="29">
        <f t="shared" si="172"/>
        <v>2.6985817064822462E-2</v>
      </c>
      <c r="M2786" s="29">
        <f t="shared" si="173"/>
        <v>1.1999999999998765E-2</v>
      </c>
      <c r="N2786" s="30">
        <f t="shared" si="174"/>
        <v>2.2660114779141226E-2</v>
      </c>
      <c r="O2786" s="31">
        <f t="shared" si="175"/>
        <v>1.0083524548945941</v>
      </c>
    </row>
    <row r="2787" spans="1:15" x14ac:dyDescent="0.25">
      <c r="A2787" t="s">
        <v>8524</v>
      </c>
      <c r="B2787" t="s">
        <v>5579</v>
      </c>
      <c r="C2787" s="3" t="s">
        <v>5580</v>
      </c>
      <c r="D2787" s="24">
        <v>0.95086700000000002</v>
      </c>
      <c r="E2787" s="25">
        <v>11.47</v>
      </c>
      <c r="F2787" s="25">
        <v>11.48</v>
      </c>
      <c r="G2787" s="26">
        <v>-7.9930000000000001E-3</v>
      </c>
      <c r="H2787" s="27">
        <v>0.1244</v>
      </c>
      <c r="I2787" s="26">
        <v>6.4240000000000005E-2</v>
      </c>
      <c r="J2787" s="28">
        <v>6</v>
      </c>
      <c r="K2787" s="27">
        <v>0.93986800000000004</v>
      </c>
      <c r="L2787" s="29">
        <f t="shared" si="172"/>
        <v>2.6933136716329305E-2</v>
      </c>
      <c r="M2787" s="29">
        <f t="shared" si="173"/>
        <v>-9.9999999999991571E-3</v>
      </c>
      <c r="N2787" s="30">
        <f t="shared" si="174"/>
        <v>2.1880224603595278E-2</v>
      </c>
      <c r="O2787" s="31">
        <f t="shared" si="175"/>
        <v>0.99309249543703648</v>
      </c>
    </row>
    <row r="2788" spans="1:15" x14ac:dyDescent="0.25">
      <c r="A2788" t="s">
        <v>8525</v>
      </c>
      <c r="B2788" t="s">
        <v>5585</v>
      </c>
      <c r="C2788" s="3" t="s">
        <v>5586</v>
      </c>
      <c r="D2788" s="24">
        <v>0.95131699999999997</v>
      </c>
      <c r="E2788" s="25">
        <v>8.2059999999999995</v>
      </c>
      <c r="F2788" s="25">
        <v>8.218</v>
      </c>
      <c r="G2788" s="26">
        <v>-1.2710000000000001E-2</v>
      </c>
      <c r="H2788" s="27">
        <v>0.19980000000000001</v>
      </c>
      <c r="I2788" s="26">
        <v>6.3649999999999998E-2</v>
      </c>
      <c r="J2788" s="28">
        <v>6</v>
      </c>
      <c r="K2788" s="27">
        <v>0.93986800000000004</v>
      </c>
      <c r="L2788" s="29">
        <f t="shared" si="172"/>
        <v>2.6933136716329305E-2</v>
      </c>
      <c r="M2788" s="29">
        <f t="shared" si="173"/>
        <v>-1.2000000000000084E-2</v>
      </c>
      <c r="N2788" s="30">
        <f t="shared" si="174"/>
        <v>2.1674742357395894E-2</v>
      </c>
      <c r="O2788" s="31">
        <f t="shared" si="175"/>
        <v>0.99171673073829314</v>
      </c>
    </row>
    <row r="2789" spans="1:15" x14ac:dyDescent="0.25">
      <c r="A2789" t="s">
        <v>8526</v>
      </c>
      <c r="B2789" t="s">
        <v>5577</v>
      </c>
      <c r="C2789" s="3" t="s">
        <v>5578</v>
      </c>
      <c r="D2789" s="24">
        <v>0.95010300000000003</v>
      </c>
      <c r="E2789" s="25">
        <v>8.2609999999999992</v>
      </c>
      <c r="F2789" s="25">
        <v>8.2669999999999995</v>
      </c>
      <c r="G2789" s="26">
        <v>-5.79E-3</v>
      </c>
      <c r="H2789" s="27">
        <v>8.8760000000000006E-2</v>
      </c>
      <c r="I2789" s="26">
        <v>6.5240000000000006E-2</v>
      </c>
      <c r="J2789" s="28">
        <v>6</v>
      </c>
      <c r="K2789" s="27">
        <v>0.93986800000000004</v>
      </c>
      <c r="L2789" s="29">
        <f t="shared" si="172"/>
        <v>2.6933136716329305E-2</v>
      </c>
      <c r="M2789" s="29">
        <f t="shared" si="173"/>
        <v>-6.0000000000000088E-3</v>
      </c>
      <c r="N2789" s="30">
        <f t="shared" si="174"/>
        <v>2.2229310598680579E-2</v>
      </c>
      <c r="O2789" s="31">
        <f t="shared" si="175"/>
        <v>0.99584975309445811</v>
      </c>
    </row>
    <row r="2790" spans="1:15" x14ac:dyDescent="0.25">
      <c r="A2790" t="s">
        <v>8527</v>
      </c>
      <c r="B2790" t="s">
        <v>5581</v>
      </c>
      <c r="C2790" s="3" t="s">
        <v>5582</v>
      </c>
      <c r="D2790" s="24">
        <v>0.951179</v>
      </c>
      <c r="E2790" s="25">
        <v>8.4009999999999998</v>
      </c>
      <c r="F2790" s="25">
        <v>8.4109999999999996</v>
      </c>
      <c r="G2790" s="26">
        <v>-9.5910000000000006E-3</v>
      </c>
      <c r="H2790" s="27">
        <v>0.15029999999999999</v>
      </c>
      <c r="I2790" s="26">
        <v>6.3829999999999998E-2</v>
      </c>
      <c r="J2790" s="28">
        <v>6</v>
      </c>
      <c r="K2790" s="27">
        <v>0.93986800000000004</v>
      </c>
      <c r="L2790" s="29">
        <f t="shared" si="172"/>
        <v>2.6933136716329305E-2</v>
      </c>
      <c r="M2790" s="29">
        <f t="shared" si="173"/>
        <v>-1.0000000000000448E-2</v>
      </c>
      <c r="N2790" s="30">
        <f t="shared" si="174"/>
        <v>2.1737746577754569E-2</v>
      </c>
      <c r="O2790" s="31">
        <f t="shared" si="175"/>
        <v>0.99309249543703559</v>
      </c>
    </row>
    <row r="2791" spans="1:15" x14ac:dyDescent="0.25">
      <c r="A2791" t="s">
        <v>8528</v>
      </c>
      <c r="B2791" t="s">
        <v>5575</v>
      </c>
      <c r="C2791" s="3" t="s">
        <v>5576</v>
      </c>
      <c r="D2791" s="24">
        <v>0.95008099999999995</v>
      </c>
      <c r="E2791" s="25">
        <v>8.3279999999999994</v>
      </c>
      <c r="F2791" s="25">
        <v>8.3130000000000006</v>
      </c>
      <c r="G2791" s="26">
        <v>1.4420000000000001E-2</v>
      </c>
      <c r="H2791" s="27">
        <v>0.221</v>
      </c>
      <c r="I2791" s="26">
        <v>6.5269999999999995E-2</v>
      </c>
      <c r="J2791" s="28">
        <v>6</v>
      </c>
      <c r="K2791" s="27">
        <v>0.93986800000000004</v>
      </c>
      <c r="L2791" s="29">
        <f t="shared" si="172"/>
        <v>2.6933136716329305E-2</v>
      </c>
      <c r="M2791" s="29">
        <f t="shared" si="173"/>
        <v>1.4999999999998717E-2</v>
      </c>
      <c r="N2791" s="30">
        <f t="shared" si="174"/>
        <v>2.2239366970697533E-2</v>
      </c>
      <c r="O2791" s="31">
        <f t="shared" si="175"/>
        <v>1.0104514464867629</v>
      </c>
    </row>
    <row r="2792" spans="1:15" x14ac:dyDescent="0.25">
      <c r="A2792" t="s">
        <v>8529</v>
      </c>
      <c r="B2792" t="s">
        <v>5583</v>
      </c>
      <c r="C2792" s="3" t="s">
        <v>5584</v>
      </c>
      <c r="D2792" s="24">
        <v>0.95118400000000003</v>
      </c>
      <c r="E2792" s="25">
        <v>8.1630000000000003</v>
      </c>
      <c r="F2792" s="25">
        <v>8.1850000000000005</v>
      </c>
      <c r="G2792" s="26">
        <v>-2.273E-2</v>
      </c>
      <c r="H2792" s="27">
        <v>0.35620000000000002</v>
      </c>
      <c r="I2792" s="26">
        <v>6.3820000000000002E-2</v>
      </c>
      <c r="J2792" s="28">
        <v>6</v>
      </c>
      <c r="K2792" s="27">
        <v>0.93986800000000004</v>
      </c>
      <c r="L2792" s="29">
        <f t="shared" si="172"/>
        <v>2.6933136716329305E-2</v>
      </c>
      <c r="M2792" s="29">
        <f t="shared" si="173"/>
        <v>-2.2000000000000183E-2</v>
      </c>
      <c r="N2792" s="30">
        <f t="shared" si="174"/>
        <v>2.1735463656556528E-2</v>
      </c>
      <c r="O2792" s="31">
        <f t="shared" si="175"/>
        <v>0.98486644289555048</v>
      </c>
    </row>
    <row r="2793" spans="1:15" x14ac:dyDescent="0.25">
      <c r="A2793" t="s">
        <v>8530</v>
      </c>
      <c r="B2793" t="s">
        <v>5587</v>
      </c>
      <c r="C2793" s="3" t="s">
        <v>5588</v>
      </c>
      <c r="D2793" s="24">
        <v>0.95252300000000001</v>
      </c>
      <c r="E2793" s="25">
        <v>8.5990000000000002</v>
      </c>
      <c r="F2793" s="25">
        <v>8.609</v>
      </c>
      <c r="G2793" s="26">
        <v>-1.0120000000000001E-2</v>
      </c>
      <c r="H2793" s="27">
        <v>0.16309999999999999</v>
      </c>
      <c r="I2793" s="26">
        <v>6.207E-2</v>
      </c>
      <c r="J2793" s="28">
        <v>6</v>
      </c>
      <c r="K2793" s="27">
        <v>0.94072199999999995</v>
      </c>
      <c r="L2793" s="29">
        <f t="shared" si="172"/>
        <v>2.6538699318448902E-2</v>
      </c>
      <c r="M2793" s="29">
        <f t="shared" si="173"/>
        <v>-1.0000000000000448E-2</v>
      </c>
      <c r="N2793" s="30">
        <f t="shared" si="174"/>
        <v>2.1124528878079193E-2</v>
      </c>
      <c r="O2793" s="31">
        <f t="shared" si="175"/>
        <v>0.99309249543703559</v>
      </c>
    </row>
    <row r="2794" spans="1:15" x14ac:dyDescent="0.25">
      <c r="A2794" t="s">
        <v>8531</v>
      </c>
      <c r="B2794" t="s">
        <v>5589</v>
      </c>
      <c r="C2794" s="3" t="s">
        <v>5590</v>
      </c>
      <c r="D2794" s="24">
        <v>0.95306800000000003</v>
      </c>
      <c r="E2794" s="25">
        <v>10.69</v>
      </c>
      <c r="F2794" s="25">
        <v>10.68</v>
      </c>
      <c r="G2794" s="26">
        <v>1.0109999999999999E-2</v>
      </c>
      <c r="H2794" s="27">
        <v>0.16470000000000001</v>
      </c>
      <c r="I2794" s="26">
        <v>6.1359999999999998E-2</v>
      </c>
      <c r="J2794" s="28">
        <v>6</v>
      </c>
      <c r="K2794" s="27">
        <v>0.94092500000000001</v>
      </c>
      <c r="L2794" s="29">
        <f t="shared" si="172"/>
        <v>2.6444992283953667E-2</v>
      </c>
      <c r="M2794" s="29">
        <f t="shared" si="173"/>
        <v>1.0000000000000427E-2</v>
      </c>
      <c r="N2794" s="30">
        <f t="shared" si="174"/>
        <v>2.0876111983697609E-2</v>
      </c>
      <c r="O2794" s="31">
        <f t="shared" si="175"/>
        <v>1.0069555500567191</v>
      </c>
    </row>
    <row r="2795" spans="1:15" x14ac:dyDescent="0.25">
      <c r="A2795" t="s">
        <v>8532</v>
      </c>
      <c r="B2795" t="s">
        <v>5591</v>
      </c>
      <c r="C2795" s="3" t="s">
        <v>5592</v>
      </c>
      <c r="D2795" s="24">
        <v>0.95706000000000002</v>
      </c>
      <c r="E2795" s="25">
        <v>10.33</v>
      </c>
      <c r="F2795" s="25">
        <v>10.34</v>
      </c>
      <c r="G2795" s="26">
        <v>-4.5820000000000001E-3</v>
      </c>
      <c r="H2795" s="27">
        <v>8.1619999999999998E-2</v>
      </c>
      <c r="I2795" s="26">
        <v>5.6129999999999999E-2</v>
      </c>
      <c r="J2795" s="28">
        <v>6</v>
      </c>
      <c r="K2795" s="27">
        <v>0.94452899999999995</v>
      </c>
      <c r="L2795" s="29">
        <f t="shared" si="172"/>
        <v>2.4784703335977917E-2</v>
      </c>
      <c r="M2795" s="29">
        <f t="shared" si="173"/>
        <v>-9.9999999999989958E-3</v>
      </c>
      <c r="N2795" s="30">
        <f t="shared" si="174"/>
        <v>1.9060834582515347E-2</v>
      </c>
      <c r="O2795" s="31">
        <f t="shared" si="175"/>
        <v>0.99309249543703659</v>
      </c>
    </row>
    <row r="2796" spans="1:15" x14ac:dyDescent="0.25">
      <c r="A2796" t="s">
        <v>8533</v>
      </c>
      <c r="B2796" t="s">
        <v>5593</v>
      </c>
      <c r="C2796" s="3" t="s">
        <v>5594</v>
      </c>
      <c r="D2796" s="24">
        <v>0.95813599999999999</v>
      </c>
      <c r="E2796" s="25">
        <v>10.98</v>
      </c>
      <c r="F2796" s="25">
        <v>10.98</v>
      </c>
      <c r="G2796" s="26">
        <v>2.4910000000000002E-3</v>
      </c>
      <c r="H2796" s="27">
        <v>4.5519999999999998E-2</v>
      </c>
      <c r="I2796" s="26">
        <v>5.4719999999999998E-2</v>
      </c>
      <c r="J2796" s="28">
        <v>6</v>
      </c>
      <c r="K2796" s="27">
        <v>0.94524300000000006</v>
      </c>
      <c r="L2796" s="29">
        <f t="shared" si="172"/>
        <v>2.4456530122665455E-2</v>
      </c>
      <c r="M2796" s="29">
        <f t="shared" si="173"/>
        <v>0</v>
      </c>
      <c r="N2796" s="30">
        <f t="shared" si="174"/>
        <v>1.8572841800894184E-2</v>
      </c>
      <c r="O2796" s="31">
        <f t="shared" si="175"/>
        <v>1</v>
      </c>
    </row>
    <row r="2797" spans="1:15" x14ac:dyDescent="0.25">
      <c r="A2797" t="s">
        <v>8534</v>
      </c>
      <c r="B2797" t="s">
        <v>5595</v>
      </c>
      <c r="C2797" s="3" t="s">
        <v>5596</v>
      </c>
      <c r="D2797" s="24">
        <v>0.95846799999999999</v>
      </c>
      <c r="E2797" s="25">
        <v>9.0030000000000001</v>
      </c>
      <c r="F2797" s="25">
        <v>9.0139999999999993</v>
      </c>
      <c r="G2797" s="26">
        <v>-1.1379999999999999E-2</v>
      </c>
      <c r="H2797" s="27">
        <v>0.20960000000000001</v>
      </c>
      <c r="I2797" s="26">
        <v>5.4289999999999998E-2</v>
      </c>
      <c r="J2797" s="28">
        <v>6</v>
      </c>
      <c r="K2797" s="27">
        <v>0.94524300000000006</v>
      </c>
      <c r="L2797" s="29">
        <f t="shared" si="172"/>
        <v>2.4456530122665455E-2</v>
      </c>
      <c r="M2797" s="29">
        <f t="shared" si="173"/>
        <v>-1.0999999999999729E-2</v>
      </c>
      <c r="N2797" s="30">
        <f t="shared" si="174"/>
        <v>1.8422382165587114E-2</v>
      </c>
      <c r="O2797" s="31">
        <f t="shared" si="175"/>
        <v>0.99240437468581877</v>
      </c>
    </row>
    <row r="2798" spans="1:15" x14ac:dyDescent="0.25">
      <c r="A2798" t="s">
        <v>8535</v>
      </c>
      <c r="B2798" t="s">
        <v>5599</v>
      </c>
      <c r="C2798" s="3" t="s">
        <v>5600</v>
      </c>
      <c r="D2798" s="24">
        <v>0.95917300000000005</v>
      </c>
      <c r="E2798" s="25">
        <v>10.28</v>
      </c>
      <c r="F2798" s="25">
        <v>10.28</v>
      </c>
      <c r="G2798" s="26">
        <v>5.5209999999999999E-3</v>
      </c>
      <c r="H2798" s="27">
        <v>0.10349999999999999</v>
      </c>
      <c r="I2798" s="26">
        <v>5.3370000000000001E-2</v>
      </c>
      <c r="J2798" s="28">
        <v>6</v>
      </c>
      <c r="K2798" s="27">
        <v>0.94526299999999996</v>
      </c>
      <c r="L2798" s="29">
        <f t="shared" si="172"/>
        <v>2.4447341165171166E-2</v>
      </c>
      <c r="M2798" s="29">
        <f t="shared" si="173"/>
        <v>0</v>
      </c>
      <c r="N2798" s="30">
        <f t="shared" si="174"/>
        <v>1.8103054800834274E-2</v>
      </c>
      <c r="O2798" s="31">
        <f t="shared" si="175"/>
        <v>1</v>
      </c>
    </row>
    <row r="2799" spans="1:15" x14ac:dyDescent="0.25">
      <c r="A2799" t="s">
        <v>8536</v>
      </c>
      <c r="B2799" t="s">
        <v>5597</v>
      </c>
      <c r="C2799" s="3" t="s">
        <v>5598</v>
      </c>
      <c r="D2799" s="24">
        <v>0.95899100000000004</v>
      </c>
      <c r="E2799" s="25">
        <v>9.1199999999999992</v>
      </c>
      <c r="F2799" s="25">
        <v>9.1300000000000008</v>
      </c>
      <c r="G2799" s="26">
        <v>-9.7599999999999996E-3</v>
      </c>
      <c r="H2799" s="27">
        <v>0.18210000000000001</v>
      </c>
      <c r="I2799" s="26">
        <v>5.3600000000000002E-2</v>
      </c>
      <c r="J2799" s="28">
        <v>6</v>
      </c>
      <c r="K2799" s="27">
        <v>0.94526299999999996</v>
      </c>
      <c r="L2799" s="29">
        <f t="shared" si="172"/>
        <v>2.4447341165171166E-2</v>
      </c>
      <c r="M2799" s="29">
        <f t="shared" si="173"/>
        <v>-1.0000000000001737E-2</v>
      </c>
      <c r="N2799" s="30">
        <f t="shared" si="174"/>
        <v>1.8185468604808904E-2</v>
      </c>
      <c r="O2799" s="31">
        <f t="shared" si="175"/>
        <v>0.99309249543703471</v>
      </c>
    </row>
    <row r="2800" spans="1:15" x14ac:dyDescent="0.25">
      <c r="A2800" t="s">
        <v>8537</v>
      </c>
      <c r="B2800" t="s">
        <v>5601</v>
      </c>
      <c r="C2800" s="3" t="s">
        <v>5602</v>
      </c>
      <c r="D2800" s="24">
        <v>0.96172299999999999</v>
      </c>
      <c r="E2800" s="25">
        <v>8.56</v>
      </c>
      <c r="F2800" s="25">
        <v>8.5389999999999997</v>
      </c>
      <c r="G2800" s="26">
        <v>2.0660000000000001E-2</v>
      </c>
      <c r="H2800" s="27">
        <v>0.41299999999999998</v>
      </c>
      <c r="I2800" s="26">
        <v>5.0029999999999998E-2</v>
      </c>
      <c r="J2800" s="28">
        <v>6</v>
      </c>
      <c r="K2800" s="27">
        <v>0.94743699999999997</v>
      </c>
      <c r="L2800" s="29">
        <f t="shared" si="172"/>
        <v>2.3449658892356822E-2</v>
      </c>
      <c r="M2800" s="29">
        <f t="shared" si="173"/>
        <v>2.1000000000001209E-2</v>
      </c>
      <c r="N2800" s="30">
        <f t="shared" si="174"/>
        <v>1.6949997499036799E-2</v>
      </c>
      <c r="O2800" s="31">
        <f t="shared" si="175"/>
        <v>1.0146625465808812</v>
      </c>
    </row>
    <row r="2801" spans="1:15" x14ac:dyDescent="0.25">
      <c r="A2801" t="s">
        <v>8538</v>
      </c>
      <c r="B2801" t="s">
        <v>5607</v>
      </c>
      <c r="C2801" s="3" t="s">
        <v>5608</v>
      </c>
      <c r="D2801" s="24">
        <v>0.96286799999999995</v>
      </c>
      <c r="E2801" s="25">
        <v>7.2439999999999998</v>
      </c>
      <c r="F2801" s="25">
        <v>7.2839999999999998</v>
      </c>
      <c r="G2801" s="26">
        <v>-4.0379999999999999E-2</v>
      </c>
      <c r="H2801" s="27">
        <v>0.83199999999999996</v>
      </c>
      <c r="I2801" s="26">
        <v>4.8529999999999997E-2</v>
      </c>
      <c r="J2801" s="28">
        <v>6</v>
      </c>
      <c r="K2801" s="27">
        <v>0.94749099999999997</v>
      </c>
      <c r="L2801" s="29">
        <f t="shared" si="172"/>
        <v>2.3424906604112495E-2</v>
      </c>
      <c r="M2801" s="29">
        <f t="shared" si="173"/>
        <v>-4.0000000000000313E-2</v>
      </c>
      <c r="N2801" s="30">
        <f t="shared" si="174"/>
        <v>1.6433246417433076E-2</v>
      </c>
      <c r="O2801" s="31">
        <f t="shared" si="175"/>
        <v>0.97265494741228531</v>
      </c>
    </row>
    <row r="2802" spans="1:15" x14ac:dyDescent="0.25">
      <c r="A2802" t="s">
        <v>8539</v>
      </c>
      <c r="B2802" t="s">
        <v>5605</v>
      </c>
      <c r="C2802" s="3" t="s">
        <v>5606</v>
      </c>
      <c r="D2802" s="24">
        <v>0.96262199999999998</v>
      </c>
      <c r="E2802" s="25">
        <v>10.4</v>
      </c>
      <c r="F2802" s="25">
        <v>10.4</v>
      </c>
      <c r="G2802" s="26">
        <v>3.6589999999999999E-3</v>
      </c>
      <c r="H2802" s="27">
        <v>7.4899999999999994E-2</v>
      </c>
      <c r="I2802" s="26">
        <v>4.8849999999999998E-2</v>
      </c>
      <c r="J2802" s="28">
        <v>6</v>
      </c>
      <c r="K2802" s="27">
        <v>0.94749099999999997</v>
      </c>
      <c r="L2802" s="29">
        <f t="shared" si="172"/>
        <v>2.3424906604112495E-2</v>
      </c>
      <c r="M2802" s="29">
        <f t="shared" si="173"/>
        <v>0</v>
      </c>
      <c r="N2802" s="30">
        <f t="shared" si="174"/>
        <v>1.6544217072309981E-2</v>
      </c>
      <c r="O2802" s="31">
        <f t="shared" si="175"/>
        <v>1</v>
      </c>
    </row>
    <row r="2803" spans="1:15" x14ac:dyDescent="0.25">
      <c r="A2803" t="s">
        <v>8540</v>
      </c>
      <c r="B2803" t="s">
        <v>5603</v>
      </c>
      <c r="C2803" s="3" t="s">
        <v>5604</v>
      </c>
      <c r="D2803" s="24">
        <v>0.96244799999999997</v>
      </c>
      <c r="E2803" s="25">
        <v>7.2629999999999999</v>
      </c>
      <c r="F2803" s="25">
        <v>7.2489999999999997</v>
      </c>
      <c r="G2803" s="26">
        <v>1.372E-2</v>
      </c>
      <c r="H2803" s="27">
        <v>0.27960000000000002</v>
      </c>
      <c r="I2803" s="26">
        <v>4.9079999999999999E-2</v>
      </c>
      <c r="J2803" s="28">
        <v>6</v>
      </c>
      <c r="K2803" s="27">
        <v>0.94749099999999997</v>
      </c>
      <c r="L2803" s="29">
        <f t="shared" si="172"/>
        <v>2.3424906604112495E-2</v>
      </c>
      <c r="M2803" s="29">
        <f t="shared" si="173"/>
        <v>1.3999999999999495E-2</v>
      </c>
      <c r="N2803" s="30">
        <f t="shared" si="174"/>
        <v>1.6622725635694124E-2</v>
      </c>
      <c r="O2803" s="31">
        <f t="shared" si="175"/>
        <v>1.0097512975966854</v>
      </c>
    </row>
    <row r="2804" spans="1:15" x14ac:dyDescent="0.25">
      <c r="A2804" t="s">
        <v>8541</v>
      </c>
      <c r="B2804" t="s">
        <v>5609</v>
      </c>
      <c r="C2804" s="3" t="s">
        <v>5610</v>
      </c>
      <c r="D2804" s="24">
        <v>0.96314900000000003</v>
      </c>
      <c r="E2804" s="25">
        <v>9.0350000000000001</v>
      </c>
      <c r="F2804" s="25">
        <v>9.0269999999999992</v>
      </c>
      <c r="G2804" s="26">
        <v>7.2290000000000002E-3</v>
      </c>
      <c r="H2804" s="27">
        <v>0.15010000000000001</v>
      </c>
      <c r="I2804" s="26">
        <v>4.8160000000000001E-2</v>
      </c>
      <c r="J2804" s="28">
        <v>6</v>
      </c>
      <c r="K2804" s="27">
        <v>0.94749099999999997</v>
      </c>
      <c r="L2804" s="29">
        <f t="shared" si="172"/>
        <v>2.3424906604112495E-2</v>
      </c>
      <c r="M2804" s="29">
        <f t="shared" si="173"/>
        <v>8.0000000000009768E-3</v>
      </c>
      <c r="N2804" s="30">
        <f t="shared" si="174"/>
        <v>1.6306521938593336E-2</v>
      </c>
      <c r="O2804" s="31">
        <f t="shared" si="175"/>
        <v>1.0055605803984689</v>
      </c>
    </row>
    <row r="2805" spans="1:15" x14ac:dyDescent="0.25">
      <c r="A2805" t="s">
        <v>8542</v>
      </c>
      <c r="B2805" t="s">
        <v>5611</v>
      </c>
      <c r="C2805" s="3" t="s">
        <v>5612</v>
      </c>
      <c r="D2805" s="24">
        <v>0.96351399999999998</v>
      </c>
      <c r="E2805" s="25">
        <v>9.1150000000000002</v>
      </c>
      <c r="F2805" s="25">
        <v>9.1059999999999999</v>
      </c>
      <c r="G2805" s="26">
        <v>9.5670000000000009E-3</v>
      </c>
      <c r="H2805" s="27">
        <v>0.2006</v>
      </c>
      <c r="I2805" s="26">
        <v>4.7690000000000003E-2</v>
      </c>
      <c r="J2805" s="28">
        <v>6</v>
      </c>
      <c r="K2805" s="27">
        <v>0.94751200000000002</v>
      </c>
      <c r="L2805" s="29">
        <f t="shared" si="172"/>
        <v>2.3415281095213181E-2</v>
      </c>
      <c r="M2805" s="29">
        <f t="shared" si="173"/>
        <v>8.9999999999998987E-3</v>
      </c>
      <c r="N2805" s="30">
        <f t="shared" si="174"/>
        <v>1.61419706000447E-2</v>
      </c>
      <c r="O2805" s="31">
        <f t="shared" si="175"/>
        <v>1.0062578234977817</v>
      </c>
    </row>
    <row r="2806" spans="1:15" x14ac:dyDescent="0.25">
      <c r="A2806" t="s">
        <v>8543</v>
      </c>
      <c r="B2806" t="s">
        <v>5615</v>
      </c>
      <c r="C2806" s="3" t="s">
        <v>5616</v>
      </c>
      <c r="D2806" s="24">
        <v>0.96691899999999997</v>
      </c>
      <c r="E2806" s="25">
        <v>10.41</v>
      </c>
      <c r="F2806" s="25">
        <v>10.4</v>
      </c>
      <c r="G2806" s="26">
        <v>9.2659999999999999E-3</v>
      </c>
      <c r="H2806" s="27">
        <v>0.21429999999999999</v>
      </c>
      <c r="I2806" s="26">
        <v>4.3229999999999998E-2</v>
      </c>
      <c r="J2806" s="28">
        <v>6</v>
      </c>
      <c r="K2806" s="27">
        <v>0.94965100000000002</v>
      </c>
      <c r="L2806" s="29">
        <f t="shared" si="172"/>
        <v>2.2435970102515686E-2</v>
      </c>
      <c r="M2806" s="29">
        <f t="shared" si="173"/>
        <v>1.0000000000000427E-2</v>
      </c>
      <c r="N2806" s="30">
        <f t="shared" si="174"/>
        <v>1.4609905778879557E-2</v>
      </c>
      <c r="O2806" s="31">
        <f t="shared" si="175"/>
        <v>1.0069555500567191</v>
      </c>
    </row>
    <row r="2807" spans="1:15" x14ac:dyDescent="0.25">
      <c r="A2807" t="s">
        <v>8544</v>
      </c>
      <c r="B2807" t="s">
        <v>5619</v>
      </c>
      <c r="C2807" s="3" t="s">
        <v>5620</v>
      </c>
      <c r="D2807" s="24">
        <v>0.96706400000000003</v>
      </c>
      <c r="E2807" s="25">
        <v>8.3759999999999994</v>
      </c>
      <c r="F2807" s="25">
        <v>8.3829999999999991</v>
      </c>
      <c r="G2807" s="26">
        <v>-6.5440000000000003E-3</v>
      </c>
      <c r="H2807" s="27">
        <v>0.152</v>
      </c>
      <c r="I2807" s="26">
        <v>4.3040000000000002E-2</v>
      </c>
      <c r="J2807" s="28">
        <v>6</v>
      </c>
      <c r="K2807" s="27">
        <v>0.94965100000000002</v>
      </c>
      <c r="L2807" s="29">
        <f t="shared" si="172"/>
        <v>2.2435970102515686E-2</v>
      </c>
      <c r="M2807" s="29">
        <f t="shared" si="173"/>
        <v>-7.0000000000003384E-3</v>
      </c>
      <c r="N2807" s="30">
        <f t="shared" si="174"/>
        <v>1.4544783489806704E-2</v>
      </c>
      <c r="O2807" s="31">
        <f t="shared" si="175"/>
        <v>0.99515972182008261</v>
      </c>
    </row>
    <row r="2808" spans="1:15" x14ac:dyDescent="0.25">
      <c r="A2808" t="s">
        <v>8545</v>
      </c>
      <c r="B2808" t="s">
        <v>5613</v>
      </c>
      <c r="C2808" s="3" t="s">
        <v>5614</v>
      </c>
      <c r="D2808" s="24">
        <v>0.96612900000000002</v>
      </c>
      <c r="E2808" s="25">
        <v>13.72</v>
      </c>
      <c r="F2808" s="25">
        <v>13.73</v>
      </c>
      <c r="G2808" s="26">
        <v>-5.8560000000000001E-3</v>
      </c>
      <c r="H2808" s="27">
        <v>0.1323</v>
      </c>
      <c r="I2808" s="26">
        <v>4.4269999999999997E-2</v>
      </c>
      <c r="J2808" s="28">
        <v>6</v>
      </c>
      <c r="K2808" s="27">
        <v>0.94965100000000002</v>
      </c>
      <c r="L2808" s="29">
        <f t="shared" si="172"/>
        <v>2.2435970102515686E-2</v>
      </c>
      <c r="M2808" s="29">
        <f t="shared" si="173"/>
        <v>-9.9999999999991571E-3</v>
      </c>
      <c r="N2808" s="30">
        <f t="shared" si="174"/>
        <v>1.496488160959321E-2</v>
      </c>
      <c r="O2808" s="31">
        <f t="shared" si="175"/>
        <v>0.99309249543703648</v>
      </c>
    </row>
    <row r="2809" spans="1:15" x14ac:dyDescent="0.25">
      <c r="A2809" t="s">
        <v>8546</v>
      </c>
      <c r="B2809" t="s">
        <v>5617</v>
      </c>
      <c r="C2809" s="3" t="s">
        <v>5618</v>
      </c>
      <c r="D2809" s="24">
        <v>0.967032</v>
      </c>
      <c r="E2809" s="25">
        <v>7.7569999999999997</v>
      </c>
      <c r="F2809" s="25">
        <v>7.7450000000000001</v>
      </c>
      <c r="G2809" s="26">
        <v>1.166E-2</v>
      </c>
      <c r="H2809" s="27">
        <v>0.2707</v>
      </c>
      <c r="I2809" s="26">
        <v>4.308E-2</v>
      </c>
      <c r="J2809" s="28">
        <v>6</v>
      </c>
      <c r="K2809" s="27">
        <v>0.94965100000000002</v>
      </c>
      <c r="L2809" s="29">
        <f t="shared" si="172"/>
        <v>2.2435970102515686E-2</v>
      </c>
      <c r="M2809" s="29">
        <f t="shared" si="173"/>
        <v>1.2000000000000035E-2</v>
      </c>
      <c r="N2809" s="30">
        <f t="shared" si="174"/>
        <v>1.4559154465624021E-2</v>
      </c>
      <c r="O2809" s="31">
        <f t="shared" si="175"/>
        <v>1.008352454894595</v>
      </c>
    </row>
    <row r="2810" spans="1:15" x14ac:dyDescent="0.25">
      <c r="A2810" t="s">
        <v>8547</v>
      </c>
      <c r="B2810" t="s">
        <v>5621</v>
      </c>
      <c r="C2810" s="3" t="s">
        <v>5622</v>
      </c>
      <c r="D2810" s="24">
        <v>0.96846600000000005</v>
      </c>
      <c r="E2810" s="25">
        <v>11.73</v>
      </c>
      <c r="F2810" s="25">
        <v>11.74</v>
      </c>
      <c r="G2810" s="26">
        <v>-1.175E-2</v>
      </c>
      <c r="H2810" s="27">
        <v>0.28499999999999998</v>
      </c>
      <c r="I2810" s="26">
        <v>4.1209999999999997E-2</v>
      </c>
      <c r="J2810" s="28">
        <v>6</v>
      </c>
      <c r="K2810" s="27">
        <v>0.950353</v>
      </c>
      <c r="L2810" s="29">
        <f t="shared" si="172"/>
        <v>2.2115049999011784E-2</v>
      </c>
      <c r="M2810" s="29">
        <f t="shared" si="173"/>
        <v>-9.9999999999991571E-3</v>
      </c>
      <c r="N2810" s="30">
        <f t="shared" si="174"/>
        <v>1.3915621482379258E-2</v>
      </c>
      <c r="O2810" s="31">
        <f t="shared" si="175"/>
        <v>0.99309249543703648</v>
      </c>
    </row>
    <row r="2811" spans="1:15" x14ac:dyDescent="0.25">
      <c r="A2811" t="s">
        <v>8548</v>
      </c>
      <c r="B2811" t="s">
        <v>5623</v>
      </c>
      <c r="C2811" s="3" t="s">
        <v>5624</v>
      </c>
      <c r="D2811" s="24">
        <v>0.96938100000000005</v>
      </c>
      <c r="E2811" s="25">
        <v>7.9009999999999998</v>
      </c>
      <c r="F2811" s="25">
        <v>7.8879999999999999</v>
      </c>
      <c r="G2811" s="26">
        <v>1.362E-2</v>
      </c>
      <c r="H2811" s="27">
        <v>0.34050000000000002</v>
      </c>
      <c r="I2811" s="26">
        <v>4.0009999999999997E-2</v>
      </c>
      <c r="J2811" s="28">
        <v>6</v>
      </c>
      <c r="K2811" s="27">
        <v>0.95057899999999995</v>
      </c>
      <c r="L2811" s="29">
        <f t="shared" si="172"/>
        <v>2.2011784281592589E-2</v>
      </c>
      <c r="M2811" s="29">
        <f t="shared" si="173"/>
        <v>1.3000000000000346E-2</v>
      </c>
      <c r="N2811" s="30">
        <f t="shared" si="174"/>
        <v>1.3505496761002283E-2</v>
      </c>
      <c r="O2811" s="31">
        <f t="shared" si="175"/>
        <v>1.0090516338446816</v>
      </c>
    </row>
    <row r="2812" spans="1:15" x14ac:dyDescent="0.25">
      <c r="A2812" t="s">
        <v>8549</v>
      </c>
      <c r="B2812" t="s">
        <v>5625</v>
      </c>
      <c r="C2812" s="3" t="s">
        <v>5626</v>
      </c>
      <c r="D2812" s="24">
        <v>0.96938599999999997</v>
      </c>
      <c r="E2812" s="25">
        <v>8.6780000000000008</v>
      </c>
      <c r="F2812" s="25">
        <v>8.6820000000000004</v>
      </c>
      <c r="G2812" s="26">
        <v>-4.1840000000000002E-3</v>
      </c>
      <c r="H2812" s="27">
        <v>0.1046</v>
      </c>
      <c r="I2812" s="26">
        <v>4.0009999999999997E-2</v>
      </c>
      <c r="J2812" s="28">
        <v>6</v>
      </c>
      <c r="K2812" s="27">
        <v>0.95057899999999995</v>
      </c>
      <c r="L2812" s="29">
        <f t="shared" si="172"/>
        <v>2.2011784281592589E-2</v>
      </c>
      <c r="M2812" s="29">
        <f t="shared" si="173"/>
        <v>-3.9999999999990599E-3</v>
      </c>
      <c r="N2812" s="30">
        <f t="shared" si="174"/>
        <v>1.3503256705947202E-2</v>
      </c>
      <c r="O2812" s="31">
        <f t="shared" si="175"/>
        <v>0.99723125135207014</v>
      </c>
    </row>
    <row r="2813" spans="1:15" x14ac:dyDescent="0.25">
      <c r="A2813" t="s">
        <v>8550</v>
      </c>
      <c r="B2813" t="s">
        <v>5627</v>
      </c>
      <c r="C2813" s="3" t="s">
        <v>5628</v>
      </c>
      <c r="D2813" s="24">
        <v>0.96985600000000005</v>
      </c>
      <c r="E2813" s="25">
        <v>8.7910000000000004</v>
      </c>
      <c r="F2813" s="25">
        <v>8.7720000000000002</v>
      </c>
      <c r="G2813" s="26">
        <v>1.8669999999999999E-2</v>
      </c>
      <c r="H2813" s="27">
        <v>0.47399999999999998</v>
      </c>
      <c r="I2813" s="26">
        <v>3.9390000000000001E-2</v>
      </c>
      <c r="J2813" s="28">
        <v>6</v>
      </c>
      <c r="K2813" s="27">
        <v>0.95070299999999996</v>
      </c>
      <c r="L2813" s="29">
        <f t="shared" si="172"/>
        <v>2.1955135645743341E-2</v>
      </c>
      <c r="M2813" s="29">
        <f t="shared" si="173"/>
        <v>1.9000000000000513E-2</v>
      </c>
      <c r="N2813" s="30">
        <f t="shared" si="174"/>
        <v>1.3292743102703067E-2</v>
      </c>
      <c r="O2813" s="31">
        <f t="shared" si="175"/>
        <v>1.0132569001590859</v>
      </c>
    </row>
    <row r="2814" spans="1:15" x14ac:dyDescent="0.25">
      <c r="A2814" t="s">
        <v>8551</v>
      </c>
      <c r="B2814" t="s">
        <v>5631</v>
      </c>
      <c r="C2814" s="3" t="s">
        <v>5632</v>
      </c>
      <c r="D2814" s="24">
        <v>0.97054600000000002</v>
      </c>
      <c r="E2814" s="25">
        <v>8.3079999999999998</v>
      </c>
      <c r="F2814" s="25">
        <v>8.3140000000000001</v>
      </c>
      <c r="G2814" s="26">
        <v>-5.9630000000000004E-3</v>
      </c>
      <c r="H2814" s="27">
        <v>0.15490000000000001</v>
      </c>
      <c r="I2814" s="26">
        <v>3.8490000000000003E-2</v>
      </c>
      <c r="J2814" s="28">
        <v>6</v>
      </c>
      <c r="K2814" s="27">
        <v>0.95070500000000002</v>
      </c>
      <c r="L2814" s="29">
        <f t="shared" si="172"/>
        <v>2.1954222018616673E-2</v>
      </c>
      <c r="M2814" s="29">
        <f t="shared" si="173"/>
        <v>-6.0000000000000088E-3</v>
      </c>
      <c r="N2814" s="30">
        <f t="shared" si="174"/>
        <v>1.2983875965744934E-2</v>
      </c>
      <c r="O2814" s="31">
        <f t="shared" si="175"/>
        <v>0.99584975309445811</v>
      </c>
    </row>
    <row r="2815" spans="1:15" x14ac:dyDescent="0.25">
      <c r="A2815" t="s">
        <v>8552</v>
      </c>
      <c r="B2815" t="s">
        <v>5629</v>
      </c>
      <c r="C2815" s="3" t="s">
        <v>5630</v>
      </c>
      <c r="D2815" s="24">
        <v>0.97034500000000001</v>
      </c>
      <c r="E2815" s="25">
        <v>9.6549999999999994</v>
      </c>
      <c r="F2815" s="25">
        <v>9.6590000000000007</v>
      </c>
      <c r="G2815" s="26">
        <v>-4.372E-3</v>
      </c>
      <c r="H2815" s="27">
        <v>0.1128</v>
      </c>
      <c r="I2815" s="26">
        <v>3.875E-2</v>
      </c>
      <c r="J2815" s="28">
        <v>6</v>
      </c>
      <c r="K2815" s="27">
        <v>0.95070500000000002</v>
      </c>
      <c r="L2815" s="29">
        <f t="shared" si="172"/>
        <v>2.1954222018616673E-2</v>
      </c>
      <c r="M2815" s="29">
        <f t="shared" si="173"/>
        <v>-4.0000000000016299E-3</v>
      </c>
      <c r="N2815" s="30">
        <f t="shared" si="174"/>
        <v>1.3073827633483746E-2</v>
      </c>
      <c r="O2815" s="31">
        <f t="shared" si="175"/>
        <v>0.99723125135206836</v>
      </c>
    </row>
    <row r="2816" spans="1:15" x14ac:dyDescent="0.25">
      <c r="A2816" t="s">
        <v>8553</v>
      </c>
      <c r="B2816" t="s">
        <v>5633</v>
      </c>
      <c r="C2816" s="3" t="s">
        <v>5634</v>
      </c>
      <c r="D2816" s="24">
        <v>0.970943</v>
      </c>
      <c r="E2816" s="25">
        <v>9.1539999999999999</v>
      </c>
      <c r="F2816" s="25">
        <v>9.1489999999999991</v>
      </c>
      <c r="G2816" s="26">
        <v>4.3629999999999997E-3</v>
      </c>
      <c r="H2816" s="27">
        <v>0.1149</v>
      </c>
      <c r="I2816" s="26">
        <v>3.7969999999999997E-2</v>
      </c>
      <c r="J2816" s="28">
        <v>6</v>
      </c>
      <c r="K2816" s="27">
        <v>0.95075699999999996</v>
      </c>
      <c r="L2816" s="29">
        <f t="shared" si="172"/>
        <v>2.1930468387921374E-2</v>
      </c>
      <c r="M2816" s="29">
        <f t="shared" si="173"/>
        <v>5.0000000000010132E-3</v>
      </c>
      <c r="N2816" s="30">
        <f t="shared" si="174"/>
        <v>1.28062649551045E-2</v>
      </c>
      <c r="O2816" s="31">
        <f t="shared" si="175"/>
        <v>1.0034717485095035</v>
      </c>
    </row>
    <row r="2817" spans="1:15" x14ac:dyDescent="0.25">
      <c r="A2817" t="s">
        <v>8554</v>
      </c>
      <c r="B2817" t="s">
        <v>5637</v>
      </c>
      <c r="C2817" s="3" t="s">
        <v>5638</v>
      </c>
      <c r="D2817" s="24">
        <v>0.97174199999999999</v>
      </c>
      <c r="E2817" s="25">
        <v>9.4440000000000008</v>
      </c>
      <c r="F2817" s="25">
        <v>9.4369999999999994</v>
      </c>
      <c r="G2817" s="26">
        <v>7.7390000000000002E-3</v>
      </c>
      <c r="H2817" s="27">
        <v>0.20960000000000001</v>
      </c>
      <c r="I2817" s="26">
        <v>3.6929999999999998E-2</v>
      </c>
      <c r="J2817" s="28">
        <v>6</v>
      </c>
      <c r="K2817" s="27">
        <v>0.95086499999999996</v>
      </c>
      <c r="L2817" s="29">
        <f t="shared" si="172"/>
        <v>2.1881138075066371E-2</v>
      </c>
      <c r="M2817" s="29">
        <f t="shared" si="173"/>
        <v>7.0000000000018745E-3</v>
      </c>
      <c r="N2817" s="30">
        <f t="shared" si="174"/>
        <v>1.2449026071181948E-2</v>
      </c>
      <c r="O2817" s="31">
        <f t="shared" si="175"/>
        <v>1.0048638204237867</v>
      </c>
    </row>
    <row r="2818" spans="1:15" x14ac:dyDescent="0.25">
      <c r="A2818" t="s">
        <v>8555</v>
      </c>
      <c r="B2818" t="s">
        <v>5635</v>
      </c>
      <c r="C2818" s="3" t="s">
        <v>5636</v>
      </c>
      <c r="D2818" s="24">
        <v>0.97170599999999996</v>
      </c>
      <c r="E2818" s="25">
        <v>8.8550000000000004</v>
      </c>
      <c r="F2818" s="25">
        <v>8.8249999999999993</v>
      </c>
      <c r="G2818" s="26">
        <v>3.0419999999999999E-2</v>
      </c>
      <c r="H2818" s="27">
        <v>0.82279999999999998</v>
      </c>
      <c r="I2818" s="26">
        <v>3.6970000000000003E-2</v>
      </c>
      <c r="J2818" s="28">
        <v>6</v>
      </c>
      <c r="K2818" s="27">
        <v>0.95086499999999996</v>
      </c>
      <c r="L2818" s="29">
        <f t="shared" ref="L2818:L2863" si="176">-LOG(K2818,10)</f>
        <v>2.1881138075066371E-2</v>
      </c>
      <c r="M2818" s="29">
        <f t="shared" ref="M2818:M2863" si="177">LOG(O2818,2)</f>
        <v>3.0000000000001088E-2</v>
      </c>
      <c r="N2818" s="30">
        <f t="shared" ref="N2818:N2863" si="178">-LOG(D2818,10)</f>
        <v>1.2465115620632534E-2</v>
      </c>
      <c r="O2818" s="31">
        <f t="shared" ref="O2818:O2863" si="179">((2^E2818)/(2^F2818))</f>
        <v>1.021012125707194</v>
      </c>
    </row>
    <row r="2819" spans="1:15" x14ac:dyDescent="0.25">
      <c r="A2819" t="s">
        <v>8556</v>
      </c>
      <c r="B2819" t="s">
        <v>5639</v>
      </c>
      <c r="C2819" s="3" t="s">
        <v>5640</v>
      </c>
      <c r="D2819" s="24">
        <v>0.97214199999999995</v>
      </c>
      <c r="E2819" s="25">
        <v>8.4489999999999998</v>
      </c>
      <c r="F2819" s="25">
        <v>8.4580000000000002</v>
      </c>
      <c r="G2819" s="26">
        <v>-9.0959999999999999E-3</v>
      </c>
      <c r="H2819" s="27">
        <v>0.24990000000000001</v>
      </c>
      <c r="I2819" s="26">
        <v>3.6400000000000002E-2</v>
      </c>
      <c r="J2819" s="28">
        <v>6</v>
      </c>
      <c r="K2819" s="27">
        <v>0.95091999999999999</v>
      </c>
      <c r="L2819" s="29">
        <f t="shared" si="176"/>
        <v>2.1856018309676116E-2</v>
      </c>
      <c r="M2819" s="29">
        <f t="shared" si="177"/>
        <v>-9.0000000000000514E-3</v>
      </c>
      <c r="N2819" s="30">
        <f t="shared" si="178"/>
        <v>1.2270293394527189E-2</v>
      </c>
      <c r="O2819" s="31">
        <f t="shared" si="179"/>
        <v>0.99378109332255482</v>
      </c>
    </row>
    <row r="2820" spans="1:15" x14ac:dyDescent="0.25">
      <c r="A2820" t="s">
        <v>8557</v>
      </c>
      <c r="B2820" t="s">
        <v>5641</v>
      </c>
      <c r="C2820" s="3" t="s">
        <v>5642</v>
      </c>
      <c r="D2820" s="24">
        <v>0.97269700000000003</v>
      </c>
      <c r="E2820" s="25">
        <v>11</v>
      </c>
      <c r="F2820" s="25">
        <v>11.01</v>
      </c>
      <c r="G2820" s="26">
        <v>-7.528E-3</v>
      </c>
      <c r="H2820" s="27">
        <v>0.21099999999999999</v>
      </c>
      <c r="I2820" s="26">
        <v>3.5680000000000003E-2</v>
      </c>
      <c r="J2820" s="28">
        <v>6</v>
      </c>
      <c r="K2820" s="27">
        <v>0.95106599999999997</v>
      </c>
      <c r="L2820" s="29">
        <f t="shared" si="176"/>
        <v>2.1789343797369083E-2</v>
      </c>
      <c r="M2820" s="29">
        <f t="shared" si="177"/>
        <v>-9.9999999999991571E-3</v>
      </c>
      <c r="N2820" s="30">
        <f t="shared" si="178"/>
        <v>1.2022423577026297E-2</v>
      </c>
      <c r="O2820" s="31">
        <f t="shared" si="179"/>
        <v>0.99309249543703648</v>
      </c>
    </row>
    <row r="2821" spans="1:15" x14ac:dyDescent="0.25">
      <c r="A2821" t="s">
        <v>8558</v>
      </c>
      <c r="B2821" t="s">
        <v>5645</v>
      </c>
      <c r="C2821" s="3" t="s">
        <v>5646</v>
      </c>
      <c r="D2821" s="24">
        <v>0.973325</v>
      </c>
      <c r="E2821" s="25">
        <v>9.1720000000000006</v>
      </c>
      <c r="F2821" s="25">
        <v>9.1760000000000002</v>
      </c>
      <c r="G2821" s="26">
        <v>-3.7859999999999999E-3</v>
      </c>
      <c r="H2821" s="27">
        <v>0.1086</v>
      </c>
      <c r="I2821" s="26">
        <v>3.4860000000000002E-2</v>
      </c>
      <c r="J2821" s="28">
        <v>6</v>
      </c>
      <c r="K2821" s="27">
        <v>0.95106599999999997</v>
      </c>
      <c r="L2821" s="29">
        <f t="shared" si="176"/>
        <v>2.1789343797369083E-2</v>
      </c>
      <c r="M2821" s="29">
        <f t="shared" si="177"/>
        <v>-3.9999999999988994E-3</v>
      </c>
      <c r="N2821" s="30">
        <f t="shared" si="178"/>
        <v>1.1742121561835338E-2</v>
      </c>
      <c r="O2821" s="31">
        <f t="shared" si="179"/>
        <v>0.99723125135207025</v>
      </c>
    </row>
    <row r="2822" spans="1:15" x14ac:dyDescent="0.25">
      <c r="A2822" t="s">
        <v>8559</v>
      </c>
      <c r="B2822" t="s">
        <v>5643</v>
      </c>
      <c r="C2822" s="3" t="s">
        <v>5644</v>
      </c>
      <c r="D2822" s="24">
        <v>0.97329100000000002</v>
      </c>
      <c r="E2822" s="25">
        <v>8.984</v>
      </c>
      <c r="F2822" s="25">
        <v>8.98</v>
      </c>
      <c r="G2822" s="26">
        <v>3.8670000000000002E-3</v>
      </c>
      <c r="H2822" s="27">
        <v>0.1108</v>
      </c>
      <c r="I2822" s="26">
        <v>3.49E-2</v>
      </c>
      <c r="J2822" s="28">
        <v>6</v>
      </c>
      <c r="K2822" s="27">
        <v>0.95106599999999997</v>
      </c>
      <c r="L2822" s="29">
        <f t="shared" si="176"/>
        <v>2.1789343797369083E-2</v>
      </c>
      <c r="M2822" s="29">
        <f t="shared" si="177"/>
        <v>3.9999999999991865E-3</v>
      </c>
      <c r="N2822" s="30">
        <f t="shared" si="178"/>
        <v>1.1757292517366581E-2</v>
      </c>
      <c r="O2822" s="31">
        <f t="shared" si="179"/>
        <v>1.0027764359010771</v>
      </c>
    </row>
    <row r="2823" spans="1:15" x14ac:dyDescent="0.25">
      <c r="A2823" t="s">
        <v>8560</v>
      </c>
      <c r="B2823" t="s">
        <v>5651</v>
      </c>
      <c r="C2823" s="3" t="s">
        <v>5652</v>
      </c>
      <c r="D2823" s="24">
        <v>0.97540499999999997</v>
      </c>
      <c r="E2823" s="25">
        <v>9.6850000000000005</v>
      </c>
      <c r="F2823" s="25">
        <v>9.6809999999999992</v>
      </c>
      <c r="G2823" s="26">
        <v>4.1330000000000004E-3</v>
      </c>
      <c r="H2823" s="27">
        <v>0.12859999999999999</v>
      </c>
      <c r="I2823" s="26">
        <v>3.2140000000000002E-2</v>
      </c>
      <c r="J2823" s="28">
        <v>6</v>
      </c>
      <c r="K2823" s="27">
        <v>0.95208800000000005</v>
      </c>
      <c r="L2823" s="29">
        <f t="shared" si="176"/>
        <v>2.1322908602771289E-2</v>
      </c>
      <c r="M2823" s="29">
        <f t="shared" si="177"/>
        <v>4.0000000000017426E-3</v>
      </c>
      <c r="N2823" s="30">
        <f t="shared" si="178"/>
        <v>1.0815022512297537E-2</v>
      </c>
      <c r="O2823" s="31">
        <f t="shared" si="179"/>
        <v>1.0027764359010789</v>
      </c>
    </row>
    <row r="2824" spans="1:15" x14ac:dyDescent="0.25">
      <c r="A2824" t="s">
        <v>8561</v>
      </c>
      <c r="B2824" t="s">
        <v>5647</v>
      </c>
      <c r="C2824" s="3" t="s">
        <v>5648</v>
      </c>
      <c r="D2824" s="24">
        <v>0.97533099999999995</v>
      </c>
      <c r="E2824" s="25">
        <v>9.2729999999999997</v>
      </c>
      <c r="F2824" s="25">
        <v>9.2859999999999996</v>
      </c>
      <c r="G2824" s="26">
        <v>-1.2970000000000001E-2</v>
      </c>
      <c r="H2824" s="27">
        <v>0.4022</v>
      </c>
      <c r="I2824" s="26">
        <v>3.2230000000000002E-2</v>
      </c>
      <c r="J2824" s="28">
        <v>6</v>
      </c>
      <c r="K2824" s="27">
        <v>0.95208800000000005</v>
      </c>
      <c r="L2824" s="29">
        <f t="shared" si="176"/>
        <v>2.1322908602771289E-2</v>
      </c>
      <c r="M2824" s="29">
        <f t="shared" si="177"/>
        <v>-1.2999999999999238E-2</v>
      </c>
      <c r="N2824" s="30">
        <f t="shared" si="178"/>
        <v>1.0847971913627357E-2</v>
      </c>
      <c r="O2824" s="31">
        <f t="shared" si="179"/>
        <v>0.99102956326407965</v>
      </c>
    </row>
    <row r="2825" spans="1:15" x14ac:dyDescent="0.25">
      <c r="A2825" t="s">
        <v>8562</v>
      </c>
      <c r="B2825" t="s">
        <v>5649</v>
      </c>
      <c r="C2825" s="3" t="s">
        <v>5650</v>
      </c>
      <c r="D2825" s="24">
        <v>0.97533599999999998</v>
      </c>
      <c r="E2825" s="25">
        <v>10.16</v>
      </c>
      <c r="F2825" s="25">
        <v>10.16</v>
      </c>
      <c r="G2825" s="26">
        <v>-3.0599999999999998E-3</v>
      </c>
      <c r="H2825" s="27">
        <v>9.4939999999999997E-2</v>
      </c>
      <c r="I2825" s="26">
        <v>3.2230000000000002E-2</v>
      </c>
      <c r="J2825" s="28">
        <v>6</v>
      </c>
      <c r="K2825" s="27">
        <v>0.95208800000000005</v>
      </c>
      <c r="L2825" s="29">
        <f t="shared" si="176"/>
        <v>2.1322908602771289E-2</v>
      </c>
      <c r="M2825" s="29">
        <f t="shared" si="177"/>
        <v>0</v>
      </c>
      <c r="N2825" s="30">
        <f t="shared" si="178"/>
        <v>1.0845745523977525E-2</v>
      </c>
      <c r="O2825" s="31">
        <f t="shared" si="179"/>
        <v>1</v>
      </c>
    </row>
    <row r="2826" spans="1:15" x14ac:dyDescent="0.25">
      <c r="A2826" t="s">
        <v>8563</v>
      </c>
      <c r="B2826" t="s">
        <v>5659</v>
      </c>
      <c r="C2826" s="3" t="s">
        <v>5660</v>
      </c>
      <c r="D2826" s="24">
        <v>0.97744200000000003</v>
      </c>
      <c r="E2826" s="25">
        <v>8.657</v>
      </c>
      <c r="F2826" s="25">
        <v>8.6509999999999998</v>
      </c>
      <c r="G2826" s="26">
        <v>5.7000000000000002E-3</v>
      </c>
      <c r="H2826" s="27">
        <v>0.19339999999999999</v>
      </c>
      <c r="I2826" s="26">
        <v>2.947E-2</v>
      </c>
      <c r="J2826" s="28">
        <v>6</v>
      </c>
      <c r="K2826" s="27">
        <v>0.95252499999999996</v>
      </c>
      <c r="L2826" s="29">
        <f t="shared" si="176"/>
        <v>2.1123616996631813E-2</v>
      </c>
      <c r="M2826" s="29">
        <f t="shared" si="177"/>
        <v>6.0000000000000418E-3</v>
      </c>
      <c r="N2826" s="30">
        <f t="shared" si="178"/>
        <v>9.9090035763691863E-3</v>
      </c>
      <c r="O2826" s="31">
        <f t="shared" si="179"/>
        <v>1.0041675432389732</v>
      </c>
    </row>
    <row r="2827" spans="1:15" x14ac:dyDescent="0.25">
      <c r="A2827" t="s">
        <v>8564</v>
      </c>
      <c r="B2827" t="s">
        <v>5661</v>
      </c>
      <c r="C2827" s="3" t="s">
        <v>5662</v>
      </c>
      <c r="D2827" s="24">
        <v>0.97757700000000003</v>
      </c>
      <c r="E2827" s="25">
        <v>9.0229999999999997</v>
      </c>
      <c r="F2827" s="25">
        <v>9.0449999999999999</v>
      </c>
      <c r="G2827" s="26">
        <v>-2.1250000000000002E-2</v>
      </c>
      <c r="H2827" s="27">
        <v>0.72529999999999994</v>
      </c>
      <c r="I2827" s="26">
        <v>2.93E-2</v>
      </c>
      <c r="J2827" s="28">
        <v>6</v>
      </c>
      <c r="K2827" s="27">
        <v>0.95252499999999996</v>
      </c>
      <c r="L2827" s="29">
        <f t="shared" si="176"/>
        <v>2.1123616996631813E-2</v>
      </c>
      <c r="M2827" s="29">
        <f t="shared" si="177"/>
        <v>-2.2000000000000505E-2</v>
      </c>
      <c r="N2827" s="30">
        <f t="shared" si="178"/>
        <v>9.8490248701263057E-3</v>
      </c>
      <c r="O2827" s="31">
        <f t="shared" si="179"/>
        <v>0.98486644289555025</v>
      </c>
    </row>
    <row r="2828" spans="1:15" x14ac:dyDescent="0.25">
      <c r="A2828" t="s">
        <v>8565</v>
      </c>
      <c r="B2828" t="s">
        <v>5655</v>
      </c>
      <c r="C2828" s="3" t="s">
        <v>5656</v>
      </c>
      <c r="D2828" s="24">
        <v>0.97675599999999996</v>
      </c>
      <c r="E2828" s="25">
        <v>9.1760000000000002</v>
      </c>
      <c r="F2828" s="25">
        <v>9.1690000000000005</v>
      </c>
      <c r="G2828" s="26">
        <v>6.9230000000000003E-3</v>
      </c>
      <c r="H2828" s="27">
        <v>0.22800000000000001</v>
      </c>
      <c r="I2828" s="26">
        <v>3.0370000000000001E-2</v>
      </c>
      <c r="J2828" s="28">
        <v>6</v>
      </c>
      <c r="K2828" s="27">
        <v>0.95252499999999996</v>
      </c>
      <c r="L2828" s="29">
        <f t="shared" si="176"/>
        <v>2.1123616996631813E-2</v>
      </c>
      <c r="M2828" s="29">
        <f t="shared" si="177"/>
        <v>7.0000000000002803E-3</v>
      </c>
      <c r="N2828" s="30">
        <f t="shared" si="178"/>
        <v>1.0213912318291265E-2</v>
      </c>
      <c r="O2828" s="31">
        <f t="shared" si="179"/>
        <v>1.0048638204237856</v>
      </c>
    </row>
    <row r="2829" spans="1:15" x14ac:dyDescent="0.25">
      <c r="A2829" t="s">
        <v>8566</v>
      </c>
      <c r="B2829" t="s">
        <v>5657</v>
      </c>
      <c r="C2829" s="3" t="s">
        <v>5658</v>
      </c>
      <c r="D2829" s="24">
        <v>0.97740099999999996</v>
      </c>
      <c r="E2829" s="25">
        <v>7.4139999999999997</v>
      </c>
      <c r="F2829" s="25">
        <v>7.4059999999999997</v>
      </c>
      <c r="G2829" s="26">
        <v>7.6699999999999997E-3</v>
      </c>
      <c r="H2829" s="27">
        <v>0.25979999999999998</v>
      </c>
      <c r="I2829" s="26">
        <v>2.9530000000000001E-2</v>
      </c>
      <c r="J2829" s="28">
        <v>6</v>
      </c>
      <c r="K2829" s="27">
        <v>0.95252499999999996</v>
      </c>
      <c r="L2829" s="29">
        <f t="shared" si="176"/>
        <v>2.1123616996631813E-2</v>
      </c>
      <c r="M2829" s="29">
        <f t="shared" si="177"/>
        <v>7.9999999999997035E-3</v>
      </c>
      <c r="N2829" s="30">
        <f t="shared" si="178"/>
        <v>9.9272209715878038E-3</v>
      </c>
      <c r="O2829" s="31">
        <f t="shared" si="179"/>
        <v>1.005560580398468</v>
      </c>
    </row>
    <row r="2830" spans="1:15" x14ac:dyDescent="0.25">
      <c r="A2830" t="s">
        <v>8567</v>
      </c>
      <c r="B2830" t="s">
        <v>5653</v>
      </c>
      <c r="C2830" s="3" t="s">
        <v>5654</v>
      </c>
      <c r="D2830" s="24">
        <v>0.97651399999999999</v>
      </c>
      <c r="E2830" s="25">
        <v>10.32</v>
      </c>
      <c r="F2830" s="25">
        <v>10.33</v>
      </c>
      <c r="G2830" s="26">
        <v>-9.4369999999999992E-3</v>
      </c>
      <c r="H2830" s="27">
        <v>0.3075</v>
      </c>
      <c r="I2830" s="26">
        <v>3.0689999999999999E-2</v>
      </c>
      <c r="J2830" s="28">
        <v>6</v>
      </c>
      <c r="K2830" s="27">
        <v>0.95252499999999996</v>
      </c>
      <c r="L2830" s="29">
        <f t="shared" si="176"/>
        <v>2.1123616996631813E-2</v>
      </c>
      <c r="M2830" s="29">
        <f t="shared" si="177"/>
        <v>-1.0000000000000609E-2</v>
      </c>
      <c r="N2830" s="30">
        <f t="shared" si="178"/>
        <v>1.0321525976575402E-2</v>
      </c>
      <c r="O2830" s="31">
        <f t="shared" si="179"/>
        <v>0.99309249543703548</v>
      </c>
    </row>
    <row r="2831" spans="1:15" x14ac:dyDescent="0.25">
      <c r="A2831" t="s">
        <v>8568</v>
      </c>
      <c r="B2831" t="s">
        <v>5663</v>
      </c>
      <c r="C2831" s="3" t="s">
        <v>5664</v>
      </c>
      <c r="D2831" s="24">
        <v>0.97823700000000002</v>
      </c>
      <c r="E2831" s="25">
        <v>7.1989999999999998</v>
      </c>
      <c r="F2831" s="25">
        <v>7.2089999999999996</v>
      </c>
      <c r="G2831" s="26">
        <v>-1.069E-2</v>
      </c>
      <c r="H2831" s="27">
        <v>0.37609999999999999</v>
      </c>
      <c r="I2831" s="26">
        <v>2.844E-2</v>
      </c>
      <c r="J2831" s="28">
        <v>6</v>
      </c>
      <c r="K2831" s="27">
        <v>0.95253600000000005</v>
      </c>
      <c r="L2831" s="29">
        <f t="shared" si="176"/>
        <v>2.1118601682895373E-2</v>
      </c>
      <c r="M2831" s="29">
        <f t="shared" si="177"/>
        <v>-1.0000000000000286E-2</v>
      </c>
      <c r="N2831" s="30">
        <f t="shared" si="178"/>
        <v>9.5559148208717078E-3</v>
      </c>
      <c r="O2831" s="31">
        <f t="shared" si="179"/>
        <v>0.9930924954370357</v>
      </c>
    </row>
    <row r="2832" spans="1:15" x14ac:dyDescent="0.25">
      <c r="A2832" t="s">
        <v>8569</v>
      </c>
      <c r="B2832" t="s">
        <v>5665</v>
      </c>
      <c r="C2832" s="3" t="s">
        <v>5666</v>
      </c>
      <c r="D2832" s="24">
        <v>0.97827799999999998</v>
      </c>
      <c r="E2832" s="25">
        <v>9.7200000000000006</v>
      </c>
      <c r="F2832" s="25">
        <v>9.7249999999999996</v>
      </c>
      <c r="G2832" s="26">
        <v>-5.3839999999999999E-3</v>
      </c>
      <c r="H2832" s="27">
        <v>0.18970000000000001</v>
      </c>
      <c r="I2832" s="26">
        <v>2.8379999999999999E-2</v>
      </c>
      <c r="J2832" s="28">
        <v>6</v>
      </c>
      <c r="K2832" s="27">
        <v>0.95253600000000005</v>
      </c>
      <c r="L2832" s="29">
        <f t="shared" si="176"/>
        <v>2.1118601682895373E-2</v>
      </c>
      <c r="M2832" s="29">
        <f t="shared" si="177"/>
        <v>-4.9999999999981439E-3</v>
      </c>
      <c r="N2832" s="30">
        <f t="shared" si="178"/>
        <v>9.5377129938878889E-3</v>
      </c>
      <c r="O2832" s="31">
        <f t="shared" si="179"/>
        <v>0.99654026282786912</v>
      </c>
    </row>
    <row r="2833" spans="1:15" x14ac:dyDescent="0.25">
      <c r="A2833" t="s">
        <v>8570</v>
      </c>
      <c r="B2833" t="s">
        <v>5667</v>
      </c>
      <c r="C2833" s="3" t="s">
        <v>5668</v>
      </c>
      <c r="D2833" s="24">
        <v>0.97871900000000001</v>
      </c>
      <c r="E2833" s="25">
        <v>10.199999999999999</v>
      </c>
      <c r="F2833" s="25">
        <v>10.199999999999999</v>
      </c>
      <c r="G2833" s="26">
        <v>7.6309999999999998E-3</v>
      </c>
      <c r="H2833" s="27">
        <v>0.27439999999999998</v>
      </c>
      <c r="I2833" s="26">
        <v>2.7810000000000001E-2</v>
      </c>
      <c r="J2833" s="28">
        <v>6</v>
      </c>
      <c r="K2833" s="27">
        <v>0.95262999999999998</v>
      </c>
      <c r="L2833" s="29">
        <f t="shared" si="176"/>
        <v>2.1075745909349127E-2</v>
      </c>
      <c r="M2833" s="29">
        <f t="shared" si="177"/>
        <v>0</v>
      </c>
      <c r="N2833" s="30">
        <f t="shared" si="178"/>
        <v>9.341980583709197E-3</v>
      </c>
      <c r="O2833" s="31">
        <f t="shared" si="179"/>
        <v>1</v>
      </c>
    </row>
    <row r="2834" spans="1:15" x14ac:dyDescent="0.25">
      <c r="A2834" t="s">
        <v>8571</v>
      </c>
      <c r="B2834" t="s">
        <v>5669</v>
      </c>
      <c r="C2834" s="3" t="s">
        <v>5670</v>
      </c>
      <c r="D2834" s="24">
        <v>0.97936500000000004</v>
      </c>
      <c r="E2834" s="25">
        <v>9.0749999999999993</v>
      </c>
      <c r="F2834" s="25">
        <v>9.0690000000000008</v>
      </c>
      <c r="G2834" s="26">
        <v>5.4840000000000002E-3</v>
      </c>
      <c r="H2834" s="27">
        <v>0.2034</v>
      </c>
      <c r="I2834" s="26">
        <v>2.6960000000000001E-2</v>
      </c>
      <c r="J2834" s="28">
        <v>6</v>
      </c>
      <c r="K2834" s="27">
        <v>0.95292299999999996</v>
      </c>
      <c r="L2834" s="29">
        <f t="shared" si="176"/>
        <v>2.0942190679764362E-2</v>
      </c>
      <c r="M2834" s="29">
        <f t="shared" si="177"/>
        <v>5.999999999998765E-3</v>
      </c>
      <c r="N2834" s="30">
        <f t="shared" si="178"/>
        <v>9.0554206143837225E-3</v>
      </c>
      <c r="O2834" s="31">
        <f t="shared" si="179"/>
        <v>1.0041675432389723</v>
      </c>
    </row>
    <row r="2835" spans="1:15" x14ac:dyDescent="0.25">
      <c r="A2835" t="s">
        <v>8572</v>
      </c>
      <c r="B2835" t="s">
        <v>5671</v>
      </c>
      <c r="C2835" s="3" t="s">
        <v>5672</v>
      </c>
      <c r="D2835" s="24">
        <v>0.981819</v>
      </c>
      <c r="E2835" s="25">
        <v>8.4429999999999996</v>
      </c>
      <c r="F2835" s="25">
        <v>8.4480000000000004</v>
      </c>
      <c r="G2835" s="26">
        <v>-4.9309999999999996E-3</v>
      </c>
      <c r="H2835" s="27">
        <v>0.20760000000000001</v>
      </c>
      <c r="I2835" s="26">
        <v>2.375E-2</v>
      </c>
      <c r="J2835" s="28">
        <v>6</v>
      </c>
      <c r="K2835" s="27">
        <v>0.95497399999999999</v>
      </c>
      <c r="L2835" s="29">
        <f t="shared" si="176"/>
        <v>2.0008452301322442E-2</v>
      </c>
      <c r="M2835" s="29">
        <f t="shared" si="177"/>
        <v>-5.0000000000008761E-3</v>
      </c>
      <c r="N2835" s="30">
        <f t="shared" si="178"/>
        <v>7.9685677593578832E-3</v>
      </c>
      <c r="O2835" s="31">
        <f t="shared" si="179"/>
        <v>0.99654026282786723</v>
      </c>
    </row>
    <row r="2836" spans="1:15" x14ac:dyDescent="0.25">
      <c r="A2836" t="s">
        <v>8573</v>
      </c>
      <c r="B2836" t="s">
        <v>5673</v>
      </c>
      <c r="C2836" s="3" t="s">
        <v>5674</v>
      </c>
      <c r="D2836" s="24">
        <v>0.982213</v>
      </c>
      <c r="E2836" s="25">
        <v>9.8369999999999997</v>
      </c>
      <c r="F2836" s="25">
        <v>9.8350000000000009</v>
      </c>
      <c r="G2836" s="26">
        <v>2.3679999999999999E-3</v>
      </c>
      <c r="H2836" s="27">
        <v>0.1019</v>
      </c>
      <c r="I2836" s="26">
        <v>2.324E-2</v>
      </c>
      <c r="J2836" s="28">
        <v>6</v>
      </c>
      <c r="K2836" s="27">
        <v>0.95502200000000004</v>
      </c>
      <c r="L2836" s="29">
        <f t="shared" si="176"/>
        <v>1.9986623841853665E-2</v>
      </c>
      <c r="M2836" s="29">
        <f t="shared" si="177"/>
        <v>1.9999999999981517E-3</v>
      </c>
      <c r="N2836" s="30">
        <f t="shared" si="178"/>
        <v>7.7943220972044522E-3</v>
      </c>
      <c r="O2836" s="31">
        <f t="shared" si="179"/>
        <v>1.0013872557113332</v>
      </c>
    </row>
    <row r="2837" spans="1:15" x14ac:dyDescent="0.25">
      <c r="A2837" t="s">
        <v>8574</v>
      </c>
      <c r="B2837" t="s">
        <v>5679</v>
      </c>
      <c r="C2837" s="3" t="s">
        <v>5680</v>
      </c>
      <c r="D2837" s="24">
        <v>0.98477099999999995</v>
      </c>
      <c r="E2837" s="25">
        <v>12.73</v>
      </c>
      <c r="F2837" s="25">
        <v>12.74</v>
      </c>
      <c r="G2837" s="26">
        <v>-2.0500000000000002E-3</v>
      </c>
      <c r="H2837" s="27">
        <v>0.10299999999999999</v>
      </c>
      <c r="I2837" s="26">
        <v>1.9900000000000001E-2</v>
      </c>
      <c r="J2837" s="28">
        <v>6</v>
      </c>
      <c r="K2837" s="27">
        <v>0.95522399999999996</v>
      </c>
      <c r="L2837" s="29">
        <f t="shared" si="176"/>
        <v>1.9894774430132434E-2</v>
      </c>
      <c r="M2837" s="29">
        <f t="shared" si="177"/>
        <v>-9.9999999999991571E-3</v>
      </c>
      <c r="N2837" s="30">
        <f t="shared" si="178"/>
        <v>6.6647491967831256E-3</v>
      </c>
      <c r="O2837" s="31">
        <f t="shared" si="179"/>
        <v>0.99309249543703648</v>
      </c>
    </row>
    <row r="2838" spans="1:15" x14ac:dyDescent="0.25">
      <c r="A2838" t="s">
        <v>8575</v>
      </c>
      <c r="B2838" t="s">
        <v>5681</v>
      </c>
      <c r="C2838" s="3" t="s">
        <v>5682</v>
      </c>
      <c r="D2838" s="24">
        <v>0.98477099999999995</v>
      </c>
      <c r="E2838" s="25">
        <v>12.73</v>
      </c>
      <c r="F2838" s="25">
        <v>12.74</v>
      </c>
      <c r="G2838" s="26">
        <v>-2.0500000000000002E-3</v>
      </c>
      <c r="H2838" s="27">
        <v>0.10299999999999999</v>
      </c>
      <c r="I2838" s="26">
        <v>1.9900000000000001E-2</v>
      </c>
      <c r="J2838" s="28">
        <v>6</v>
      </c>
      <c r="K2838" s="27">
        <v>0.95522399999999996</v>
      </c>
      <c r="L2838" s="29">
        <f t="shared" si="176"/>
        <v>1.9894774430132434E-2</v>
      </c>
      <c r="M2838" s="29">
        <f t="shared" si="177"/>
        <v>-9.9999999999991571E-3</v>
      </c>
      <c r="N2838" s="30">
        <f t="shared" si="178"/>
        <v>6.6647491967831256E-3</v>
      </c>
      <c r="O2838" s="31">
        <f t="shared" si="179"/>
        <v>0.99309249543703648</v>
      </c>
    </row>
    <row r="2839" spans="1:15" x14ac:dyDescent="0.25">
      <c r="A2839" t="s">
        <v>8576</v>
      </c>
      <c r="B2839" t="s">
        <v>5683</v>
      </c>
      <c r="C2839" s="3" t="s">
        <v>5684</v>
      </c>
      <c r="D2839" s="24">
        <v>0.98477099999999995</v>
      </c>
      <c r="E2839" s="25">
        <v>12.73</v>
      </c>
      <c r="F2839" s="25">
        <v>12.74</v>
      </c>
      <c r="G2839" s="26">
        <v>-2.0500000000000002E-3</v>
      </c>
      <c r="H2839" s="27">
        <v>0.10299999999999999</v>
      </c>
      <c r="I2839" s="26">
        <v>1.9900000000000001E-2</v>
      </c>
      <c r="J2839" s="28">
        <v>6</v>
      </c>
      <c r="K2839" s="27">
        <v>0.95522399999999996</v>
      </c>
      <c r="L2839" s="29">
        <f t="shared" si="176"/>
        <v>1.9894774430132434E-2</v>
      </c>
      <c r="M2839" s="29">
        <f t="shared" si="177"/>
        <v>-9.9999999999991571E-3</v>
      </c>
      <c r="N2839" s="30">
        <f t="shared" si="178"/>
        <v>6.6647491967831256E-3</v>
      </c>
      <c r="O2839" s="31">
        <f t="shared" si="179"/>
        <v>0.99309249543703648</v>
      </c>
    </row>
    <row r="2840" spans="1:15" x14ac:dyDescent="0.25">
      <c r="A2840" t="s">
        <v>8577</v>
      </c>
      <c r="B2840" t="s">
        <v>5675</v>
      </c>
      <c r="C2840" s="3" t="s">
        <v>5676</v>
      </c>
      <c r="D2840" s="24">
        <v>0.98277300000000001</v>
      </c>
      <c r="E2840" s="25">
        <v>8.3710000000000004</v>
      </c>
      <c r="F2840" s="25">
        <v>8.3789999999999996</v>
      </c>
      <c r="G2840" s="26">
        <v>-7.2979999999999998E-3</v>
      </c>
      <c r="H2840" s="27">
        <v>0.32429999999999998</v>
      </c>
      <c r="I2840" s="26">
        <v>2.2509999999999999E-2</v>
      </c>
      <c r="J2840" s="28">
        <v>6</v>
      </c>
      <c r="K2840" s="27">
        <v>0.95522399999999996</v>
      </c>
      <c r="L2840" s="29">
        <f t="shared" si="176"/>
        <v>1.9894774430132434E-2</v>
      </c>
      <c r="M2840" s="29">
        <f t="shared" si="177"/>
        <v>-7.9999999999997191E-3</v>
      </c>
      <c r="N2840" s="30">
        <f t="shared" si="178"/>
        <v>7.5467835229346067E-3</v>
      </c>
      <c r="O2840" s="31">
        <f t="shared" si="179"/>
        <v>0.99447016867321458</v>
      </c>
    </row>
    <row r="2841" spans="1:15" x14ac:dyDescent="0.25">
      <c r="A2841" t="s">
        <v>8578</v>
      </c>
      <c r="B2841" t="s">
        <v>5689</v>
      </c>
      <c r="C2841" s="3" t="s">
        <v>5690</v>
      </c>
      <c r="D2841" s="24">
        <v>0.98518799999999995</v>
      </c>
      <c r="E2841" s="25">
        <v>9.5280000000000005</v>
      </c>
      <c r="F2841" s="25">
        <v>9.5259999999999998</v>
      </c>
      <c r="G2841" s="26">
        <v>1.6869999999999999E-3</v>
      </c>
      <c r="H2841" s="27">
        <v>8.7169999999999997E-2</v>
      </c>
      <c r="I2841" s="26">
        <v>1.9349999999999999E-2</v>
      </c>
      <c r="J2841" s="28">
        <v>6</v>
      </c>
      <c r="K2841" s="27">
        <v>0.95522399999999996</v>
      </c>
      <c r="L2841" s="29">
        <f t="shared" si="176"/>
        <v>1.9894774430132434E-2</v>
      </c>
      <c r="M2841" s="29">
        <f t="shared" si="177"/>
        <v>2.0000000000010309E-3</v>
      </c>
      <c r="N2841" s="30">
        <f t="shared" si="178"/>
        <v>6.4808866883161054E-3</v>
      </c>
      <c r="O2841" s="31">
        <f t="shared" si="179"/>
        <v>1.0013872557113352</v>
      </c>
    </row>
    <row r="2842" spans="1:15" x14ac:dyDescent="0.25">
      <c r="A2842" t="s">
        <v>8579</v>
      </c>
      <c r="B2842" t="s">
        <v>5677</v>
      </c>
      <c r="C2842" s="3" t="s">
        <v>5678</v>
      </c>
      <c r="D2842" s="24">
        <v>0.98418000000000005</v>
      </c>
      <c r="E2842" s="25">
        <v>11.76</v>
      </c>
      <c r="F2842" s="25">
        <v>11.77</v>
      </c>
      <c r="G2842" s="26">
        <v>-1.5219999999999999E-3</v>
      </c>
      <c r="H2842" s="27">
        <v>7.3660000000000003E-2</v>
      </c>
      <c r="I2842" s="26">
        <v>2.0670000000000001E-2</v>
      </c>
      <c r="J2842" s="28">
        <v>6</v>
      </c>
      <c r="K2842" s="27">
        <v>0.95522399999999996</v>
      </c>
      <c r="L2842" s="29">
        <f t="shared" si="176"/>
        <v>1.9894774430132434E-2</v>
      </c>
      <c r="M2842" s="29">
        <f t="shared" si="177"/>
        <v>-9.9999999999989958E-3</v>
      </c>
      <c r="N2842" s="30">
        <f t="shared" si="178"/>
        <v>6.9254647214589821E-3</v>
      </c>
      <c r="O2842" s="31">
        <f t="shared" si="179"/>
        <v>0.99309249543703659</v>
      </c>
    </row>
    <row r="2843" spans="1:15" x14ac:dyDescent="0.25">
      <c r="A2843" t="s">
        <v>8580</v>
      </c>
      <c r="B2843" t="s">
        <v>5687</v>
      </c>
      <c r="C2843" s="3" t="s">
        <v>5688</v>
      </c>
      <c r="D2843" s="24">
        <v>0.98487999999999998</v>
      </c>
      <c r="E2843" s="25">
        <v>8.5690000000000008</v>
      </c>
      <c r="F2843" s="25">
        <v>8.5709999999999997</v>
      </c>
      <c r="G2843" s="26">
        <v>-2.1289999999999998E-3</v>
      </c>
      <c r="H2843" s="27">
        <v>0.10780000000000001</v>
      </c>
      <c r="I2843" s="26">
        <v>1.975E-2</v>
      </c>
      <c r="J2843" s="28">
        <v>6</v>
      </c>
      <c r="K2843" s="27">
        <v>0.95522399999999996</v>
      </c>
      <c r="L2843" s="29">
        <f t="shared" si="176"/>
        <v>1.9894774430132434E-2</v>
      </c>
      <c r="M2843" s="29">
        <f t="shared" si="177"/>
        <v>-1.9999999999984427E-3</v>
      </c>
      <c r="N2843" s="30">
        <f t="shared" si="178"/>
        <v>6.6166816979462357E-3</v>
      </c>
      <c r="O2843" s="31">
        <f t="shared" si="179"/>
        <v>0.99861466610103</v>
      </c>
    </row>
    <row r="2844" spans="1:15" x14ac:dyDescent="0.25">
      <c r="A2844" t="s">
        <v>8581</v>
      </c>
      <c r="B2844" t="s">
        <v>5685</v>
      </c>
      <c r="C2844" s="3" t="s">
        <v>5686</v>
      </c>
      <c r="D2844" s="24">
        <v>0.98477099999999995</v>
      </c>
      <c r="E2844" s="25">
        <v>12.73</v>
      </c>
      <c r="F2844" s="25">
        <v>12.74</v>
      </c>
      <c r="G2844" s="26">
        <v>-2.0500000000000002E-3</v>
      </c>
      <c r="H2844" s="27">
        <v>0.10299999999999999</v>
      </c>
      <c r="I2844" s="26">
        <v>1.9900000000000001E-2</v>
      </c>
      <c r="J2844" s="28">
        <v>6</v>
      </c>
      <c r="K2844" s="27">
        <v>0.95522399999999996</v>
      </c>
      <c r="L2844" s="29">
        <f t="shared" si="176"/>
        <v>1.9894774430132434E-2</v>
      </c>
      <c r="M2844" s="29">
        <f t="shared" si="177"/>
        <v>-9.9999999999991571E-3</v>
      </c>
      <c r="N2844" s="30">
        <f t="shared" si="178"/>
        <v>6.6647491967831256E-3</v>
      </c>
      <c r="O2844" s="31">
        <f t="shared" si="179"/>
        <v>0.99309249543703648</v>
      </c>
    </row>
    <row r="2845" spans="1:15" x14ac:dyDescent="0.25">
      <c r="A2845" t="s">
        <v>8582</v>
      </c>
      <c r="B2845" t="s">
        <v>5691</v>
      </c>
      <c r="C2845" s="3" t="s">
        <v>5692</v>
      </c>
      <c r="D2845" s="24">
        <v>0.98623899999999998</v>
      </c>
      <c r="E2845" s="25">
        <v>8.5950000000000006</v>
      </c>
      <c r="F2845" s="25">
        <v>8.593</v>
      </c>
      <c r="G2845" s="26">
        <v>2.1549999999999998E-3</v>
      </c>
      <c r="H2845" s="27">
        <v>0.11990000000000001</v>
      </c>
      <c r="I2845" s="26">
        <v>1.7979999999999999E-2</v>
      </c>
      <c r="J2845" s="28">
        <v>6</v>
      </c>
      <c r="K2845" s="27">
        <v>0.955708</v>
      </c>
      <c r="L2845" s="29">
        <f t="shared" si="176"/>
        <v>1.9674778602195096E-2</v>
      </c>
      <c r="M2845" s="29">
        <f t="shared" si="177"/>
        <v>2.0000000000007108E-3</v>
      </c>
      <c r="N2845" s="30">
        <f t="shared" si="178"/>
        <v>6.0178276516662712E-3</v>
      </c>
      <c r="O2845" s="31">
        <f t="shared" si="179"/>
        <v>1.001387255711335</v>
      </c>
    </row>
    <row r="2846" spans="1:15" x14ac:dyDescent="0.25">
      <c r="A2846" t="s">
        <v>8583</v>
      </c>
      <c r="B2846" t="s">
        <v>5693</v>
      </c>
      <c r="C2846" s="3" t="s">
        <v>5694</v>
      </c>
      <c r="D2846" s="24">
        <v>0.98637900000000001</v>
      </c>
      <c r="E2846" s="25">
        <v>9.67</v>
      </c>
      <c r="F2846" s="25">
        <v>9.673</v>
      </c>
      <c r="G2846" s="26">
        <v>-2.8800000000000002E-3</v>
      </c>
      <c r="H2846" s="27">
        <v>0.1618</v>
      </c>
      <c r="I2846" s="26">
        <v>1.78E-2</v>
      </c>
      <c r="J2846" s="28">
        <v>6</v>
      </c>
      <c r="K2846" s="27">
        <v>0.955708</v>
      </c>
      <c r="L2846" s="29">
        <f t="shared" si="176"/>
        <v>1.9674778602195096E-2</v>
      </c>
      <c r="M2846" s="29">
        <f t="shared" si="177"/>
        <v>-3.0000000000000001E-3</v>
      </c>
      <c r="N2846" s="30">
        <f t="shared" si="178"/>
        <v>5.9561824394979207E-3</v>
      </c>
      <c r="O2846" s="31">
        <f t="shared" si="179"/>
        <v>0.99792271899905061</v>
      </c>
    </row>
    <row r="2847" spans="1:15" x14ac:dyDescent="0.25">
      <c r="A2847" t="s">
        <v>8584</v>
      </c>
      <c r="B2847" t="s">
        <v>5695</v>
      </c>
      <c r="C2847" s="3" t="s">
        <v>5696</v>
      </c>
      <c r="D2847" s="24">
        <v>0.98698399999999997</v>
      </c>
      <c r="E2847" s="25">
        <v>8.1150000000000002</v>
      </c>
      <c r="F2847" s="25">
        <v>8.1199999999999992</v>
      </c>
      <c r="G2847" s="26">
        <v>-5.6860000000000001E-3</v>
      </c>
      <c r="H2847" s="27">
        <v>0.33439999999999998</v>
      </c>
      <c r="I2847" s="26">
        <v>1.7000000000000001E-2</v>
      </c>
      <c r="J2847" s="28">
        <v>6</v>
      </c>
      <c r="K2847" s="27">
        <v>0.955959</v>
      </c>
      <c r="L2847" s="29">
        <f t="shared" si="176"/>
        <v>1.9560733723474978E-2</v>
      </c>
      <c r="M2847" s="29">
        <f t="shared" si="177"/>
        <v>-4.9999999999994294E-3</v>
      </c>
      <c r="N2847" s="30">
        <f t="shared" si="178"/>
        <v>5.6898876221899656E-3</v>
      </c>
      <c r="O2847" s="31">
        <f t="shared" si="179"/>
        <v>0.99654026282786823</v>
      </c>
    </row>
    <row r="2848" spans="1:15" x14ac:dyDescent="0.25">
      <c r="A2848" t="s">
        <v>8585</v>
      </c>
      <c r="B2848" t="s">
        <v>5697</v>
      </c>
      <c r="C2848" s="3" t="s">
        <v>5698</v>
      </c>
      <c r="D2848" s="24">
        <v>0.98775400000000002</v>
      </c>
      <c r="E2848" s="25">
        <v>8.0709999999999997</v>
      </c>
      <c r="F2848" s="25">
        <v>8.0679999999999996</v>
      </c>
      <c r="G2848" s="26">
        <v>2.9459999999999998E-3</v>
      </c>
      <c r="H2848" s="27">
        <v>0.18410000000000001</v>
      </c>
      <c r="I2848" s="26">
        <v>1.6E-2</v>
      </c>
      <c r="J2848" s="28">
        <v>6</v>
      </c>
      <c r="K2848" s="27">
        <v>0.95637000000000005</v>
      </c>
      <c r="L2848" s="29">
        <f t="shared" si="176"/>
        <v>1.9374055557939075E-2</v>
      </c>
      <c r="M2848" s="29">
        <f t="shared" si="177"/>
        <v>3.000000000000069E-3</v>
      </c>
      <c r="N2848" s="30">
        <f t="shared" si="178"/>
        <v>5.3512029278017063E-3</v>
      </c>
      <c r="O2848" s="31">
        <f t="shared" si="179"/>
        <v>1.0020816050796328</v>
      </c>
    </row>
    <row r="2849" spans="1:15" x14ac:dyDescent="0.25">
      <c r="A2849" t="s">
        <v>8586</v>
      </c>
      <c r="B2849" t="s">
        <v>5699</v>
      </c>
      <c r="C2849" s="3" t="s">
        <v>5700</v>
      </c>
      <c r="D2849" s="24">
        <v>0.989676</v>
      </c>
      <c r="E2849" s="25">
        <v>8.1289999999999996</v>
      </c>
      <c r="F2849" s="25">
        <v>8.125</v>
      </c>
      <c r="G2849" s="26">
        <v>3.725E-3</v>
      </c>
      <c r="H2849" s="27">
        <v>0.27610000000000001</v>
      </c>
      <c r="I2849" s="26">
        <v>1.349E-2</v>
      </c>
      <c r="J2849" s="28">
        <v>6</v>
      </c>
      <c r="K2849" s="27">
        <v>0.95789400000000002</v>
      </c>
      <c r="L2849" s="29">
        <f t="shared" si="176"/>
        <v>1.8682547040561031E-2</v>
      </c>
      <c r="M2849" s="29">
        <f t="shared" si="177"/>
        <v>3.9999999999991865E-3</v>
      </c>
      <c r="N2849" s="30">
        <f t="shared" si="178"/>
        <v>4.5069614051424451E-3</v>
      </c>
      <c r="O2849" s="31">
        <f t="shared" si="179"/>
        <v>1.0027764359010771</v>
      </c>
    </row>
    <row r="2850" spans="1:15" x14ac:dyDescent="0.25">
      <c r="A2850" t="s">
        <v>8587</v>
      </c>
      <c r="B2850" t="s">
        <v>5703</v>
      </c>
      <c r="C2850" s="3" t="s">
        <v>5704</v>
      </c>
      <c r="D2850" s="24">
        <v>0.99043999999999999</v>
      </c>
      <c r="E2850" s="25">
        <v>8.8089999999999993</v>
      </c>
      <c r="F2850" s="25">
        <v>8.8070000000000004</v>
      </c>
      <c r="G2850" s="26">
        <v>1.34E-3</v>
      </c>
      <c r="H2850" s="27">
        <v>0.10730000000000001</v>
      </c>
      <c r="I2850" s="26">
        <v>1.2489999999999999E-2</v>
      </c>
      <c r="J2850" s="28">
        <v>6</v>
      </c>
      <c r="K2850" s="27">
        <v>0.95796300000000001</v>
      </c>
      <c r="L2850" s="29">
        <f t="shared" si="176"/>
        <v>1.865126462306925E-2</v>
      </c>
      <c r="M2850" s="29">
        <f t="shared" si="177"/>
        <v>1.9999999999981517E-3</v>
      </c>
      <c r="N2850" s="30">
        <f t="shared" si="178"/>
        <v>4.1718285132925888E-3</v>
      </c>
      <c r="O2850" s="31">
        <f t="shared" si="179"/>
        <v>1.0013872557113332</v>
      </c>
    </row>
    <row r="2851" spans="1:15" x14ac:dyDescent="0.25">
      <c r="A2851" t="s">
        <v>8588</v>
      </c>
      <c r="B2851" t="s">
        <v>5701</v>
      </c>
      <c r="C2851" s="3" t="s">
        <v>5702</v>
      </c>
      <c r="D2851" s="24">
        <v>0.99014899999999995</v>
      </c>
      <c r="E2851" s="25">
        <v>9.6660000000000004</v>
      </c>
      <c r="F2851" s="25">
        <v>9.6639999999999997</v>
      </c>
      <c r="G2851" s="26">
        <v>1.506E-3</v>
      </c>
      <c r="H2851" s="27">
        <v>0.11700000000000001</v>
      </c>
      <c r="I2851" s="26">
        <v>1.2869999999999999E-2</v>
      </c>
      <c r="J2851" s="28">
        <v>6</v>
      </c>
      <c r="K2851" s="27">
        <v>0.95796300000000001</v>
      </c>
      <c r="L2851" s="29">
        <f t="shared" si="176"/>
        <v>1.865126462306925E-2</v>
      </c>
      <c r="M2851" s="29">
        <f t="shared" si="177"/>
        <v>2.0000000000007108E-3</v>
      </c>
      <c r="N2851" s="30">
        <f t="shared" si="178"/>
        <v>4.2994468077931242E-3</v>
      </c>
      <c r="O2851" s="31">
        <f t="shared" si="179"/>
        <v>1.001387255711335</v>
      </c>
    </row>
    <row r="2852" spans="1:15" x14ac:dyDescent="0.25">
      <c r="A2852" t="s">
        <v>8589</v>
      </c>
      <c r="B2852" t="s">
        <v>5705</v>
      </c>
      <c r="C2852" s="3" t="s">
        <v>5706</v>
      </c>
      <c r="D2852" s="24">
        <v>0.99147399999999997</v>
      </c>
      <c r="E2852" s="25">
        <v>8.8119999999999994</v>
      </c>
      <c r="F2852" s="25">
        <v>8.8149999999999995</v>
      </c>
      <c r="G2852" s="26">
        <v>-2.6830000000000001E-3</v>
      </c>
      <c r="H2852" s="27">
        <v>0.2409</v>
      </c>
      <c r="I2852" s="26">
        <v>1.1140000000000001E-2</v>
      </c>
      <c r="J2852" s="28">
        <v>6</v>
      </c>
      <c r="K2852" s="27">
        <v>0.95832700000000004</v>
      </c>
      <c r="L2852" s="29">
        <f t="shared" si="176"/>
        <v>1.8486275823551359E-2</v>
      </c>
      <c r="M2852" s="29">
        <f t="shared" si="177"/>
        <v>-3.0000000000011237E-3</v>
      </c>
      <c r="N2852" s="30">
        <f t="shared" si="178"/>
        <v>3.7186700664264254E-3</v>
      </c>
      <c r="O2852" s="31">
        <f t="shared" si="179"/>
        <v>0.99792271899904983</v>
      </c>
    </row>
    <row r="2853" spans="1:15" x14ac:dyDescent="0.25">
      <c r="A2853" t="s">
        <v>8590</v>
      </c>
      <c r="B2853" t="s">
        <v>5709</v>
      </c>
      <c r="C2853" s="3" t="s">
        <v>5710</v>
      </c>
      <c r="D2853" s="24">
        <v>0.99185699999999999</v>
      </c>
      <c r="E2853" s="25">
        <v>7.1509999999999998</v>
      </c>
      <c r="F2853" s="25">
        <v>7.1539999999999999</v>
      </c>
      <c r="G2853" s="26">
        <v>-2.794E-3</v>
      </c>
      <c r="H2853" s="27">
        <v>0.26269999999999999</v>
      </c>
      <c r="I2853" s="26">
        <v>1.064E-2</v>
      </c>
      <c r="J2853" s="28">
        <v>6</v>
      </c>
      <c r="K2853" s="27">
        <v>0.95832700000000004</v>
      </c>
      <c r="L2853" s="29">
        <f t="shared" si="176"/>
        <v>1.8486275823551359E-2</v>
      </c>
      <c r="M2853" s="29">
        <f t="shared" si="177"/>
        <v>-3.0000000000000001E-3</v>
      </c>
      <c r="N2853" s="30">
        <f t="shared" si="178"/>
        <v>3.5509373091241218E-3</v>
      </c>
      <c r="O2853" s="31">
        <f t="shared" si="179"/>
        <v>0.99792271899905061</v>
      </c>
    </row>
    <row r="2854" spans="1:15" x14ac:dyDescent="0.25">
      <c r="A2854" t="s">
        <v>8591</v>
      </c>
      <c r="B2854" t="s">
        <v>5707</v>
      </c>
      <c r="C2854" s="3" t="s">
        <v>5708</v>
      </c>
      <c r="D2854" s="24">
        <v>0.99161500000000002</v>
      </c>
      <c r="E2854" s="25">
        <v>8.8460000000000001</v>
      </c>
      <c r="F2854" s="25">
        <v>8.8480000000000008</v>
      </c>
      <c r="G2854" s="26">
        <v>-2.1080000000000001E-3</v>
      </c>
      <c r="H2854" s="27">
        <v>0.19239999999999999</v>
      </c>
      <c r="I2854" s="26">
        <v>1.095E-2</v>
      </c>
      <c r="J2854" s="28">
        <v>6</v>
      </c>
      <c r="K2854" s="27">
        <v>0.95832700000000004</v>
      </c>
      <c r="L2854" s="29">
        <f t="shared" si="176"/>
        <v>1.8486275823551359E-2</v>
      </c>
      <c r="M2854" s="29">
        <f t="shared" si="177"/>
        <v>-2.0000000000008483E-3</v>
      </c>
      <c r="N2854" s="30">
        <f t="shared" si="178"/>
        <v>3.6569123520206939E-3</v>
      </c>
      <c r="O2854" s="31">
        <f t="shared" si="179"/>
        <v>0.99861466610102834</v>
      </c>
    </row>
    <row r="2855" spans="1:15" x14ac:dyDescent="0.25">
      <c r="A2855" t="s">
        <v>8592</v>
      </c>
      <c r="B2855" t="s">
        <v>5711</v>
      </c>
      <c r="C2855" s="3" t="s">
        <v>5712</v>
      </c>
      <c r="D2855" s="24">
        <v>0.99368500000000004</v>
      </c>
      <c r="E2855" s="25">
        <v>9.9420000000000002</v>
      </c>
      <c r="F2855" s="25">
        <v>9.9429999999999996</v>
      </c>
      <c r="G2855" s="26">
        <v>-1.124E-3</v>
      </c>
      <c r="H2855" s="27">
        <v>0.13619999999999999</v>
      </c>
      <c r="I2855" s="26">
        <v>8.2500000000000004E-3</v>
      </c>
      <c r="J2855" s="28">
        <v>6</v>
      </c>
      <c r="K2855" s="27">
        <v>0.95975699999999997</v>
      </c>
      <c r="L2855" s="29">
        <f t="shared" si="176"/>
        <v>1.7838711666627344E-2</v>
      </c>
      <c r="M2855" s="29">
        <f t="shared" si="177"/>
        <v>-9.99999999999222E-4</v>
      </c>
      <c r="N2855" s="30">
        <f t="shared" si="178"/>
        <v>2.7512659476304339E-3</v>
      </c>
      <c r="O2855" s="31">
        <f t="shared" si="179"/>
        <v>0.99930709299045306</v>
      </c>
    </row>
    <row r="2856" spans="1:15" x14ac:dyDescent="0.25">
      <c r="A2856" t="s">
        <v>8593</v>
      </c>
      <c r="B2856" t="s">
        <v>5713</v>
      </c>
      <c r="C2856" s="3" t="s">
        <v>5714</v>
      </c>
      <c r="D2856" s="24">
        <v>0.99455199999999999</v>
      </c>
      <c r="E2856" s="25">
        <v>11.2</v>
      </c>
      <c r="F2856" s="25">
        <v>11.2</v>
      </c>
      <c r="G2856" s="26">
        <v>-1.423E-3</v>
      </c>
      <c r="H2856" s="27">
        <v>0.2</v>
      </c>
      <c r="I2856" s="26">
        <v>7.1170000000000001E-3</v>
      </c>
      <c r="J2856" s="28">
        <v>6</v>
      </c>
      <c r="K2856" s="27">
        <v>0.96025899999999997</v>
      </c>
      <c r="L2856" s="29">
        <f t="shared" si="176"/>
        <v>1.7611613731106767E-2</v>
      </c>
      <c r="M2856" s="29">
        <f t="shared" si="177"/>
        <v>0</v>
      </c>
      <c r="N2856" s="30">
        <f t="shared" si="178"/>
        <v>2.3725049249994868E-3</v>
      </c>
      <c r="O2856" s="31">
        <f t="shared" si="179"/>
        <v>1</v>
      </c>
    </row>
    <row r="2857" spans="1:15" x14ac:dyDescent="0.25">
      <c r="A2857" t="s">
        <v>8594</v>
      </c>
      <c r="B2857" t="s">
        <v>5715</v>
      </c>
      <c r="C2857" s="3" t="s">
        <v>5716</v>
      </c>
      <c r="D2857" s="24">
        <v>0.99576900000000002</v>
      </c>
      <c r="E2857" s="25">
        <v>9.8360000000000003</v>
      </c>
      <c r="F2857" s="25">
        <v>9.8350000000000009</v>
      </c>
      <c r="G2857" s="26">
        <v>2.7740000000000002E-4</v>
      </c>
      <c r="H2857" s="27">
        <v>5.0180000000000002E-2</v>
      </c>
      <c r="I2857" s="26">
        <v>5.5269999999999998E-3</v>
      </c>
      <c r="J2857" s="28">
        <v>6</v>
      </c>
      <c r="K2857" s="27">
        <v>0.96096099999999995</v>
      </c>
      <c r="L2857" s="29">
        <f t="shared" si="176"/>
        <v>1.7294237543200947E-2</v>
      </c>
      <c r="M2857" s="29">
        <f t="shared" si="177"/>
        <v>9.9999999999919641E-4</v>
      </c>
      <c r="N2857" s="30">
        <f t="shared" si="178"/>
        <v>1.8413981835779618E-3</v>
      </c>
      <c r="O2857" s="31">
        <f t="shared" si="179"/>
        <v>1.0006933874625801</v>
      </c>
    </row>
    <row r="2858" spans="1:15" x14ac:dyDescent="0.25">
      <c r="A2858" t="s">
        <v>8595</v>
      </c>
      <c r="B2858" t="s">
        <v>5717</v>
      </c>
      <c r="C2858" s="3" t="s">
        <v>5718</v>
      </c>
      <c r="D2858" s="24">
        <v>0.99597500000000005</v>
      </c>
      <c r="E2858" s="25">
        <v>11.91</v>
      </c>
      <c r="F2858" s="25">
        <v>11.91</v>
      </c>
      <c r="G2858" s="26">
        <v>3.5609999999999998E-4</v>
      </c>
      <c r="H2858" s="27">
        <v>6.7720000000000002E-2</v>
      </c>
      <c r="I2858" s="26">
        <v>5.2579999999999997E-3</v>
      </c>
      <c r="J2858" s="28">
        <v>6</v>
      </c>
      <c r="K2858" s="27">
        <v>0.96096099999999995</v>
      </c>
      <c r="L2858" s="29">
        <f t="shared" si="176"/>
        <v>1.7294237543200947E-2</v>
      </c>
      <c r="M2858" s="29">
        <f t="shared" si="177"/>
        <v>0</v>
      </c>
      <c r="N2858" s="30">
        <f t="shared" si="178"/>
        <v>1.751562679024071E-3</v>
      </c>
      <c r="O2858" s="31">
        <f t="shared" si="179"/>
        <v>1</v>
      </c>
    </row>
    <row r="2859" spans="1:15" x14ac:dyDescent="0.25">
      <c r="A2859" t="s">
        <v>8596</v>
      </c>
      <c r="B2859" t="s">
        <v>5719</v>
      </c>
      <c r="C2859" s="3" t="s">
        <v>5720</v>
      </c>
      <c r="D2859" s="24">
        <v>0.996444</v>
      </c>
      <c r="E2859" s="25">
        <v>9.5340000000000007</v>
      </c>
      <c r="F2859" s="25">
        <v>9.5350000000000001</v>
      </c>
      <c r="G2859" s="26">
        <v>-1.1559999999999999E-3</v>
      </c>
      <c r="H2859" s="27">
        <v>0.24890000000000001</v>
      </c>
      <c r="I2859" s="26">
        <v>4.646E-3</v>
      </c>
      <c r="J2859" s="28">
        <v>6</v>
      </c>
      <c r="K2859" s="27">
        <v>0.96107799999999999</v>
      </c>
      <c r="L2859" s="29">
        <f t="shared" si="176"/>
        <v>1.7241364053697916E-2</v>
      </c>
      <c r="M2859" s="29">
        <f t="shared" si="177"/>
        <v>-9.9999999999906175E-4</v>
      </c>
      <c r="N2859" s="30">
        <f t="shared" si="178"/>
        <v>1.547103560962446E-3</v>
      </c>
      <c r="O2859" s="31">
        <f t="shared" si="179"/>
        <v>0.99930709299045317</v>
      </c>
    </row>
    <row r="2860" spans="1:15" x14ac:dyDescent="0.25">
      <c r="A2860" t="s">
        <v>8597</v>
      </c>
      <c r="B2860" t="s">
        <v>5721</v>
      </c>
      <c r="C2860" s="3" t="s">
        <v>5722</v>
      </c>
      <c r="D2860" s="24">
        <v>0.99705200000000005</v>
      </c>
      <c r="E2860" s="25">
        <v>11.81</v>
      </c>
      <c r="F2860" s="25">
        <v>11.81</v>
      </c>
      <c r="G2860" s="26">
        <v>-6.4789999999999997E-4</v>
      </c>
      <c r="H2860" s="27">
        <v>0.16819999999999999</v>
      </c>
      <c r="I2860" s="26">
        <v>3.852E-3</v>
      </c>
      <c r="J2860" s="28">
        <v>6</v>
      </c>
      <c r="K2860" s="27">
        <v>0.96132799999999996</v>
      </c>
      <c r="L2860" s="29">
        <f t="shared" si="176"/>
        <v>1.7128408079686328E-2</v>
      </c>
      <c r="M2860" s="29">
        <f t="shared" si="177"/>
        <v>0</v>
      </c>
      <c r="N2860" s="30">
        <f t="shared" si="178"/>
        <v>1.2821910121692257E-3</v>
      </c>
      <c r="O2860" s="31">
        <f t="shared" si="179"/>
        <v>1</v>
      </c>
    </row>
    <row r="2861" spans="1:15" x14ac:dyDescent="0.25">
      <c r="A2861" t="s">
        <v>8598</v>
      </c>
      <c r="B2861" t="s">
        <v>5723</v>
      </c>
      <c r="C2861" s="3" t="s">
        <v>5724</v>
      </c>
      <c r="D2861" s="24">
        <v>0.99799800000000005</v>
      </c>
      <c r="E2861" s="25">
        <v>7.8970000000000002</v>
      </c>
      <c r="F2861" s="25">
        <v>7.8979999999999997</v>
      </c>
      <c r="G2861" s="26">
        <v>-5.0509999999999997E-4</v>
      </c>
      <c r="H2861" s="27">
        <v>0.19309999999999999</v>
      </c>
      <c r="I2861" s="26">
        <v>2.6150000000000001E-3</v>
      </c>
      <c r="J2861" s="28">
        <v>6</v>
      </c>
      <c r="K2861" s="27">
        <v>0.96190500000000001</v>
      </c>
      <c r="L2861" s="29">
        <f t="shared" si="176"/>
        <v>1.6867817788674664E-2</v>
      </c>
      <c r="M2861" s="29">
        <f t="shared" si="177"/>
        <v>-9.99999999999222E-4</v>
      </c>
      <c r="N2861" s="30">
        <f t="shared" si="178"/>
        <v>8.7032904312399557E-4</v>
      </c>
      <c r="O2861" s="31">
        <f t="shared" si="179"/>
        <v>0.99930709299045306</v>
      </c>
    </row>
    <row r="2862" spans="1:15" x14ac:dyDescent="0.25">
      <c r="A2862" t="s">
        <v>8599</v>
      </c>
      <c r="B2862" t="s">
        <v>5725</v>
      </c>
      <c r="C2862" s="3" t="s">
        <v>5726</v>
      </c>
      <c r="D2862" s="24">
        <v>0.99911399999999995</v>
      </c>
      <c r="E2862" s="25">
        <v>12.17</v>
      </c>
      <c r="F2862" s="25">
        <v>12.17</v>
      </c>
      <c r="G2862" s="26">
        <v>-3.6089999999999999E-4</v>
      </c>
      <c r="H2862" s="27">
        <v>0.31190000000000001</v>
      </c>
      <c r="I2862" s="26">
        <v>1.157E-3</v>
      </c>
      <c r="J2862" s="28">
        <v>6</v>
      </c>
      <c r="K2862" s="27">
        <v>0.96252800000000005</v>
      </c>
      <c r="L2862" s="29">
        <f t="shared" si="176"/>
        <v>1.6586627981933978E-2</v>
      </c>
      <c r="M2862" s="29">
        <f t="shared" si="177"/>
        <v>0</v>
      </c>
      <c r="N2862" s="30">
        <f t="shared" si="178"/>
        <v>3.8495547143368693E-4</v>
      </c>
      <c r="O2862" s="31">
        <f t="shared" si="179"/>
        <v>1</v>
      </c>
    </row>
    <row r="2863" spans="1:15" x14ac:dyDescent="0.25">
      <c r="A2863" t="s">
        <v>8600</v>
      </c>
      <c r="B2863" t="s">
        <v>5727</v>
      </c>
      <c r="C2863" s="3" t="s">
        <v>5728</v>
      </c>
      <c r="D2863" s="24">
        <v>0.99934100000000003</v>
      </c>
      <c r="E2863" s="25">
        <v>8.48</v>
      </c>
      <c r="F2863" s="25">
        <v>8.48</v>
      </c>
      <c r="G2863" s="26">
        <v>-1.0509999999999999E-4</v>
      </c>
      <c r="H2863" s="27">
        <v>0.1221</v>
      </c>
      <c r="I2863" s="26">
        <v>8.608E-4</v>
      </c>
      <c r="J2863" s="28">
        <v>6</v>
      </c>
      <c r="K2863" s="27">
        <v>0.96252800000000005</v>
      </c>
      <c r="L2863" s="29">
        <f t="shared" si="176"/>
        <v>1.6586627981933978E-2</v>
      </c>
      <c r="M2863" s="29">
        <f t="shared" si="177"/>
        <v>0</v>
      </c>
      <c r="N2863" s="30">
        <f t="shared" si="178"/>
        <v>2.8629440794607989E-4</v>
      </c>
      <c r="O2863" s="31">
        <f t="shared" si="179"/>
        <v>1</v>
      </c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Goldspink, Paul H</dc:creator>
  <cp:lastModifiedBy>Goldspink, Paul H</cp:lastModifiedBy>
  <dcterms:created xsi:type="dcterms:W3CDTF">2024-11-13T19:27:17Z</dcterms:created>
  <dcterms:modified xsi:type="dcterms:W3CDTF">2024-11-13T19:30:57Z</dcterms:modified>
</cp:coreProperties>
</file>